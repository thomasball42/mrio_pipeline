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ems_and_content_factor" sheetId="1" state="visible" r:id="rId3"/>
    <sheet name="content_factors_backup" sheetId="2" state="visible" r:id="rId4"/>
  </sheets>
  <externalReferences>
    <externalReference r:id="rId5"/>
    <externalReference r:id="rId6"/>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<sst xmlns="http://schemas.openxmlformats.org/spreadsheetml/2006/main" count="1931" uniqueCount="1239">
  <si>
    <t xml:space="preserve">NA</t>
  </si>
  <si>
    <t xml:space="preserve">[g/100g]</t>
  </si>
  <si>
    <t xml:space="preserve">[kcal/100g]</t>
  </si>
  <si>
    <t xml:space="preserve">[mg/100g]</t>
  </si>
  <si>
    <t xml:space="preserve">[µg/100g]</t>
  </si>
  <si>
    <t xml:space="preserve">RAE</t>
  </si>
  <si>
    <t xml:space="preserve">Item Code</t>
  </si>
  <si>
    <t xml:space="preserve">Item</t>
  </si>
  <si>
    <t xml:space="preserve">Description</t>
  </si>
  <si>
    <t xml:space="preserve">HS Code</t>
  </si>
  <si>
    <t xml:space="preserve">HS07 Code</t>
  </si>
  <si>
    <t xml:space="preserve">HS12 Code</t>
  </si>
  <si>
    <t xml:space="preserve">CPC Code</t>
  </si>
  <si>
    <t xml:space="preserve">dry_matter</t>
  </si>
  <si>
    <t xml:space="preserve">Energy</t>
  </si>
  <si>
    <t xml:space="preserve">Protein</t>
  </si>
  <si>
    <t xml:space="preserve">Fiber_TD</t>
  </si>
  <si>
    <t xml:space="preserve">Zinc</t>
  </si>
  <si>
    <t xml:space="preserve">Iron</t>
  </si>
  <si>
    <t xml:space="preserve">Calcium</t>
  </si>
  <si>
    <t xml:space="preserve">Folate_Tot</t>
  </si>
  <si>
    <t xml:space="preserve">Riboflavin</t>
  </si>
  <si>
    <t xml:space="preserve">Choline_Tot</t>
  </si>
  <si>
    <t xml:space="preserve">Potassium</t>
  </si>
  <si>
    <t xml:space="preserve">Vit_E</t>
  </si>
  <si>
    <t xml:space="preserve">Vit_K</t>
  </si>
  <si>
    <t xml:space="preserve">Vit_A</t>
  </si>
  <si>
    <t xml:space="preserve">Magnesium</t>
  </si>
  <si>
    <t xml:space="preserve">Phosphorus</t>
  </si>
  <si>
    <t xml:space="preserve">Copper</t>
  </si>
  <si>
    <t xml:space="preserve">Manganese</t>
  </si>
  <si>
    <t xml:space="preserve">Selenium</t>
  </si>
  <si>
    <t xml:space="preserve">Vit_C</t>
  </si>
  <si>
    <t xml:space="preserve">Thiamin</t>
  </si>
  <si>
    <t xml:space="preserve">Niacin</t>
  </si>
  <si>
    <t xml:space="preserve">Pantothenic_Acid</t>
  </si>
  <si>
    <t xml:space="preserve">Vit_B6</t>
  </si>
  <si>
    <t xml:space="preserve">PUFAs</t>
  </si>
  <si>
    <t xml:space="preserve">Wheat</t>
  </si>
  <si>
    <t xml:space="preserve">Triticum spp.: common (T. aestivum) durum (T. durum) spelt (T. spelta). Common and durum wheat are the main types. Among common wheat, the main varieties are spring and winter, hard and soft, and red and white. At the national level, different varieties should be reported separately, reflecting their different uses. Used mainly for human food.</t>
  </si>
  <si>
    <t xml:space="preserve">100110, 100190</t>
  </si>
  <si>
    <t xml:space="preserve">100111, 100119, 100191, 100199</t>
  </si>
  <si>
    <t xml:space="preserve">Flour, wheat</t>
  </si>
  <si>
    <t xml:space="preserve">Defined broadly to include meal, groats and pellets. Strong flours from hard wheat are used for bread, while durum wheat flour is used primarily for pasta. Weaker flours from soft wheat are mainly used in cakes, pastries, biscuits and certain noodles.</t>
  </si>
  <si>
    <t xml:space="preserve">110100, 110311, 110320</t>
  </si>
  <si>
    <t xml:space="preserve">Bran, wheat</t>
  </si>
  <si>
    <t xml:space="preserve">Defined broadly to include sharps and other residue from the milling, sifting or other working of the grain. Contains a little flour.</t>
  </si>
  <si>
    <t xml:space="preserve">Macaroni</t>
  </si>
  <si>
    <t xml:space="preserve">Pasta made from semolina, or flour, that is mixed with water and kneaded into a dough. Other ingredients may be included as well. The dough is then shaped into various forms. This heading is limited to macaroni that is not cooked, stuffed or otherwise prepared.</t>
  </si>
  <si>
    <t xml:space="preserve">190211, 190219</t>
  </si>
  <si>
    <t xml:space="preserve">Bread</t>
  </si>
  <si>
    <t xml:space="preserve">A baked product of flour or meal of cereals, especially wheat. Includes ordinary, unleavened, crackers, rusks, etc.</t>
  </si>
  <si>
    <t xml:space="preserve">190510, 190540, 190590</t>
  </si>
  <si>
    <t xml:space="preserve">F0020</t>
  </si>
  <si>
    <t xml:space="preserve">Bulgur</t>
  </si>
  <si>
    <t xml:space="preserve">Whole wheat grains that are boiled, dried and cracked, either between stones or in a hand mill. Very popular in the Near East.</t>
  </si>
  <si>
    <t xml:space="preserve">Pastry</t>
  </si>
  <si>
    <t xml:space="preserve">All baked products excluding those listed under bread. Pastry products may contain ingredients other than wheat flour, such as milk, eggs, sugar, honey, starch, fats, fruit, seeds, etc.</t>
  </si>
  <si>
    <t xml:space="preserve">190520, 190531, 190532, 190540, 190590</t>
  </si>
  <si>
    <t xml:space="preserve">F0022</t>
  </si>
  <si>
    <t xml:space="preserve">Rice, paddy</t>
  </si>
  <si>
    <t xml:space="preserve">Oryza spp., mainly oryza sativa. Rice grain after threshing and winnowing. Also known as rice in the husk and rough rice. Used mainly for human food.</t>
  </si>
  <si>
    <t xml:space="preserve">Rice, husked</t>
  </si>
  <si>
    <t xml:space="preserve">Rice grain without hulls or husks. Also known as brown or cargo rice.</t>
  </si>
  <si>
    <t xml:space="preserve">Rice - total  (Rice milled equivalent)</t>
  </si>
  <si>
    <t xml:space="preserve">Rice, milled</t>
  </si>
  <si>
    <t xml:space="preserve">White rice milled from locally grown paddy. Includes semi-milled, whole-milled and parboiled rice.</t>
  </si>
  <si>
    <t xml:space="preserve">Rice, broken</t>
  </si>
  <si>
    <t xml:space="preserve">Residues from the selection of whole-grain, milled rice.</t>
  </si>
  <si>
    <t xml:space="preserve">Oil, rice bran</t>
  </si>
  <si>
    <t xml:space="preserve">Extracted from bran by pressure or, more frequently, by solvents.</t>
  </si>
  <si>
    <t xml:space="preserve">Cake, rice bran</t>
  </si>
  <si>
    <t xml:space="preserve">A residue of the extraction of oil. Also known as de-oiled rice bran.</t>
  </si>
  <si>
    <t xml:space="preserve">Flour, rice</t>
  </si>
  <si>
    <t xml:space="preserve">Produced by milling broken or milled rice. Finely ground rice flour is widely used in infant foods and in noodles. It is not used in bread because it lacks the necessary gluten-forming protein.</t>
  </si>
  <si>
    <t xml:space="preserve">110290, 110319, 110320</t>
  </si>
  <si>
    <t xml:space="preserve">Beverages, fermented rice</t>
  </si>
  <si>
    <t xml:space="preserve">Low-alcohol beverages, such as rice wine and sake.</t>
  </si>
  <si>
    <t xml:space="preserve">Cereals, breakfast</t>
  </si>
  <si>
    <t xml:space="preserve">Foods prepared by swelling and roasting cereals or cereal products, e.g. corn flakes, puffed rice; cereals o/t maize, in grain form, precooked or otherwise prepared.</t>
  </si>
  <si>
    <t xml:space="preserve">190410, 190420, 190490</t>
  </si>
  <si>
    <t xml:space="preserve">Barley</t>
  </si>
  <si>
    <t xml:space="preserve">Hordeum spp.: two-row barley (H. disticum) six-row barley (H. hexasticum) four-row barley (H. vulgare). Tolerates poorer soils and lower temperatures better than does wheat. Varieties include with husk and without (naked). Used as a livestock feed, for malt and for preparing foods. The roasted grains are a coffee substitute.</t>
  </si>
  <si>
    <t xml:space="preserve">100310, 100390</t>
  </si>
  <si>
    <t xml:space="preserve">Barley, pearled</t>
  </si>
  <si>
    <t xml:space="preserve">Small, round pellets obtained by the further milling of pot barley. This definition also includes kibbled, rolled or flaked grains.</t>
  </si>
  <si>
    <t xml:space="preserve">110419, 110429</t>
  </si>
  <si>
    <t xml:space="preserve">Malt</t>
  </si>
  <si>
    <t xml:space="preserve">A grain - usually barley - that has been germinated through a soaking process and then dried. Malt is used in brewing and distilling, and as a nutrient additive. Includes whole, ground, flour, and roasted malt, but excludes extracts and preparations.</t>
  </si>
  <si>
    <t xml:space="preserve">110710, 110720</t>
  </si>
  <si>
    <t xml:space="preserve">Beer of barley</t>
  </si>
  <si>
    <t xml:space="preserve">Beverage that may be alcoholic or non-alcoholic that is made from fermented malted cereals (mainly barley), water and hops. Non-malted cereals may also be used. The FAO definition differs from the main international classifications in that it includes non-alcoholic beer.</t>
  </si>
  <si>
    <t xml:space="preserve">Maize</t>
  </si>
  <si>
    <t xml:space="preserve">Zea mays Corn, Indian corn, mealies. A grain with a high germ content. At the national level, hybrid and ordinary maize should be reported separately owing to widely different yields and uses. Used largely for animal feed and commercial starch production.</t>
  </si>
  <si>
    <t xml:space="preserve">100510, 100590</t>
  </si>
  <si>
    <t xml:space="preserve">Germ, maize</t>
  </si>
  <si>
    <t xml:space="preserve">The seed embryo that is separated during processing and is valued mainly for its oil.</t>
  </si>
  <si>
    <t xml:space="preserve">Flour, maize</t>
  </si>
  <si>
    <t xml:space="preserve">Broadly defined to include meal, groats and pellets.</t>
  </si>
  <si>
    <t xml:space="preserve">110220, 110313, 110320</t>
  </si>
  <si>
    <t xml:space="preserve">Bran, maize</t>
  </si>
  <si>
    <t xml:space="preserve">A by-product of the milling of shelled maize.</t>
  </si>
  <si>
    <t xml:space="preserve">Oil, maize</t>
  </si>
  <si>
    <t xml:space="preserve">Extracted from germ by pressure or by solvents.</t>
  </si>
  <si>
    <t xml:space="preserve">151521, 151529</t>
  </si>
  <si>
    <t xml:space="preserve">Cake, maize</t>
  </si>
  <si>
    <t xml:space="preserve">A residue of the extraction of oil from germ.</t>
  </si>
  <si>
    <t xml:space="preserve">Popcorn</t>
  </si>
  <si>
    <t xml:space="preserve">Zea mays var. everta. A variety of maize that is eaten after the kernels have been heated and have "popped".</t>
  </si>
  <si>
    <t xml:space="preserve">Rye</t>
  </si>
  <si>
    <t xml:space="preserve">Secale cereale. A grain that is tolerant of poor soils, high latitudes and altitudes. Mainly used in making bread, whisky and beer. When fed to livestock, it is generally mixed with other grains.</t>
  </si>
  <si>
    <t xml:space="preserve">100210, 100290</t>
  </si>
  <si>
    <t xml:space="preserve">Oats</t>
  </si>
  <si>
    <t xml:space="preserve">Avena spp., mainly Avena sativa. A plant with open, spreading panicle-bearing large spikelets. Used primarily in breakfast foods. Makes excellent fodder for horses.</t>
  </si>
  <si>
    <t xml:space="preserve">100410, 100490</t>
  </si>
  <si>
    <t xml:space="preserve">Oats rolled</t>
  </si>
  <si>
    <t xml:space="preserve">Obtained by crushing or rolling the whole or broken grain; includes grains flaked, hulled or otherwise worked for human consumption.</t>
  </si>
  <si>
    <t xml:space="preserve">110412, 110422</t>
  </si>
  <si>
    <t xml:space="preserve">Millet</t>
  </si>
  <si>
    <t xml:space="preserve">Including inter alia: barnyard or Japanese millet (Echinocloa frumentacea); ragi, finger or African millet (Eleusine coracana); teff (Eragrostis abyssinica); common, golden or proso millet (Panicum miliaceum); koda or ditch millet (Paspalum scrobiculatum); pearl or cattail millet (Pennisetum glaucum); foxtail millet (Setaria italica). Small-grained cereals that include a large number of different botanical species. Originated by the domestication of wild African grasses in the Nile valley and the Sahel zone, millets were subsequently taken to China and India. These cereals tolerate arid conditions and possess a small, highly nutritious grain that stores well. Used locally, both as a food and as a livestock feed. In all areas where they are cultivated, millets are used in traditional beer brewing. Also used as a feed for birds.</t>
  </si>
  <si>
    <t xml:space="preserve">100821, 100829</t>
  </si>
  <si>
    <t xml:space="preserve">Bran, millet</t>
  </si>
  <si>
    <t xml:space="preserve">A milling by-product.</t>
  </si>
  <si>
    <t xml:space="preserve">Sorghum</t>
  </si>
  <si>
    <t xml:space="preserve">Sorghum spp.: guinea corn (S. guineense); common, milo, feterita, kaffir corn (S. vulgare); durra, jowar, kaoliang (S. dura). A cereal that has both food and feed uses. Sorghum is a major food grain in most of Africa, where it is also used in traditional beer brewing. It is desirable to report hybrid and other varieties separately.</t>
  </si>
  <si>
    <t xml:space="preserve">100710, 100790</t>
  </si>
  <si>
    <t xml:space="preserve">Bran, sorghum</t>
  </si>
  <si>
    <t xml:space="preserve">Beer of sorghum</t>
  </si>
  <si>
    <t xml:space="preserve">A traditional beer prepared in African countries in which sorghum is cultivated. It is normally consumed while still fermenting.</t>
  </si>
  <si>
    <t xml:space="preserve">Buckwheat</t>
  </si>
  <si>
    <t xml:space="preserve">Fagopyrum esculentum (Polygonaceae). A minor cereal cultivated primarily in northern regions. Buckwheat is considered a cereal, although it does not belong to the gramineous family.</t>
  </si>
  <si>
    <t xml:space="preserve">Bran, buckwheat</t>
  </si>
  <si>
    <t xml:space="preserve">Quinoa</t>
  </si>
  <si>
    <t xml:space="preserve">Chenopodium quinoa (Chenopodiaceae). A minor cereal, which tolerates high altitudes, quinoa is cultivated primarily in andean countries. Used for food and to make chicha, a fermented beverage.</t>
  </si>
  <si>
    <t xml:space="preserve">Fonio</t>
  </si>
  <si>
    <t xml:space="preserve">Digitaria spp.: fonio or findi (D. exilis); black fonio or hungry rice (D. iburua). A minor cereal of importance only in West Africa where it is eaten in place of rice during famines. The seeds are cooked by steaming the whole grain.</t>
  </si>
  <si>
    <t xml:space="preserve">Flour, fonio</t>
  </si>
  <si>
    <t xml:space="preserve">Bran, fonio</t>
  </si>
  <si>
    <t xml:space="preserve">Triticale</t>
  </si>
  <si>
    <t xml:space="preserve">A minor cereal that is a cross between wheat and rye, combining the quality and yield of wheat with the hardiness of rye.</t>
  </si>
  <si>
    <t xml:space="preserve">Canary seed</t>
  </si>
  <si>
    <t xml:space="preserve">Phalaris canariensis. Minor cereal normally used as bird feed.</t>
  </si>
  <si>
    <t xml:space="preserve">Grain, mixed</t>
  </si>
  <si>
    <t xml:space="preserve">A mixture of cereal species that are sown and harvested together. The mixture wheat/rye is known as meslin, but in trade is usually classified with wheat.</t>
  </si>
  <si>
    <t xml:space="preserve">Flour, mixed grain</t>
  </si>
  <si>
    <t xml:space="preserve">Cereals nes</t>
  </si>
  <si>
    <t xml:space="preserve">Including inter alia: canagua or coaihua (Chenopodium pallidicaule); quihuicha or Inca wheat (Amaranthus caudatus); adlay or Job's tears (Coix lacryma-jobi); wild rice (Zizania aquatica). Other cereal crops that are not identified separately because of their minor relevance at the international level. Because of their limited local importance, some countries report cereals under this commodity heading that are classified individually by FAO.</t>
  </si>
  <si>
    <t xml:space="preserve">Infant food</t>
  </si>
  <si>
    <t xml:space="preserve">Preparations for infant consumption, usually containing some non-cereal ingredients.</t>
  </si>
  <si>
    <t xml:space="preserve">Wafers</t>
  </si>
  <si>
    <t xml:space="preserve">Communion wafers, empty cachets for pharmaceutical use and sealing wafers.</t>
  </si>
  <si>
    <t xml:space="preserve">Flour, cereals</t>
  </si>
  <si>
    <t xml:space="preserve">Cereal preparations nes</t>
  </si>
  <si>
    <t xml:space="preserve">Cereal grains, excluding barley and oats, that are either rolled, flaked, pearled, sliced or kibbled.</t>
  </si>
  <si>
    <t xml:space="preserve">110419, 110423, 110429</t>
  </si>
  <si>
    <t xml:space="preserve">Mixes and doughs</t>
  </si>
  <si>
    <t xml:space="preserve">Used in the preparation of bakers' wares.</t>
  </si>
  <si>
    <t xml:space="preserve">Food preparations, flour, malt extract</t>
  </si>
  <si>
    <t xml:space="preserve">Food preparations of flour, meal, starch or malt extracts, that either do not contain, or contain less than 50%, cocoa powder. Also, food preparations of milk that either do not contain, or contain less than 10%, cocoa powder.</t>
  </si>
  <si>
    <t xml:space="preserve">Potatoes</t>
  </si>
  <si>
    <t xml:space="preserve">Solanum tuberosum Irish potato. A seasonal crop grown in temperate zones all over the world, but primarily in the northern hemisphere.</t>
  </si>
  <si>
    <t xml:space="preserve">070110, 070190</t>
  </si>
  <si>
    <t xml:space="preserve">Flour, potatoes</t>
  </si>
  <si>
    <t xml:space="preserve">Produced from tubers that have been peeled, dried and milled. Includes flour, meal, flakes, granules and pellets.</t>
  </si>
  <si>
    <t xml:space="preserve">110510, 110520</t>
  </si>
  <si>
    <t xml:space="preserve">Potatoes, frozen</t>
  </si>
  <si>
    <t xml:space="preserve">Peeled potatoes that are either cooked or uncooked, sliced or unsliced, and then frozen.</t>
  </si>
  <si>
    <t xml:space="preserve">Potato offals</t>
  </si>
  <si>
    <t xml:space="preserve">The residue and waste from the preparation of potatoes.</t>
  </si>
  <si>
    <t xml:space="preserve">Sweet potatoes</t>
  </si>
  <si>
    <t xml:space="preserve">Ipomoea batatas. A seasonal crop grown in tropical and subtropical regions. Used mainly for human food. Trade data cover fresh and dried tubers, whether or not sliced or in the form or pellets.</t>
  </si>
  <si>
    <t xml:space="preserve">Cassava</t>
  </si>
  <si>
    <t xml:space="preserve">Manioc, mandioca, yuca (Manihot esculenta, syn. M. utilissima); yuca dulce (M. palmata, syn. M. dulcis). A semi-permanent crop grown in tropical and subtropical regions. Sometimes bitter and sweet cassavas are referred to as separate species, the former being M. esculenta and the latter M. palmata, but this is incorrect since the toxicity varies according to location. Cassava is the staple food in many tropical countries. It is not traded internationally in its fresh state because tubers deteriorate very rapidly.</t>
  </si>
  <si>
    <t xml:space="preserve">Flour, cassava</t>
  </si>
  <si>
    <t xml:space="preserve">A product of tubers that have been peeled, dried and milled; mainly for human consumption. Includes flour, meal and flakes.</t>
  </si>
  <si>
    <t xml:space="preserve">Cassava dried</t>
  </si>
  <si>
    <t xml:space="preserve">Includes peeled, sliced and sun-dried (cassava chips), as well as ground and compressed cassava (pellets). Used mainly as livestock feed.</t>
  </si>
  <si>
    <t xml:space="preserve">Starch, cassava</t>
  </si>
  <si>
    <t xml:space="preserve">See 119. The principal industrial outlet for cassava. Cassava starch is used in the foodstuffs, textile and paper industries for the manufacture of plywood and veneer, adhesives, glucose and dextrine.</t>
  </si>
  <si>
    <t xml:space="preserve">Yautia (cocoyam)</t>
  </si>
  <si>
    <t xml:space="preserve">Xanthosoma spp.; malanga, new cocoyam, ocumo, tannia (X. sagittifolium). Several plants are included in this group, some with edible tubers and others with edible stems (also called aroids). Yautia is grown mainly in the Caribbean and is used for food. Trade data cover both fresh and dried yautia.</t>
  </si>
  <si>
    <t xml:space="preserve">Taro (cocoyam)</t>
  </si>
  <si>
    <t xml:space="preserve">Dasheen, eddoe, taro, old cocoyam(Colocasia esculenta). Aroids cultivated for their edible starchy corms or underground stems. Taro is grown throughout the tropics for food. Trade data cover both fresh and dried taro.</t>
  </si>
  <si>
    <t xml:space="preserve">Yams</t>
  </si>
  <si>
    <t xml:space="preserve">Dioscorea spp.. The principal edible yams are widely grown throughout the tropics. A starchy staple foodstuff, normally eaten as a vegetable, boiled, baked or fried. In West Africa they are consumed mainly as "fufu", a stiff glutinous dough. Trade data cover both fresh and dried yams.</t>
  </si>
  <si>
    <t xml:space="preserve">Roots and tubers nes</t>
  </si>
  <si>
    <t xml:space="preserve">Including inter alia: arracacha (Arracacoa xanthorrhiza); arrowroot (Maranta arundinacea); chufa (Cyperus esculentus); sago palm (Metroxylon spp.); oca and ullucu (Oxalis tuberosa and Ullucus tuberosus); yam bean, jicama (Pachyrxhizus erosus, P. angulatus); mashua (Tropaeolum tuberosum); Jerusalem artichoke, topinambur (Helianthus tuberosus). Other tubers, roots or rhizomes, fresh, that are not identified separately because of their minor relevance at the international level. Because of their limited local importance, some countries report roots and tubers under this commodity heading that are classified individually by FAO.</t>
  </si>
  <si>
    <t xml:space="preserve">Flour, roots and tubers nes</t>
  </si>
  <si>
    <t xml:space="preserve">Flour and meal produced from roots and tubers o/t potatoes and cassava.</t>
  </si>
  <si>
    <t xml:space="preserve">Sugar cane</t>
  </si>
  <si>
    <t xml:space="preserve">Saccharum officinarum. In some producing countries, marginal quantities of sugar cane are consumed, either directly as food or in the form of juice.</t>
  </si>
  <si>
    <t xml:space="preserve">Sugar beet</t>
  </si>
  <si>
    <t xml:space="preserve">Beta vulgaris var. altissima. In some producing countries, marginal quantities are consumed, either directly as food or in the preparation of jams.</t>
  </si>
  <si>
    <t xml:space="preserve">Maple sugar and syrups</t>
  </si>
  <si>
    <t xml:space="preserve">Maple syrup is produced by atmospheric boiling of maple sap in an open-pan evaporator. Continuing the evaporation process until the syrup crystalizes yields maple sugar.</t>
  </si>
  <si>
    <t xml:space="preserve">Sugar crops nes</t>
  </si>
  <si>
    <t xml:space="preserve">Including inter alia: sugar maple (Acer saccharum); sweet sorghum (Sorghum saccharatum); sugar palm (Arenga saccharifera). Includes minor sugar crops of local importance. In the case of saps, production is to be expressed in liquid equivalent.</t>
  </si>
  <si>
    <t xml:space="preserve">Sugar Raw Centrifugal</t>
  </si>
  <si>
    <t xml:space="preserve">The sum of codes 158 and 159. Processed further to obtain refined sugar.</t>
  </si>
  <si>
    <t xml:space="preserve">170111, 170112</t>
  </si>
  <si>
    <t xml:space="preserve">170112, 170114</t>
  </si>
  <si>
    <t xml:space="preserve">2351f</t>
  </si>
  <si>
    <t xml:space="preserve">Sugar non-centrifugal</t>
  </si>
  <si>
    <t xml:space="preserve">Generally derived from sugar cane through traditional methods without centrifugation.</t>
  </si>
  <si>
    <t xml:space="preserve">Sugar refined</t>
  </si>
  <si>
    <t xml:space="preserve">Production covers domestic production, plus or minus imports and/or exports of raw centrifugal sugar in terms of refined sugar.</t>
  </si>
  <si>
    <t xml:space="preserve">170191, 170199</t>
  </si>
  <si>
    <t xml:space="preserve">Molasses</t>
  </si>
  <si>
    <t xml:space="preserve">A by-product of the extraction or refining of beet or cane sugar or of the production of fructose from maize. Used for feed, food, industrial alcohol, alcoholic beverages and ethanol.</t>
  </si>
  <si>
    <t xml:space="preserve">170310, 170390</t>
  </si>
  <si>
    <t xml:space="preserve">Fructose and syrup, other</t>
  </si>
  <si>
    <t xml:space="preserve">Monosaccharide found in fruits and honey, commercially produced from glucose, sucrose or by hydrolysis of inulin (polysaccharide found mainly in the tubers of the dahlia and the Jerusalem artichoke). Especially suitable for use by diabetics.</t>
  </si>
  <si>
    <t xml:space="preserve">Sugar nes</t>
  </si>
  <si>
    <t xml:space="preserve">Includes invert sugar, caramel, golden syrup, artificial honey, maltose other than chemically pure, sorghum and palm sugars. See also the general note in the introduction.</t>
  </si>
  <si>
    <t xml:space="preserve">Sugar confectionery</t>
  </si>
  <si>
    <t xml:space="preserve">Sugar confectionery, including chewing gum, that does not contain cocoa. Includes white chocolate.</t>
  </si>
  <si>
    <t xml:space="preserve">170410, 170490</t>
  </si>
  <si>
    <t xml:space="preserve">Beet pulp</t>
  </si>
  <si>
    <t xml:space="preserve">Residue from the extraction of sugar from the root of sugar beets. Used for animal feed.</t>
  </si>
  <si>
    <t xml:space="preserve">Sugar flavoured</t>
  </si>
  <si>
    <t xml:space="preserve">Glucose and dextrose</t>
  </si>
  <si>
    <t xml:space="preserve">Glucose is a monosaccharide produced by hydrolysing starch with acids and/or enzymes. Dextrose is chemically pure glucose. Used in the food industry, in brewing, in tobacco fermentation and in pharmaceutical products.</t>
  </si>
  <si>
    <t xml:space="preserve">170230, 170240</t>
  </si>
  <si>
    <t xml:space="preserve">Lactose</t>
  </si>
  <si>
    <t xml:space="preserve">Also known as milk sugar. Produced commercially from whey.</t>
  </si>
  <si>
    <t xml:space="preserve">170211, 170219</t>
  </si>
  <si>
    <t xml:space="preserve">Beans, dry</t>
  </si>
  <si>
    <t xml:space="preserve">Phaseolus spp.: kidney, haricot bean (Ph. vulgaris); lima, butter bean (Ph. lunatus); adzuki bean (Ph. angularis); mungo bean, golden, green gram (Ph. aureus); black gram, urd (Ph. mungo); scarlet runner bean (Ph. coccineus); rice bean (Ph. calcaratus); moth bean (Ph. aconitifolius); tepary bean (Ph. acutifolius). Only species of Phaseolus should be included, though several countries also include certain types of beans. Commonly classified as Vigna (angularis, mungo, radiata, aconitifolia). In the past, these species were also classified as Phaseolus.</t>
  </si>
  <si>
    <t xml:space="preserve">071331, 071332, 071333, 071339</t>
  </si>
  <si>
    <t xml:space="preserve">Broad beans, horse beans, dry</t>
  </si>
  <si>
    <t xml:space="preserve">Vicia faba: horse-bean (var. equina); broad bean (var. major); field bean (var. minor).</t>
  </si>
  <si>
    <t xml:space="preserve">Peas, dry</t>
  </si>
  <si>
    <t xml:space="preserve">Garden pea (Pisum sativum); field pea (P. arvense).</t>
  </si>
  <si>
    <t xml:space="preserve">Chick peas</t>
  </si>
  <si>
    <t xml:space="preserve">Chickpea, Bengal gram, garbanzos (Cicer arietinum).</t>
  </si>
  <si>
    <t xml:space="preserve">Cow peas, dry</t>
  </si>
  <si>
    <t xml:space="preserve">Cowpea, blackeye pea/bean (Vigna sinensis; Dolichos sinensis).</t>
  </si>
  <si>
    <t xml:space="preserve">Pigeon peas</t>
  </si>
  <si>
    <t xml:space="preserve">Pigeon pea, cajan pea, Congo bean (Cajanus cajan).</t>
  </si>
  <si>
    <t xml:space="preserve">Lentils</t>
  </si>
  <si>
    <t xml:space="preserve">Lens esculenta; Ervum lens.</t>
  </si>
  <si>
    <t xml:space="preserve">Bambara beans</t>
  </si>
  <si>
    <t xml:space="preserve">Bambara groundnut, earth pea (Voandzeia subterranea). These beand are grown underground in a similar way to groundnuts.</t>
  </si>
  <si>
    <t xml:space="preserve">Vetches</t>
  </si>
  <si>
    <t xml:space="preserve">Spring/common vetch (Vicia sativa). Used mainly for animal feed.</t>
  </si>
  <si>
    <t xml:space="preserve">Lupins</t>
  </si>
  <si>
    <t xml:space="preserve">Lupinus spp.. Used primarily for feed, though in some parts of Africa and in Latin America some varieties are cultivated for human food.</t>
  </si>
  <si>
    <t xml:space="preserve">Pulses nes</t>
  </si>
  <si>
    <t xml:space="preserve">Including inter alia: lablab or hyacinth bean (Dolichos spp.); jack or sword bean (Canavalia spp.); winged bean (Psophocarpus tetragonolobus); guar bean (Cyamopsis tetragonoloba); velvet bean (Stizolobium spp.); yam bean (Pachyrrhizus erosus);. Vigna spp. other than those included in 176 and 195 Other pulses that are not identified separately because of their minor relevance at the international level. Because of their limited local importance, some countries report pulses under this heading that are classified individually by FAO.</t>
  </si>
  <si>
    <t xml:space="preserve">Flour, pulses</t>
  </si>
  <si>
    <t xml:space="preserve">Produced through milling or grinding of pulses. This heading also includes meal.</t>
  </si>
  <si>
    <t xml:space="preserve">Brazil nuts, with shell</t>
  </si>
  <si>
    <t xml:space="preserve">Brazil, Para or cream nut (Bertholletia excelsa).</t>
  </si>
  <si>
    <t xml:space="preserve">Cashew nuts, with shell</t>
  </si>
  <si>
    <t xml:space="preserve">Anacardium occidentale. Produced mainly in East Africa, India and Brazil.</t>
  </si>
  <si>
    <t xml:space="preserve">Chestnut</t>
  </si>
  <si>
    <t xml:space="preserve">Castanea spp.: C. vesca; C. vulgaris; C. sativa. Produced mainly in Europe and Asia.</t>
  </si>
  <si>
    <t xml:space="preserve">080241, 080242</t>
  </si>
  <si>
    <t xml:space="preserve">Almonds, with shell</t>
  </si>
  <si>
    <t xml:space="preserve">Prunus amygdalus; P. communis; Amygdalus communis. Produced mainly in Mediterranean countries, the United States and Asia.</t>
  </si>
  <si>
    <t xml:space="preserve">Walnuts, with shell</t>
  </si>
  <si>
    <t xml:space="preserve">Jugland spp.: J. regia. Produced in temperate zones of the Northern Hemisphere, particularly in the United States.</t>
  </si>
  <si>
    <t xml:space="preserve">Pistachios</t>
  </si>
  <si>
    <t xml:space="preserve">Pistacia vera. Produced mainly in the Near East and the United States.</t>
  </si>
  <si>
    <t xml:space="preserve">080251, 080252</t>
  </si>
  <si>
    <t xml:space="preserve">Kola nuts</t>
  </si>
  <si>
    <t xml:space="preserve">Kola, cola, Sudan cola nut (Cola nitida; C. vera; C. acuminata). Produced mainly in Africa. Kola nuts, containing 2.4 to 2.6% caffeine, are commonly chewed by the local population. Much used in Europe and America in the production of beverages.</t>
  </si>
  <si>
    <t xml:space="preserve">Hazelnuts, with shell</t>
  </si>
  <si>
    <t xml:space="preserve">Corylus avellana. Produced mainly in Mediterranean countries and the United States.</t>
  </si>
  <si>
    <t xml:space="preserve">Areca nuts</t>
  </si>
  <si>
    <t xml:space="preserve">Areca, betel nut (Areca catechu). Produced mainly in the Far East. Areca nuts are used mainly as masticatory. These nuts contain alkaloids (arecoline and arecaidine).</t>
  </si>
  <si>
    <t xml:space="preserve">Brazil nuts, shelled</t>
  </si>
  <si>
    <t xml:space="preserve">Around 55% of the weight in shell.</t>
  </si>
  <si>
    <t xml:space="preserve">Cashew nuts, shelled</t>
  </si>
  <si>
    <t xml:space="preserve">Around 25% of the weight in shell.</t>
  </si>
  <si>
    <t xml:space="preserve">Almonds shelled</t>
  </si>
  <si>
    <t xml:space="preserve">Walnuts, shelled</t>
  </si>
  <si>
    <t xml:space="preserve">Around 53% of the weight in shell.</t>
  </si>
  <si>
    <t xml:space="preserve">Hazelnuts, shelled</t>
  </si>
  <si>
    <t xml:space="preserve">Around 50% of the weight in shell.</t>
  </si>
  <si>
    <t xml:space="preserve">Nuts nes</t>
  </si>
  <si>
    <t xml:space="preserve">Including inter alia: pecan nut (Carya illinoensis); butter or swarri nut (Caryocar nuciferum); pili nut, Java almond, Chinese olives (Canarium spp.); paradise or sapucaia nut (Lecythis zabucajo); Queensland, macadamia nut (Macadamia ternifolia); pignolia nut (Pinus pinea). Other nuts that are not identified separately because of their minor relevance at the international level. Because of their limited local importance, some countries report nuts under this heading that are classified individually by FAO.</t>
  </si>
  <si>
    <t xml:space="preserve">080260, 080290</t>
  </si>
  <si>
    <t xml:space="preserve">080261, 080262, 080290</t>
  </si>
  <si>
    <t xml:space="preserve">Nuts, prepared (exc. groundnuts)</t>
  </si>
  <si>
    <t xml:space="preserve">Mainly roasted, whether or not containing vegetable oils, salt, flavours, spices or other additives. Excludes prepared groundnuts, except when mixed with other nuts.</t>
  </si>
  <si>
    <t xml:space="preserve">081190, 081290, 200190, 200799, 200819</t>
  </si>
  <si>
    <t xml:space="preserve">F0235</t>
  </si>
  <si>
    <t xml:space="preserve">Soybeans</t>
  </si>
  <si>
    <t xml:space="preserve">Glycine soja. The most important oil crop. Also widely consumed as a bean and in the form of various derived products because of its high protein content, e.g. soya milk, meat, etc.</t>
  </si>
  <si>
    <t xml:space="preserve">120110, 120190</t>
  </si>
  <si>
    <t xml:space="preserve">Oil, soybean</t>
  </si>
  <si>
    <t xml:space="preserve">Obtained by solvent extraction from the beans. Used mainly for food.</t>
  </si>
  <si>
    <t xml:space="preserve">150710, 150790</t>
  </si>
  <si>
    <t xml:space="preserve">Cake, soybeans</t>
  </si>
  <si>
    <t xml:space="preserve">Oilcake and other solid residues (except dregs), whether or not ground, or in the form of pellets, resulting from the extraction of fats or oils.</t>
  </si>
  <si>
    <t xml:space="preserve">Soya sauce</t>
  </si>
  <si>
    <t xml:space="preserve">A fermented soya product from defatted soybeand and wheat or other cereals that is filtered and pasteurized.</t>
  </si>
  <si>
    <t xml:space="preserve">Soya paste</t>
  </si>
  <si>
    <t xml:space="preserve">A fermented, salty condiment. Soya paste can be produced through brine fermentation of low- moisture soya curd.</t>
  </si>
  <si>
    <t xml:space="preserve">210390, 210610</t>
  </si>
  <si>
    <t xml:space="preserve">Soya curd</t>
  </si>
  <si>
    <t xml:space="preserve">Obtained by precipitating proteins from soya milk and removing the fluid. Can be fermented or non-fermented.</t>
  </si>
  <si>
    <t xml:space="preserve">Groundnuts, with shell</t>
  </si>
  <si>
    <t xml:space="preserve">Arachis hypogaea. For trade data, groundnuts in shell are converted at 70% and reported on a shelled basis.</t>
  </si>
  <si>
    <t xml:space="preserve">120210, 120220</t>
  </si>
  <si>
    <t xml:space="preserve">120230, 120241</t>
  </si>
  <si>
    <t xml:space="preserve">Groundnuts, shelled</t>
  </si>
  <si>
    <t xml:space="preserve">Used as direct food and for extracting oil.</t>
  </si>
  <si>
    <t xml:space="preserve">Oil, groundnut</t>
  </si>
  <si>
    <t xml:space="preserve">Obtained by pressure or solvent extraction. Used mainly for food.</t>
  </si>
  <si>
    <t xml:space="preserve">150810, 150890</t>
  </si>
  <si>
    <t xml:space="preserve">Cake, groundnuts</t>
  </si>
  <si>
    <t xml:space="preserve">Residue from oil extraction.</t>
  </si>
  <si>
    <t xml:space="preserve">Groundnuts, prepared</t>
  </si>
  <si>
    <t xml:space="preserve">Roasted, salted, flavoured, etc.</t>
  </si>
  <si>
    <t xml:space="preserve">Peanut butter</t>
  </si>
  <si>
    <t xml:space="preserve">Obtained by grinding roasted peanuts. In addition to fat, at 40-46%, peanut butter contains all other components of the nuts.</t>
  </si>
  <si>
    <t xml:space="preserve">Coconuts</t>
  </si>
  <si>
    <t xml:space="preserve">Cocos nucifera Husked coconut. In shell, covered by the endocarp, while exocarp (the smooth outer skin) and mesocarp (the fibrous covering) are removed. Immature nuts contain a milky juice that is consumed as a refreshing drink. Mature nuts are consumed as such, or processed for copra or desiccated coconut. The flesh, from which copra/oil is extracted, constitutes 40-70% of the weight of the husked coconut. The oil content is about 36% of the flesh.</t>
  </si>
  <si>
    <t xml:space="preserve">080112, 080119</t>
  </si>
  <si>
    <t xml:space="preserve">Coconuts, desiccated</t>
  </si>
  <si>
    <t xml:space="preserve">Dried, shredded flesh of coconut processed for human consumption. It retains most of the oil and proteins of the fresh nut and is mainly used in confectionery and baking.</t>
  </si>
  <si>
    <t xml:space="preserve">Copra</t>
  </si>
  <si>
    <t xml:space="preserve">The dried flesh of coconut from which the oil is extracted.</t>
  </si>
  <si>
    <t xml:space="preserve">Oil, coconut (copra)</t>
  </si>
  <si>
    <t xml:space="preserve">Obtained by pressure from copra and by solvent from the residues of pressure extraction. Has both food and industrial uses.</t>
  </si>
  <si>
    <t xml:space="preserve">151311, 151319</t>
  </si>
  <si>
    <t xml:space="preserve">Cake, copra</t>
  </si>
  <si>
    <t xml:space="preserve">Oil palm fruit</t>
  </si>
  <si>
    <t xml:space="preserve">Elaeis guineensis. The oil palm produces bunches containing a large number of fruits with the fleshy mesocarp enclosing a kernel that is covered by a very hard shell. FAO considers palm oil (coming from the pulp) and palm kernels to be primary products. The oil extraction rate from a bunch varies from 17 to 27% for palm oil, and from 4 to 10% for palm kernels.</t>
  </si>
  <si>
    <t xml:space="preserve">Palm kernels</t>
  </si>
  <si>
    <t xml:space="preserve">Seeds of the oil palm. Babassu kernels (Orbignya speciosa) are often reported as palm kernels.</t>
  </si>
  <si>
    <t xml:space="preserve">Oil, palm</t>
  </si>
  <si>
    <t xml:space="preserve">Obtained from the mesocarp of the fruit of the oil palm by pressure, and also by solvent from the residues of the pressure extraction.</t>
  </si>
  <si>
    <t xml:space="preserve">151110, 151190</t>
  </si>
  <si>
    <t xml:space="preserve">Oil, palm kernel</t>
  </si>
  <si>
    <t xml:space="preserve">Obtained from the kernel of the nut of the fruits of the oil palm by pressure in two or three stages at different temperatures. Including oil of babassu kernels.</t>
  </si>
  <si>
    <t xml:space="preserve">151321, 151329</t>
  </si>
  <si>
    <t xml:space="preserve">Cake, palm kernel</t>
  </si>
  <si>
    <t xml:space="preserve">Olives</t>
  </si>
  <si>
    <t xml:space="preserve">Olea europaea. Includes table olives and olives for oil.</t>
  </si>
  <si>
    <t xml:space="preserve">Oil, olive, virgin</t>
  </si>
  <si>
    <t xml:space="preserve">Obtained from olives by mechanical or other physical means. Olive oil is the only vegetable oil that can be consumed without refining.</t>
  </si>
  <si>
    <t xml:space="preserve">Olives preserved</t>
  </si>
  <si>
    <t xml:space="preserve">Treated with SO2, brine, water, or otherwise prepared or preserved.</t>
  </si>
  <si>
    <t xml:space="preserve">071120, 200190, 200490, 200570</t>
  </si>
  <si>
    <t xml:space="preserve">F0262</t>
  </si>
  <si>
    <t xml:space="preserve">Karite nuts (sheanuts)</t>
  </si>
  <si>
    <t xml:space="preserve">Butyrospermum parkii. Production data refer only to the nut contained in the fruit although the pulp around the nut is also edible.</t>
  </si>
  <si>
    <t xml:space="preserve">Butter of karite nuts</t>
  </si>
  <si>
    <t xml:space="preserve">A very important vegetable oil in West Africa. Used as a substitute for cocoa butter and in cosmetics.</t>
  </si>
  <si>
    <t xml:space="preserve">Castor oil seed</t>
  </si>
  <si>
    <t xml:space="preserve">Ricinus communis. Valued mainly for their oil, which is used in pharmaceutical products. Ground seedcakes are used as fertilizers (castor oil pomace).</t>
  </si>
  <si>
    <t xml:space="preserve">Oil, castor beans</t>
  </si>
  <si>
    <t xml:space="preserve">Obtained by pressure or by solvent. Uses include mainly industrial ones, in pharmaceuticals and cosmetics.</t>
  </si>
  <si>
    <t xml:space="preserve">Sunflower seed</t>
  </si>
  <si>
    <t xml:space="preserve">Helianthus annuus. Valued mainly for its oil. Minor uses include as a human food and as feed for birds.</t>
  </si>
  <si>
    <t xml:space="preserve">Oil, sunflower</t>
  </si>
  <si>
    <t xml:space="preserve">Obtained by pressure extraction. Mainly for food use.</t>
  </si>
  <si>
    <t xml:space="preserve">151211, 151219</t>
  </si>
  <si>
    <t xml:space="preserve">Cake, sunflower</t>
  </si>
  <si>
    <t xml:space="preserve">Residue from oil extraction. The cake is used for feed if it is from decorticated seeds, or for fertilizer if it comes from undecorticated seeds.</t>
  </si>
  <si>
    <t xml:space="preserve">Rapeseed</t>
  </si>
  <si>
    <t xml:space="preserve">Brassica napus var. oleifera. Valued mainly for its oil. Older varieties are rich in Erucic acid, which is considered unhealthy.</t>
  </si>
  <si>
    <t xml:space="preserve">120510, 120590</t>
  </si>
  <si>
    <t xml:space="preserve">Oil, rapeseed</t>
  </si>
  <si>
    <t xml:space="preserve">Obtained by pressure extraction for food use. Oil recovered with solvent from the residues of the pressure extraction is used for industrial purposes. Canola oil is produced from new varieties of rapeseed.</t>
  </si>
  <si>
    <t xml:space="preserve">151411, 151419, 151491, 151499</t>
  </si>
  <si>
    <t xml:space="preserve">Cake, rapeseed</t>
  </si>
  <si>
    <t xml:space="preserve">230641, 230649</t>
  </si>
  <si>
    <t xml:space="preserve">Oil, olive residues</t>
  </si>
  <si>
    <t xml:space="preserve">Oil extracted from olive residues with solvents.</t>
  </si>
  <si>
    <t xml:space="preserve">Tung nuts</t>
  </si>
  <si>
    <t xml:space="preserve">Aleurites cordata; A. fordii. Valued mainly for their oil.</t>
  </si>
  <si>
    <t xml:space="preserve">Jojoba seed</t>
  </si>
  <si>
    <t xml:space="preserve">Simmondsia californica (syn. S. chinensis). From the shrub or small tree of the Buxaceae family.</t>
  </si>
  <si>
    <t xml:space="preserve">Safflower seed</t>
  </si>
  <si>
    <t xml:space="preserve">Carthamus tinctorius. Valued mainly for its oil. Minor uses include as a human food and as poultry feed.</t>
  </si>
  <si>
    <t xml:space="preserve">Oil, safflower</t>
  </si>
  <si>
    <t xml:space="preserve">Obtained either by pressure or by solvent. Has both food and industrial uses.</t>
  </si>
  <si>
    <t xml:space="preserve">Cake, safflower</t>
  </si>
  <si>
    <t xml:space="preserve">Sesame seed</t>
  </si>
  <si>
    <t xml:space="preserve">Sesamum indicum. Valued for its oil, but also as a food, either raw or roasted, as well as in bakery products and other food preparations.</t>
  </si>
  <si>
    <t xml:space="preserve">Oil, sesame</t>
  </si>
  <si>
    <t xml:space="preserve">Obtained by pressure extraction in two or three stages at different temperatures. Sometimes the oil is also extracted by solvent from the residue of the pressure extraction. Used mainly for food.</t>
  </si>
  <si>
    <t xml:space="preserve">Cake, sesame seed</t>
  </si>
  <si>
    <t xml:space="preserve">Mustard seed</t>
  </si>
  <si>
    <t xml:space="preserve">White mustard (Brassica alba; B. hirta; Sinapis alba); black mustard (Brassica nigra; Sinapis nigra). In addition to the oil extracted from them, white mustard seeds, may be processed into flour for food use. Black mustard seeds also yield oil and are processed into flour that is used mainly in pharmaceutical products.</t>
  </si>
  <si>
    <t xml:space="preserve">Cake, mustard</t>
  </si>
  <si>
    <t xml:space="preserve">Flour, mustard</t>
  </si>
  <si>
    <t xml:space="preserve">Includes flour, meal and prepared mustard.</t>
  </si>
  <si>
    <t xml:space="preserve">Poppy seed</t>
  </si>
  <si>
    <t xml:space="preserve">Papaver somniferum. The source of opium, poppy seeds are also used in baking and confectionery.</t>
  </si>
  <si>
    <t xml:space="preserve">Oil, poppy</t>
  </si>
  <si>
    <t xml:space="preserve">Obtained by pressure extraction. Has both food and industrial uses.</t>
  </si>
  <si>
    <t xml:space="preserve">Melonseed</t>
  </si>
  <si>
    <t xml:space="preserve">Cucumis melo. Includes seeds of other Cucurbitaceae.</t>
  </si>
  <si>
    <t xml:space="preserve">Tallowtree seed</t>
  </si>
  <si>
    <t xml:space="preserve">Borneo tallow tree (Shorea aptera; S. stenocarpa); Chinese tallow tree (Sapium sebiferum; Stillingia sebifera). Grown wild and cultivated. FAO considers vegetable tallow and stillingia oil to be primary products (see below).</t>
  </si>
  <si>
    <t xml:space="preserve">Vegetable tallow</t>
  </si>
  <si>
    <t xml:space="preserve">Obtained by pressure extraction or by solvent from the kernels of the fruit of the Borneo tallow tree and from the outer coating that surrounds the seeds of the fruit of the Chinese tallow tree. Used as a substitute for cocoa butter. Also used in soap, candles, medicines and cosmetics.</t>
  </si>
  <si>
    <t xml:space="preserve">Kapok fruit</t>
  </si>
  <si>
    <t xml:space="preserve">Ceiba pentandra, Bombacaceae. The fruit of kapok contains fibre and seeds, which FAO treats as primary crops.</t>
  </si>
  <si>
    <t xml:space="preserve">Kapokseed in shell</t>
  </si>
  <si>
    <t xml:space="preserve">The soft shell is approximately 40-50% of the total weight of the nut.</t>
  </si>
  <si>
    <t xml:space="preserve">Kapokseed shelled</t>
  </si>
  <si>
    <t xml:space="preserve">Used for extracting oil.</t>
  </si>
  <si>
    <t xml:space="preserve">Oil, kapok</t>
  </si>
  <si>
    <t xml:space="preserve">Obtained from shelled seeds by pressure. Used for food and soap.</t>
  </si>
  <si>
    <t xml:space="preserve">Cake, kapok</t>
  </si>
  <si>
    <t xml:space="preserve">Seed cotton</t>
  </si>
  <si>
    <t xml:space="preserve">Gossypium spp.: Unginned cotton. Grown for both seed and for fibre. FAO considers cottonseed, cotton lint and linters to be primary products. Lint content ranges from 30 to 40%, seed 55 to 65%, and linters 2 to 5% though they are not always separated.</t>
  </si>
  <si>
    <t xml:space="preserve">Cottonseed</t>
  </si>
  <si>
    <t xml:space="preserve">120721, 120729</t>
  </si>
  <si>
    <t xml:space="preserve">Oil, cottonseed</t>
  </si>
  <si>
    <t xml:space="preserve">Obtained first by pressure extraction from the kernels of cotton seeds. The residue from this process is then exposed to a solvent. Used mainly as a food.</t>
  </si>
  <si>
    <t xml:space="preserve">151221, 151229</t>
  </si>
  <si>
    <t xml:space="preserve">Cake, cottonseed</t>
  </si>
  <si>
    <t xml:space="preserve">Linseed</t>
  </si>
  <si>
    <t xml:space="preserve">Linum usitatissimum Flaxseed. An annual herbaceous that is cultivated for its fibre as well as its oil.</t>
  </si>
  <si>
    <t xml:space="preserve">Oil, linseed</t>
  </si>
  <si>
    <t xml:space="preserve">Obtained by pressure extraction. Used mainly in non-food items.</t>
  </si>
  <si>
    <t xml:space="preserve">151511, 151519</t>
  </si>
  <si>
    <t xml:space="preserve">Cake, linseed</t>
  </si>
  <si>
    <t xml:space="preserve">Hempseed</t>
  </si>
  <si>
    <t xml:space="preserve">Cannabis sativa. An annual herbaceous that is cultivated for its fibre as well as its oil. In major producing countries oil is extracted from the seeds.</t>
  </si>
  <si>
    <t xml:space="preserve">Cake, hempseed</t>
  </si>
  <si>
    <t xml:space="preserve">Oilseeds nes</t>
  </si>
  <si>
    <t xml:space="preserve">Includes inter alia: beech nut (Fagus sylvatica);(Aleurites moluccana);(Carapa guineensis);(Croton tiglium);(Bassia latifolia);(Guizotia abyssinica);(Licania rigida);(Perilla frutescens);(Jatropha curcas);(Shorea robusta);(Pongamia glabra);(Astrocaryum spp.). Other oilseeds, oleaginous fruits and nuts that are not identified separately because of their minor relevance at the international level. Because of their limited local importance, some countries report commodities under this heading that are classified individually by FAO. Also included under this code are tea seeds, grape pips and tomato seeds from which oil is extracted.</t>
  </si>
  <si>
    <t xml:space="preserve">Oil, vegetable origin nes</t>
  </si>
  <si>
    <t xml:space="preserve">Includes, inter alia, myrtle wax and Japan wax.</t>
  </si>
  <si>
    <t xml:space="preserve">150990, 151590</t>
  </si>
  <si>
    <t xml:space="preserve">Cabbages and other brassicas</t>
  </si>
  <si>
    <t xml:space="preserve">Chinese, mustard cabbage, pak-choi (Brassica chinensis); white, red, savoy cabbage, Brussels sprouts, collards, kale and kohlrabi (Brassica oleracea all var. except botrytis).</t>
  </si>
  <si>
    <t xml:space="preserve">070420, 070490</t>
  </si>
  <si>
    <t xml:space="preserve">Artichokes</t>
  </si>
  <si>
    <t xml:space="preserve">Cynara scolymus.</t>
  </si>
  <si>
    <t xml:space="preserve">Asparagus</t>
  </si>
  <si>
    <t xml:space="preserve">Asparagus officinalis.</t>
  </si>
  <si>
    <t xml:space="preserve">Lettuce and chicory</t>
  </si>
  <si>
    <t xml:space="preserve">Lactuca sativa; witloof chicory (Cichorium intybus var. foliosum); endive (C. endivia var. crispa); escarole chicory (C. endivia var. latifolia).</t>
  </si>
  <si>
    <t xml:space="preserve">070511, 070519, 070521, 070529</t>
  </si>
  <si>
    <t xml:space="preserve">Spinach</t>
  </si>
  <si>
    <t xml:space="preserve">Spinacia oleracea. Trade figures may include New Zealand spinach (Tetragonia espansa) and orache (garden) spinach (Atriplex hortensis).</t>
  </si>
  <si>
    <t xml:space="preserve">Cassava leaves</t>
  </si>
  <si>
    <t xml:space="preserve">Manihot esculenta; M. utilissima. Young cassava leaves are eaten in some areas of Africa as a vegetable.</t>
  </si>
  <si>
    <t xml:space="preserve">Tomatoes</t>
  </si>
  <si>
    <t xml:space="preserve">Lycopersicon esculentum.</t>
  </si>
  <si>
    <t xml:space="preserve">Juice, tomato</t>
  </si>
  <si>
    <t xml:space="preserve">Juice is obtained by treating tomatoes with cold or hot water or with steam. The juice then undergoes various processes, such as clarification, homogenization, sterilization, etc.</t>
  </si>
  <si>
    <t xml:space="preserve">Tomatoes, paste</t>
  </si>
  <si>
    <t xml:space="preserve">Tomatoes prepared or preserved o/t by vinegar, in the form of paste, purâ€še or concentrate. Includes juice of dry weight content of 7% or more.</t>
  </si>
  <si>
    <t xml:space="preserve">Tomatoes, peeled</t>
  </si>
  <si>
    <t xml:space="preserve">Prepared or preserved o/t by vinegar; either whole or in pieces.</t>
  </si>
  <si>
    <t xml:space="preserve">Cauliflowers and broccoli</t>
  </si>
  <si>
    <t xml:space="preserve">Brassica oleracea var. botrytis, subvariety cauliflora and cymosa. Includes headed broccoli.</t>
  </si>
  <si>
    <t xml:space="preserve">Pumpkins, squash and gourds</t>
  </si>
  <si>
    <t xml:space="preserve">Cucurbita spp. Includes marrows.</t>
  </si>
  <si>
    <t xml:space="preserve">Cucumbers and gherkins</t>
  </si>
  <si>
    <t xml:space="preserve">Cucumis sativus.</t>
  </si>
  <si>
    <t xml:space="preserve">Eggplants (aubergines)</t>
  </si>
  <si>
    <t xml:space="preserve">Solanum melongena. Also called aubergines.</t>
  </si>
  <si>
    <t xml:space="preserve">Chillies and peppers, green</t>
  </si>
  <si>
    <t xml:space="preserve">Capsicum annuum; C. fructescens; Pimenta officinalis. Production data exclude crops cultivated explicitly as spices. In contrast, trade data include these crops, provided they are fresh, uncrushed and unground.</t>
  </si>
  <si>
    <t xml:space="preserve">Onions, shallots, green</t>
  </si>
  <si>
    <t xml:space="preserve">Shallots (Allium ascalonicum); onions (A. cepa); welsh onions (A. fistulosum). Young onions pulled before the bulb has enlarged; used especially in salads. Includes onion sets.</t>
  </si>
  <si>
    <t xml:space="preserve">Onions, dry</t>
  </si>
  <si>
    <t xml:space="preserve">Allium cepa. Includes onions at a mature stage, but not dehydrated onions.</t>
  </si>
  <si>
    <t xml:space="preserve">Garlic</t>
  </si>
  <si>
    <t xml:space="preserve">Allium sativum.</t>
  </si>
  <si>
    <t xml:space="preserve">Leeks, other alliaceous vegetables</t>
  </si>
  <si>
    <t xml:space="preserve">Leeks (Allium porrum); chives (A. schoenoprasum); other alliac. (Allium varieties except those of 402, 403 and 406).</t>
  </si>
  <si>
    <t xml:space="preserve">Beans, green</t>
  </si>
  <si>
    <t xml:space="preserve">Phaseolus and Vigna spp.. For shelling.</t>
  </si>
  <si>
    <t xml:space="preserve">Peas, green</t>
  </si>
  <si>
    <t xml:space="preserve">Pisum sativum. Mostly for shelling, but including edible- podded peas or sugar peas.</t>
  </si>
  <si>
    <t xml:space="preserve">Vegetables, leguminous nes</t>
  </si>
  <si>
    <t xml:space="preserve">Vicia faba. For shelling.</t>
  </si>
  <si>
    <t xml:space="preserve">String beans</t>
  </si>
  <si>
    <t xml:space="preserve">Phaseolus vulgaris; Vigna spp. Not for shelling.</t>
  </si>
  <si>
    <t xml:space="preserve">Carrots and turnips</t>
  </si>
  <si>
    <t xml:space="preserve">Daucus carota. Trade data may include turnips (Brassica rapa var. rapifera).</t>
  </si>
  <si>
    <t xml:space="preserve">Okra</t>
  </si>
  <si>
    <t xml:space="preserve">Abelmoschus esculentus; Hibiscus esculentus. Also called gombo.</t>
  </si>
  <si>
    <t xml:space="preserve">Maize, green</t>
  </si>
  <si>
    <t xml:space="preserve">Zea mays, particularly var. saccharata. Maize harvested green for food. Saccharata variety is commonly known as sweet corn.</t>
  </si>
  <si>
    <t xml:space="preserve">Sweet corn frozen</t>
  </si>
  <si>
    <t xml:space="preserve">Either uncooked, or cooked by steaming or boiling in water, and then frozen.</t>
  </si>
  <si>
    <t xml:space="preserve">Sweet corn prep or preserved</t>
  </si>
  <si>
    <t xml:space="preserve">Prepared or preserved other than by vinegar or acetic acid; not frozen.</t>
  </si>
  <si>
    <t xml:space="preserve">Mushrooms and truffles</t>
  </si>
  <si>
    <t xml:space="preserve">Including inter alia: Boletus edulis; Agaricus campestris; Morchella spp. and Tuber magnatum. Cultivated or spontaneous. Includes truffles.</t>
  </si>
  <si>
    <t xml:space="preserve">070951, 070959</t>
  </si>
  <si>
    <t xml:space="preserve">Mushrooms, canned</t>
  </si>
  <si>
    <t xml:space="preserve">Mushrooms and truffles, prepared or preserved o/t by vinegar or acetic acid; either whole, in pieces, or homogenized.</t>
  </si>
  <si>
    <t xml:space="preserve">200310, 200320, 200390</t>
  </si>
  <si>
    <t xml:space="preserve">200310, 200390</t>
  </si>
  <si>
    <t xml:space="preserve">Chicory roots</t>
  </si>
  <si>
    <t xml:space="preserve">Horium intybus; C. sativum. Unroasted chicory roots.</t>
  </si>
  <si>
    <t xml:space="preserve">Vegetables, fresh or dried products nes</t>
  </si>
  <si>
    <t xml:space="preserve">Fruit stones, kernels and other vegetable products used primarily for human food that are not specified or included elsewhere.</t>
  </si>
  <si>
    <t xml:space="preserve">Carobs</t>
  </si>
  <si>
    <t xml:space="preserve">Ceratonia siliqua Carob-tree, locust bean. Includes also seeds. Mainly used as an animal feed and for industrial purposes. Rich in pectin.</t>
  </si>
  <si>
    <t xml:space="preserve">Vegetables, fresh nes</t>
  </si>
  <si>
    <t xml:space="preserve">Including inter alia: bamboo shoots (Bambusa spp.); beets, chards (Beta vulgaris); capers (Capparis spinosa); cardoons (Cynara cardunculus); celery (Apium graveolens); chervil (Anthriscus cerefolium); cress (Lepidium sativum); fennel (Foeniculum vulgare); horseradish (Cochlearia armoracia); marjoram, sweet (Majorana hortensis); oyster plant (Tragopogon porrifolius); parsley (Petroselinum crispum); parsnips (Pastinaca sativa); radish (Raphanus sativus); rhubarb (Rheum spp.); rutabagas, swedes (Brassica napus); savory (Satureja hortensis); scorzonera (Scorzonera hispanica); sorrel (Rumex acetosa); soybean sprouts tarragon (Artemisia dracunculus); watercress (Nasturtium officinale). Other vegetables that are not identified separately because of their minor relevance at the international level. Because of their limited local importance, some countries report vegetables under this heading that are classified individually by FAO.</t>
  </si>
  <si>
    <t xml:space="preserve">070690, 070940, 070990</t>
  </si>
  <si>
    <t xml:space="preserve">070690, 070940, 070999</t>
  </si>
  <si>
    <t xml:space="preserve">Vegetables, dried nes</t>
  </si>
  <si>
    <t xml:space="preserve">Vegetables, canned nes</t>
  </si>
  <si>
    <t xml:space="preserve">Vegetables, dehydrated</t>
  </si>
  <si>
    <t xml:space="preserve">Vegetables that are dried, dehydrated, evaporated or freeze-dried. Includes dried vegetables that are broken or powdered.</t>
  </si>
  <si>
    <t xml:space="preserve">071220, 071290</t>
  </si>
  <si>
    <t xml:space="preserve">Vegetables in vinegar</t>
  </si>
  <si>
    <t xml:space="preserve">Vegetables, fruit, nuts and other edible parts of plants, prepared or preserved with vinegar or acetic acid, with or without added sugar, salt, spices, etc. Includes pickles.</t>
  </si>
  <si>
    <t xml:space="preserve">200110, 200190</t>
  </si>
  <si>
    <t xml:space="preserve">Vegetables, preserved nes</t>
  </si>
  <si>
    <t xml:space="preserve">Vegetables prepared or preserved o/t by vinegar and which have not been frozen.</t>
  </si>
  <si>
    <t xml:space="preserve">200520, 200540, 200551, 200559, 200560, 200591, 200599</t>
  </si>
  <si>
    <t xml:space="preserve">F0472</t>
  </si>
  <si>
    <t xml:space="preserve">Vegetables, frozen</t>
  </si>
  <si>
    <t xml:space="preserve">Vegetables, either uncooked, or cooked by steaming or boiling in water, and then frozen.</t>
  </si>
  <si>
    <t xml:space="preserve">071021, 071022, 071029, 071030, 071080, 071090</t>
  </si>
  <si>
    <t xml:space="preserve">F0473</t>
  </si>
  <si>
    <t xml:space="preserve">Vegetables, temporarily preserved</t>
  </si>
  <si>
    <t xml:space="preserve">Vegetables preserved with SO2, brine, etc., but which are unsuitable for consumption in that state.</t>
  </si>
  <si>
    <t xml:space="preserve">071140, 071151, 071159, 071190</t>
  </si>
  <si>
    <t xml:space="preserve">Vegetables, preserved, frozen</t>
  </si>
  <si>
    <t xml:space="preserve">Vegetables that are prepared or preserved o/t by vinegar, and then frozen.</t>
  </si>
  <si>
    <t xml:space="preserve">200410, 200490</t>
  </si>
  <si>
    <t xml:space="preserve">F0475</t>
  </si>
  <si>
    <t xml:space="preserve">Vegetables, homogenized preparations</t>
  </si>
  <si>
    <t xml:space="preserve">Preparations Vegetables prepared for dietetic and infant food.</t>
  </si>
  <si>
    <t xml:space="preserve">Bananas</t>
  </si>
  <si>
    <t xml:space="preserve">Musa sapientum; M. cavendishii; M. nana. Bananas are normally eaten raw. Trade figures may include dried bananas. Data should be reported excluding the weight of the central stalk.</t>
  </si>
  <si>
    <t xml:space="preserve">Plantains and others</t>
  </si>
  <si>
    <t xml:space="preserve">Musa paradisiaca. Generally known as a cooking banana. Data should be reported excluding the weight of the central stalk.</t>
  </si>
  <si>
    <t xml:space="preserve">Oranges</t>
  </si>
  <si>
    <t xml:space="preserve">Common, sweet orange (Citrus sinensis); bitter orange (C. aurantium). Bitter oranges are used primarily in the preparation of marmalade.</t>
  </si>
  <si>
    <t xml:space="preserve">Juice, orange, single strength</t>
  </si>
  <si>
    <t xml:space="preserve">Juice is obtained by mechanical extractors, or by pressing, and is then submitted to various processes. Unfermented, it may or may not be frozen. For direct consumption.</t>
  </si>
  <si>
    <t xml:space="preserve">200911, 200912</t>
  </si>
  <si>
    <t xml:space="preserve">Juice, orange, concentrated</t>
  </si>
  <si>
    <t xml:space="preserve">Juice that is obtained by a concentration process in which the water is physically removed from the juice until it has not less than 20% of solids by weight. It is then reconstituted with water before consumption. Unfermented, it may or may not be frozen.</t>
  </si>
  <si>
    <t xml:space="preserve">200911, 200919</t>
  </si>
  <si>
    <t xml:space="preserve">Tangerines, mandarins, clementines, satsumas</t>
  </si>
  <si>
    <t xml:space="preserve">Mandarin, tangerine (Citrus reticulata); clementine, satsuma (C. unshiu).</t>
  </si>
  <si>
    <t xml:space="preserve">Lemons and limes</t>
  </si>
  <si>
    <t xml:space="preserve">Lemon (Citrus limon); sour lime (C. aurantifolia); sweet lime (C. limetta).</t>
  </si>
  <si>
    <t xml:space="preserve">Juice, lemon, single strength</t>
  </si>
  <si>
    <t xml:space="preserve">See 491.</t>
  </si>
  <si>
    <t xml:space="preserve">Juice, lemon, concentrated</t>
  </si>
  <si>
    <t xml:space="preserve">See 492.</t>
  </si>
  <si>
    <t xml:space="preserve">Grapefruit (inc. pomelos)</t>
  </si>
  <si>
    <t xml:space="preserve">Citrus maxima; C. grandis; C. paradisi.</t>
  </si>
  <si>
    <t xml:space="preserve">Juice, grapefruit</t>
  </si>
  <si>
    <t xml:space="preserve">Juice, grapefruit, concentrated</t>
  </si>
  <si>
    <t xml:space="preserve">Fruit, citrus nes</t>
  </si>
  <si>
    <t xml:space="preserve">Including inter alia: bergamot (Citrus bergamia); citron (C. medica var. cedrata); chinotto (C. myrtifolia); kumquat (Fortunella japonica). Some minor varieties of citrus are used primarily in the preparation of perfumes and soft drinks.</t>
  </si>
  <si>
    <t xml:space="preserve">Juice, citrus, single strength</t>
  </si>
  <si>
    <t xml:space="preserve">Juice, citrus, concentrated</t>
  </si>
  <si>
    <t xml:space="preserve">Apples</t>
  </si>
  <si>
    <t xml:space="preserve">Malus pumila; M. sylvestris; M. communis; Pyrus malus.</t>
  </si>
  <si>
    <t xml:space="preserve">Cider etc</t>
  </si>
  <si>
    <t xml:space="preserve">Fermented beverages nes (e.g. cider, perry, mead), including alcoholic beverages (that are not distilled) made from cereals, roots and fruits, that are not included under other headings, e.g. beer from plantains and ginger.</t>
  </si>
  <si>
    <t xml:space="preserve">Juice, apple, single strength</t>
  </si>
  <si>
    <t xml:space="preserve">Juice, apple, concentrated</t>
  </si>
  <si>
    <t xml:space="preserve">Pears</t>
  </si>
  <si>
    <t xml:space="preserve">Pyrus communis.</t>
  </si>
  <si>
    <t xml:space="preserve">Quinces</t>
  </si>
  <si>
    <t xml:space="preserve">Cydonia oblonga; C. vulgaris; C. japonica.</t>
  </si>
  <si>
    <t xml:space="preserve">Apricots</t>
  </si>
  <si>
    <t xml:space="preserve">Prunus armeniaca.</t>
  </si>
  <si>
    <t xml:space="preserve">Apricots, dry</t>
  </si>
  <si>
    <t xml:space="preserve">Prepared either by direct drying in the sun or by industrial processes. May be marketed as slices or blocks of pulp, either dried or evaporated.</t>
  </si>
  <si>
    <t xml:space="preserve">Cherries, sour</t>
  </si>
  <si>
    <t xml:space="preserve">Prunus cerasus; Cerasus acida.</t>
  </si>
  <si>
    <t xml:space="preserve">Cherries</t>
  </si>
  <si>
    <t xml:space="preserve">Mazzard, sweet cherry (Prunus avium; Cerasus avium); hard-fleshed cherry (var. duracina); heart cherry (var. juliana).</t>
  </si>
  <si>
    <t xml:space="preserve">Peaches and nectarines</t>
  </si>
  <si>
    <t xml:space="preserve">Prunus persica; Amygdalus persica; Persica laevis.</t>
  </si>
  <si>
    <t xml:space="preserve">Plums and sloes</t>
  </si>
  <si>
    <t xml:space="preserve">Greengage, mirabelle, damson (Prunus domestica); sloe (P. spinosa).</t>
  </si>
  <si>
    <t xml:space="preserve">Plums dried (prunes)</t>
  </si>
  <si>
    <t xml:space="preserve">See 527. Known as prunes.</t>
  </si>
  <si>
    <t xml:space="preserve">Juice, plum, single strength</t>
  </si>
  <si>
    <t xml:space="preserve">Juice, plum, concentrated</t>
  </si>
  <si>
    <t xml:space="preserve">Fruit, stone nes</t>
  </si>
  <si>
    <t xml:space="preserve">Other stone fruit not separately identified. In some countries, apricots, cherries, peaches, nectarines and plums are reported under this general category.</t>
  </si>
  <si>
    <t xml:space="preserve">Fruit, pome nes</t>
  </si>
  <si>
    <t xml:space="preserve">Other pome fruit not separately identified. In some countries apples, pears and quinces are reported under this general category.</t>
  </si>
  <si>
    <t xml:space="preserve">Strawberries</t>
  </si>
  <si>
    <t xml:space="preserve">Fragaria spp..</t>
  </si>
  <si>
    <t xml:space="preserve">Raspberries</t>
  </si>
  <si>
    <t xml:space="preserve">Ubus idaeus. Trade data may include blackberries, mulberries and loganberries (a cross between the raspberry and blackberry).</t>
  </si>
  <si>
    <t xml:space="preserve">Gooseberries</t>
  </si>
  <si>
    <t xml:space="preserve">Ribes grossularia. Trade data may sometimes include black, white or red currants.</t>
  </si>
  <si>
    <t xml:space="preserve">Currants</t>
  </si>
  <si>
    <t xml:space="preserve">Black (Ribes nigrum); red and white (R. rubrum). Trade data may sometimes include gooseberries.</t>
  </si>
  <si>
    <t xml:space="preserve">Blueberries</t>
  </si>
  <si>
    <t xml:space="preserve">European blueberry, wild bilberry, whortleberry (Vaccinium myrtillus); American blueberry (V. corymbosum). Trade data may include cranberries, myrtle berries and other fruits of the genus Vaccinium.</t>
  </si>
  <si>
    <t xml:space="preserve">Cranberries</t>
  </si>
  <si>
    <t xml:space="preserve">American cranberry (Vaccinium macrocarpon); European cranberry (V. oxycoccus). Trade data may include blueberries, myrtle berries and other fruits of the genus Vaccinium.</t>
  </si>
  <si>
    <t xml:space="preserve">Berries nes</t>
  </si>
  <si>
    <t xml:space="preserve">Including inter alia: blackberry (Morus nigra); loganberry; white, red mulberry (M. alba; M. rubra); myrtle berry (Myrtus communis) huckleberry, dangleberry (Gaylussacia spp.). Other berries not separately identified. In some countries, some or all of the berries listed previously are reported under this general category.</t>
  </si>
  <si>
    <t xml:space="preserve">081020, 081040</t>
  </si>
  <si>
    <t xml:space="preserve">Grapes</t>
  </si>
  <si>
    <t xml:space="preserve">Vitis vinifera. Includes both table and wine grapes.</t>
  </si>
  <si>
    <t xml:space="preserve">Raisins</t>
  </si>
  <si>
    <t xml:space="preserve">Dried grapes. Includes sultanas and currants.</t>
  </si>
  <si>
    <t xml:space="preserve">Juice, grape</t>
  </si>
  <si>
    <t xml:space="preserve">See 491. Includes unfermented grape must.</t>
  </si>
  <si>
    <t xml:space="preserve">200961, 200969</t>
  </si>
  <si>
    <t xml:space="preserve">Wine</t>
  </si>
  <si>
    <t xml:space="preserve">Wines of fresh grapes of all qualities, including sparkling, fortified and dessert wines.</t>
  </si>
  <si>
    <t xml:space="preserve">220410, 220421, 220429</t>
  </si>
  <si>
    <t xml:space="preserve">Vermouths &amp; similar</t>
  </si>
  <si>
    <t xml:space="preserve">Beverages made with wine of fresh grapes and flavoured with aromatic substances.</t>
  </si>
  <si>
    <t xml:space="preserve">220510, 220590</t>
  </si>
  <si>
    <t xml:space="preserve">Watermelons</t>
  </si>
  <si>
    <t xml:space="preserve">Citrullus vulgaris.</t>
  </si>
  <si>
    <t xml:space="preserve">Melons, other (inc.cantaloupes)</t>
  </si>
  <si>
    <t xml:space="preserve">Cucumis melo;.</t>
  </si>
  <si>
    <t xml:space="preserve">Figs</t>
  </si>
  <si>
    <t xml:space="preserve">Ficus carica.</t>
  </si>
  <si>
    <t xml:space="preserve">Figs dried</t>
  </si>
  <si>
    <t xml:space="preserve">See 527.</t>
  </si>
  <si>
    <t xml:space="preserve">Mangoes, mangosteens, guavas</t>
  </si>
  <si>
    <t xml:space="preserve">Mangifera indica. Trade figures may include dried mangoes, guavas and mangosteens, including both fresh and dried.</t>
  </si>
  <si>
    <t xml:space="preserve">Avocados</t>
  </si>
  <si>
    <t xml:space="preserve">Persea americana.</t>
  </si>
  <si>
    <t xml:space="preserve">Pineapples</t>
  </si>
  <si>
    <t xml:space="preserve">Ananas comosus; A. sativ. Trade figures may include dried pineapples.</t>
  </si>
  <si>
    <t xml:space="preserve">Pineapples canned</t>
  </si>
  <si>
    <t xml:space="preserve">Fruit pulp prepared in water, syrup, etc.</t>
  </si>
  <si>
    <t xml:space="preserve">Juice, pineapple</t>
  </si>
  <si>
    <t xml:space="preserve">Dates</t>
  </si>
  <si>
    <t xml:space="preserve">Phoenix dactylifera. Includes fresh and dried fruit.</t>
  </si>
  <si>
    <t xml:space="preserve">Juice, pineapple, concentrated</t>
  </si>
  <si>
    <t xml:space="preserve">See 492. Soluble fruit solids of not less than 27% by weight.</t>
  </si>
  <si>
    <t xml:space="preserve">Persimmons</t>
  </si>
  <si>
    <t xml:space="preserve">Diospyros kaki: D. virginiana.</t>
  </si>
  <si>
    <t xml:space="preserve">Cashewapple</t>
  </si>
  <si>
    <t xml:space="preserve">Anacardium occidentale. The thickened, fleshy stem below the cashew nut. When soft it is used for jam.</t>
  </si>
  <si>
    <t xml:space="preserve">Kiwi fruit</t>
  </si>
  <si>
    <t xml:space="preserve">Actinidia chinensis.</t>
  </si>
  <si>
    <t xml:space="preserve">Papayas</t>
  </si>
  <si>
    <t xml:space="preserve">Carica papaya.</t>
  </si>
  <si>
    <t xml:space="preserve">Fruit, tropical fresh nes</t>
  </si>
  <si>
    <t xml:space="preserve">Including inter alia: breadfruit (Artocarpus incisa); carambola (Averrhoa carambola); cherimoya, custard apple (Annona spp.); durian (Durio zibethinus); feijoa (Feijoa sellowiana); guava (Psidium guajava); hog plum, mombin (Spondias spp.); jackfruit (Artocarpus integrifolia); longan (nephelium longan); mammee (Mammea americana); mangosteen (Garcinia mangostana); naranjillo (Solanum quitoense); passion fruit (Passiflora edulis); rambutan (nephelium lappaceum); sapote, mamey colorado (Calocarpum mammosum); sapodilla (Achras sapota); star apple, cainito (Chrysophyllum spp.). Other tropical fresh fruit that are not identified separately because of their minor relevance at the international level. In some countries mangoes, avocados, pineapples, dates and papayas are reported under this general category.</t>
  </si>
  <si>
    <t xml:space="preserve">080450, 081060, 081090</t>
  </si>
  <si>
    <t xml:space="preserve">Fruit, fresh nes</t>
  </si>
  <si>
    <t xml:space="preserve">Including inter alia: azarole (Crataegus azarolus); babaco (Carica pentagona); elderberry (Sambucus nigra); jujube (Zizyphus jujuba); litchi (nephelium litchi); loquat (Eriobotrya japonica); medlar (Mespilus germanica); pawpaw (Asimina triloba); pomegranate (Punica granatum); prickly pear (Opuntia ficus-indica); rose hips (Rosa spp.); rowanberry (Sorbus aucuparia); service-apple (Sorbus domestica); tamarind (Tamarindus indica); tree-strawberry (Arbutus unedo). Other fresh fruit that are not identified separately because of their minor relevance at the international level. Because of their limited local importance, some countries report fresh fruit under this heading that are classified separately by FAO.</t>
  </si>
  <si>
    <t xml:space="preserve">Fruit, dried nes</t>
  </si>
  <si>
    <t xml:space="preserve">Dried fruit other than apricots, dates, citrus, figs, grapes, nuts and plums.</t>
  </si>
  <si>
    <t xml:space="preserve">081330, 081340, 081350</t>
  </si>
  <si>
    <t xml:space="preserve">Juice, fruit nes</t>
  </si>
  <si>
    <t xml:space="preserve">200980, 200990</t>
  </si>
  <si>
    <t xml:space="preserve">200981, 200989, 200990</t>
  </si>
  <si>
    <t xml:space="preserve">Fruit, prepared nes</t>
  </si>
  <si>
    <t xml:space="preserve">Fruit, nuts and peel, including frozen, prepared or preserved, jam, paste, marmalade, purâ€še and cooked fruits, other than those listed separately.</t>
  </si>
  <si>
    <t xml:space="preserve">081110, 081120, 081190, 081210, 081290, 081400, 200190, 200791, 200799, 200830, 200840, 200850, 200860, 200870, 200880, 200891, 200892, 200899</t>
  </si>
  <si>
    <t xml:space="preserve">081110, 081120, 081190, 081210, 081290, 081400, 200190, 200791, 200799, 200830, 200840, 200850, 200860, 200870, 200880, 200891, 200893, 200897, 200899</t>
  </si>
  <si>
    <t xml:space="preserve">F0623</t>
  </si>
  <si>
    <t xml:space="preserve">Fruit, cooked, homogenized preparations</t>
  </si>
  <si>
    <t xml:space="preserve">Cooked fruit preparations, homogenized for dietetic and infant foods.</t>
  </si>
  <si>
    <t xml:space="preserve">Feed, pulp of fruit</t>
  </si>
  <si>
    <t xml:space="preserve">Waste of fruit, fruit pomace and marc, excluding marc of grapes.</t>
  </si>
  <si>
    <t xml:space="preserve">Cane tops</t>
  </si>
  <si>
    <t xml:space="preserve">The leaves and upper part of the stalks, which are used for feed. The tops represent about 10% of the weight of the plant.</t>
  </si>
  <si>
    <t xml:space="preserve">Waters,ice etc</t>
  </si>
  <si>
    <t xml:space="preserve">Includes natural or artificial mineral waters without added sugar, sweeteners or flavourings.</t>
  </si>
  <si>
    <t xml:space="preserve">220110, 220190</t>
  </si>
  <si>
    <t xml:space="preserve">Beverages, non alcoholic</t>
  </si>
  <si>
    <t xml:space="preserve">Includes sweetened or flavoured mineral waters and other non-alcoholic beverages, such as lemonade, orangeade, cola, etc. Excludes fruit and vegetable juices.</t>
  </si>
  <si>
    <t xml:space="preserve">220210, 220290</t>
  </si>
  <si>
    <t xml:space="preserve">Beverages, distilled alcoholic</t>
  </si>
  <si>
    <t xml:space="preserve">Includes undenatured ethyl alcohol (strength by volume &lt; 80%); spirits, liqueurs and other spirituous beverages and preparations.</t>
  </si>
  <si>
    <t xml:space="preserve">220820, 220830, 220840, 220850, 220860, 220870, 220890</t>
  </si>
  <si>
    <t xml:space="preserve">Straw husks</t>
  </si>
  <si>
    <t xml:space="preserve">Cereal straw and husks, unprepared, whether or not chopped, ground, pressed, or in the form of pellets.</t>
  </si>
  <si>
    <t xml:space="preserve">Forage and silage, grasses nes</t>
  </si>
  <si>
    <t xml:space="preserve">Including inter alia: bent, redtop, fiorin grass (Agrostis spp.); bluegrass (Poa spp.); Columbus grass (Sorghum almum); fescue (Festuca spp.); Napier, elephant grass (Pennisetum purpureum); orchard grass (Dactylis glomerata); Rhodes grass (Chloris gayana); Sudan grass (Sorghum vulgare var. sudanense); Timothy grass (Phleum pratense). Includes species used for cereal production, if cut green for fodder.</t>
  </si>
  <si>
    <t xml:space="preserve">Forage and silage, clover</t>
  </si>
  <si>
    <t xml:space="preserve">Trifolium spp.. Various species grown for pasture, green fodder or silage.</t>
  </si>
  <si>
    <t xml:space="preserve">Forage and silage, legumes</t>
  </si>
  <si>
    <t xml:space="preserve">Including inter alia: birdsfoot, trefoil (Lotus corniculatus); lespedeza (Lespedeza spp.); kudzu (Pueraria lobata); sesbania (Sesbania spp.); sainfoin, esparcette (Onobrychis sativa); sulla (Hedysarum coronarium). Includes species of pulses, if harvested for fodder.</t>
  </si>
  <si>
    <t xml:space="preserve">Turnips for fodder</t>
  </si>
  <si>
    <t xml:space="preserve">Brassica rapa var. rapifera. Especially cultivated for fodder.</t>
  </si>
  <si>
    <t xml:space="preserve">Forage products</t>
  </si>
  <si>
    <t xml:space="preserve">Plants specifically grown for animal feed.</t>
  </si>
  <si>
    <t xml:space="preserve">Feed, vegetable products nes</t>
  </si>
  <si>
    <t xml:space="preserve">Vegetable products, vegetable waste, residues and by-products from the industrial processing of vegetable materials.</t>
  </si>
  <si>
    <t xml:space="preserve">Food wastes</t>
  </si>
  <si>
    <t xml:space="preserve">Sweetened forage and preparations of a kind used for animal feed, e.g. wine lees, argol.</t>
  </si>
  <si>
    <t xml:space="preserve">230700, 230990</t>
  </si>
  <si>
    <t xml:space="preserve">Dregs from brewing, distillation</t>
  </si>
  <si>
    <t xml:space="preserve">Coffee, green</t>
  </si>
  <si>
    <t xml:space="preserve">Coffea spp. (arabica, robusta, liberica). Raw coffee in all forms.</t>
  </si>
  <si>
    <t xml:space="preserve">Coffee, roasted</t>
  </si>
  <si>
    <t xml:space="preserve">With or without caffeine, and whether or not ground.</t>
  </si>
  <si>
    <t xml:space="preserve">090112, 090121, 090122</t>
  </si>
  <si>
    <t xml:space="preserve">Coffee, substitutes containing coffee</t>
  </si>
  <si>
    <t xml:space="preserve">Coffee substitutes containing coffee in any proportion.</t>
  </si>
  <si>
    <t xml:space="preserve">Coffee, extracts</t>
  </si>
  <si>
    <t xml:space="preserve">Essences and concentrates, including instant coffee, roasted chicory and other coffee substitutes, extracts and essences thereof.</t>
  </si>
  <si>
    <t xml:space="preserve">210111, 210112, 210130</t>
  </si>
  <si>
    <t xml:space="preserve">Coffee, husks and skins</t>
  </si>
  <si>
    <t xml:space="preserve">Cocoa, beans</t>
  </si>
  <si>
    <t xml:space="preserve">Theobroma cacao. The seeds contained in the fruit of the cacao- tree, including whole or broken, raw or roasted.</t>
  </si>
  <si>
    <t xml:space="preserve">Cocoa, paste</t>
  </si>
  <si>
    <t xml:space="preserve">Obtained by grinding roasted cocoa beans. Also called liquor. Not defatted.</t>
  </si>
  <si>
    <t xml:space="preserve">Cocoa, butter</t>
  </si>
  <si>
    <t xml:space="preserve">Obtained by hot-pressing either cocoa paste or the whole bean. Includes the fat and oil.</t>
  </si>
  <si>
    <t xml:space="preserve">Cocoa, powder &amp; cake</t>
  </si>
  <si>
    <t xml:space="preserve">Wholly or partly defatted paste (cake) and cake reduced to powder, without added sugar or other sweeteners.</t>
  </si>
  <si>
    <t xml:space="preserve">180320, 180500</t>
  </si>
  <si>
    <t xml:space="preserve">F0665</t>
  </si>
  <si>
    <t xml:space="preserve">Chocolate products nes</t>
  </si>
  <si>
    <t xml:space="preserve">Includes sweetened cocoa powder, chocolate and other food preparations containing cocoa, as well as sugar confectionery containing cocoa in any amount. Excludes white chocolate (see 168).</t>
  </si>
  <si>
    <t xml:space="preserve">180610, 180620, 180631, 180632, 180690</t>
  </si>
  <si>
    <t xml:space="preserve">F0666</t>
  </si>
  <si>
    <t xml:space="preserve">Tea</t>
  </si>
  <si>
    <t xml:space="preserve">Camellia sinensis; Thea sinensis; Thea assaamica. Includes green tea (unfermented), black tea (fermented), and partially fermented tea. Excludes green tea eaten as a vegetable.</t>
  </si>
  <si>
    <t xml:space="preserve">090210, 090220, 090230, 090240</t>
  </si>
  <si>
    <t xml:space="preserve">MatÃ©</t>
  </si>
  <si>
    <t xml:space="preserve">Ilex paraguayensis. The dried leaves of certain shrubs of the holly family which grow in South America. Prepared in a way similar to tea.</t>
  </si>
  <si>
    <t xml:space="preserve">Tea, mate extracts</t>
  </si>
  <si>
    <t xml:space="preserve">Includes essences, concentrates and preparations of tea and matâ€š.</t>
  </si>
  <si>
    <t xml:space="preserve">Hops</t>
  </si>
  <si>
    <t xml:space="preserve">Humulus lupulus. Hop cones, fresh or dried, whether or not ground, powdered or in the form of pellets. Includes lupuline, a yellow resinous powder that covers the hop cones. Mainly used in the brewing industry to give flavour to beer.</t>
  </si>
  <si>
    <t xml:space="preserve">121010, 121020</t>
  </si>
  <si>
    <t xml:space="preserve">Pepper (piper spp.)</t>
  </si>
  <si>
    <t xml:space="preserve">Black, white pepper (Piper nigrum); long pepper (P. longum). Perennial climbing vines. Includes whole, crushed or ground berries. Black pepper is produced from partially ripe berries, while white pepper is from fully ripe berries which have had the outer hull removed.</t>
  </si>
  <si>
    <t xml:space="preserve">090411, 090412</t>
  </si>
  <si>
    <t xml:space="preserve">Chillies and peppers, dry</t>
  </si>
  <si>
    <t xml:space="preserve">Red and cayenne pepper, paprika, chillies (Capsicum frutescens; C. annuum); allspice, Jamaica pepper (Pimenta officinalis). Uncrushed or unground fresh pimentos are considered to be vegetables.</t>
  </si>
  <si>
    <t xml:space="preserve">090421, 090422</t>
  </si>
  <si>
    <t xml:space="preserve">Vanilla</t>
  </si>
  <si>
    <t xml:space="preserve">Vanilla planifolia; V. pompona. The fruit (or bean) of a climbing plant of the orchid family. Includes whole, crushed or ground.</t>
  </si>
  <si>
    <t xml:space="preserve">090510, 090520</t>
  </si>
  <si>
    <t xml:space="preserve">Cinnamon (cannella)</t>
  </si>
  <si>
    <t xml:space="preserve">Ceylon cinnamon (Cinnamomum zeylanicum); Chinese, common cinnamon, cassia (C. cassia). The inner bark of young branches of certain trees of the Laurus family. Includes cinnamon- tree flowers, cinnamon fruit and cinnamon waste (chips), whether whole, crushed or ground.</t>
  </si>
  <si>
    <t xml:space="preserve">090611, 090619, 090620</t>
  </si>
  <si>
    <t xml:space="preserve">Cloves</t>
  </si>
  <si>
    <t xml:space="preserve">Eugenia caryophyllata; Caryophyllus aromaticus. The whole fruit of the clove tree, including the flowers picked before maturity and dried in the sun, and the stems of the clove flowers.</t>
  </si>
  <si>
    <t xml:space="preserve">090710, 090720</t>
  </si>
  <si>
    <t xml:space="preserve">Nutmeg, mace and cardamoms</t>
  </si>
  <si>
    <t xml:space="preserve">Nutmeg, mace (Myristica fragrans); cluster cardamon (Elettaria cardamomum); other cardamons (Aframomum angustifolium; A. hambury; Amomun aromaticum; A. cardamomum); Malaguetta pepper, grains of paradise (Aframomum melegueta). Nutmeg is the inner brown kernel of the fruit of the nutmeg tree. Mace is the net-like membrane between the outer shell and the kernel. Cardamon seeds are enclosed in the capsule produced by perennial herbs of the Zingiberaceae family.</t>
  </si>
  <si>
    <t xml:space="preserve">090810, 090820, 090830</t>
  </si>
  <si>
    <t xml:space="preserve">090811, 090812, 090821, 090822, 090831, 090832</t>
  </si>
  <si>
    <t xml:space="preserve">Anise, badian, fennel, coriander</t>
  </si>
  <si>
    <t xml:space="preserve">Include: anise (Pimpinella anisum); badian or star anise (Illicium verum); caraway (Carum carvi); coriander (Coriandrum sativum); cumin (Cuminum cyminum); fennel (Foeniculum vulgare); juniper berries (Juniperus communis). Seeds and berries from the various plants listed. They are normally used as spices, but also have industrial (e.g. in distilleries) and medicinal applications.</t>
  </si>
  <si>
    <t xml:space="preserve">090910, 090920, 090930, 090940, 090950</t>
  </si>
  <si>
    <t xml:space="preserve">090921, 090922, 090931, 090932, 090961, 090962</t>
  </si>
  <si>
    <t xml:space="preserve">Ginger</t>
  </si>
  <si>
    <t xml:space="preserve">Zingiber officinale. Rhizome of a perennial herb. It also is used for making beverages. Includes fresh, provisionally preserved or dried, whereas ginger preserved in sugar or syrup is excluded.</t>
  </si>
  <si>
    <t xml:space="preserve">091011, 091012</t>
  </si>
  <si>
    <t xml:space="preserve">Spices nes</t>
  </si>
  <si>
    <t xml:space="preserve">Including inter alia: bay leaves (Laurus nobilis); dill seed (Anethum graveolens); fenugreek seed (Trigonella foenum-graecum); saffron (Crocus sativus); thyme (Thymus vulgaris); turmeric (Curcuma longa). Other spices that are not identified separately because of their minor relevance at the international level. Because of their limited local importance, some countries report spices under this heading that are classified individually by FAO. This heading also includes curry powder and other mixtures of different spices.</t>
  </si>
  <si>
    <t xml:space="preserve">091020, 091030, 091091, 091099</t>
  </si>
  <si>
    <t xml:space="preserve">Oil, citronella</t>
  </si>
  <si>
    <t xml:space="preserve">Essential oil extracted from Cymbopogon nardus.</t>
  </si>
  <si>
    <t xml:space="preserve">Peppermint</t>
  </si>
  <si>
    <t xml:space="preserve">Mentha spp.: M. piperita. Leaves and flowers are used in the perfumery, food and other industries.</t>
  </si>
  <si>
    <t xml:space="preserve">Oil, essential nes</t>
  </si>
  <si>
    <t xml:space="preserve">Extracted from many plants and used mainly in the perfumery, food and other industries.</t>
  </si>
  <si>
    <t xml:space="preserve">330112, 330113, 330119, 330124, 330125, 330129, 330130, 330190</t>
  </si>
  <si>
    <t xml:space="preserve">Pyrethrum, dried</t>
  </si>
  <si>
    <t xml:space="preserve">Chrysanthemum cinerariifolium. Includes leaves, stems and flowers. For insecticides, fungicides and similar products.</t>
  </si>
  <si>
    <t xml:space="preserve">Pyrethrum, extraction</t>
  </si>
  <si>
    <t xml:space="preserve">Obtained from the flowers by extraction using an organic solvent.</t>
  </si>
  <si>
    <t xml:space="preserve">Cotton lint</t>
  </si>
  <si>
    <t xml:space="preserve">Gossypium spp. Fibres from ginning seed cotton that have not been carded or combed. Trade data also include fibres that have been cleaned, bleached, dyed or rendered absorbent.</t>
  </si>
  <si>
    <t xml:space="preserve">Cotton, carded, combed</t>
  </si>
  <si>
    <t xml:space="preserve">Cotton (including garnetted stock and other cotton waste) which has been carded or combed, whether or not further prepared for spinning. May be bleached or dyed.</t>
  </si>
  <si>
    <t xml:space="preserve">Cotton waste</t>
  </si>
  <si>
    <t xml:space="preserve">Waste is produced when cotton is prepared for spinning, or during spinning operations, weaving, knitting, etc., or from garnetting cotton goods.</t>
  </si>
  <si>
    <t xml:space="preserve">520210, 520291, 520299</t>
  </si>
  <si>
    <t xml:space="preserve">F0769</t>
  </si>
  <si>
    <t xml:space="preserve">Cotton linter</t>
  </si>
  <si>
    <t xml:space="preserve">Very short fibres that cover the seeds after ginning and that are very high in cellulose.</t>
  </si>
  <si>
    <t xml:space="preserve">Flax fibre raw</t>
  </si>
  <si>
    <t xml:space="preserve">Linum usitatissimum Flax Straw. Flax is cultivated for seed as well as for fibre. The fibre is obtained from the stem of the plant. Data are reported in terms of straw.</t>
  </si>
  <si>
    <t xml:space="preserve">Flax fibre and tow</t>
  </si>
  <si>
    <t xml:space="preserve">Broken, scutched, hackled etc. but not spun. Traditionally, FAO has used this commodity to identify production in its raw state; in reality, the primary agricultural product is the commodity 771, which can either be used for the production of fibre or for other purposes.</t>
  </si>
  <si>
    <t xml:space="preserve">530121, 530129</t>
  </si>
  <si>
    <t xml:space="preserve">Flax tow waste</t>
  </si>
  <si>
    <t xml:space="preserve">Includes yarn waste and garnetted stock.</t>
  </si>
  <si>
    <t xml:space="preserve">Hemp tow waste</t>
  </si>
  <si>
    <t xml:space="preserve">Cannabis sativa. This plant is cultivated for seed as well as for fibre. The fibre is obtained from the stem of the plant. Trade data include raw, retted, scutched, combed fibre, tow and waste.</t>
  </si>
  <si>
    <t xml:space="preserve">530210, 530290</t>
  </si>
  <si>
    <t xml:space="preserve">Kapok fibre</t>
  </si>
  <si>
    <t xml:space="preserve">Ceiba pentandra. This plant is cultivated for seed as well as for fibre. Trade data cover only fibres that have been crushed, carded or combed for spinning.</t>
  </si>
  <si>
    <t xml:space="preserve">Jute</t>
  </si>
  <si>
    <t xml:space="preserve">White jute (Corchorus capsularis); red jute, tossa (C. olitorius). Trade data cover raw or processed jute (but not spun), tow and waste, yarn waste and garnetted stock and may include jute-like fibres.</t>
  </si>
  <si>
    <t xml:space="preserve">530310, 530390</t>
  </si>
  <si>
    <t xml:space="preserve">Bastfibres, other</t>
  </si>
  <si>
    <t xml:space="preserve">Including inter alia: China jute (Abutilon avicennae); Congo jute, malva, paka (Urena lobata; U. sinuata); Indian flax (Abroma augusta); kenaf, meshta (Hibiscus cannabinus); rosella hemp (H. sabdariffa); sunn hemp (Crotalaria juncea). This definition covers all textile fibres extracted from the stems of dicotyledonous plants, o/t flax, ramie, true hemp and true jute. For trade coverage see 780.</t>
  </si>
  <si>
    <t xml:space="preserve">Ramie</t>
  </si>
  <si>
    <t xml:space="preserve">China grass, white ramie (Boehmeria nivea); rhea, green ramie (B. tenacissima). Ramie fibre is obtained from the bast of the plant. For trade coverage see 780.</t>
  </si>
  <si>
    <t xml:space="preserve">Sisal</t>
  </si>
  <si>
    <t xml:space="preserve">Agave sisalana. Sisal fibre is obtained from the leaves of the plant. It also is used as an ornamental plant. Trade data cover fibres that are raw, prepared for spinning, and tow and waste, including yarn waste and garnetted stock.</t>
  </si>
  <si>
    <t xml:space="preserve">Agave fibres nes</t>
  </si>
  <si>
    <t xml:space="preserve">Including inter alia: Haiti hemp (Agave foetida); henequen (A. fourcroydes); ixtle, tampico (A. lecheguilla); maguey (A. cantala); pita (A. americana); Salvador hemp (A. letonae). See 789. The leaves of some agave varieties are used for the production of alcoholic beverages, such as aquamiel, mezcal, pulque and tequila.</t>
  </si>
  <si>
    <t xml:space="preserve">Manila fibre (abaca)</t>
  </si>
  <si>
    <t xml:space="preserve">Musa textilis. The fibre is obtained from stalks of certain banana trees. For trade coverage see 789.</t>
  </si>
  <si>
    <t xml:space="preserve">Coir</t>
  </si>
  <si>
    <t xml:space="preserve">Cocos nucifera. Coir fibre is obtained from the fibrous covering of the mesocarp. For trade coverage see 789.</t>
  </si>
  <si>
    <t xml:space="preserve">Fibre crops nes</t>
  </si>
  <si>
    <t xml:space="preserve">Including inter alia: alfa, esparto (Lygeum spartum; Stipa tenacissima); bowstring hemp (Sansevieria spp.); caroa (Neoglaziovia variegata); fuque fibre (Furcraea macrophylla); Mauritius hemp (F. gigantea); New Zealand flax (Phormium tenax); palma ixtle (Samuela carnerosana). Other fibres that are not identified separately because of their minor relevance at the international level. Because of their limited local importance, some countries report vegetable fibres under this commodity heading that are classified individually by FAO. The fibre is obtained from the leaves, stalks or fruit of the plant. In instances where the fibrous part is normally used for other purposes, data cover only those fibres intended for spinning. For trade coverage see 789.</t>
  </si>
  <si>
    <t xml:space="preserve">Tobacco, unmanufactured</t>
  </si>
  <si>
    <t xml:space="preserve">Nicotiana tabacum. Unmanufactured dry tobacco, including refuse that is not stemmed or stripped, or is partly or wholly stemmed or stripped.</t>
  </si>
  <si>
    <t xml:space="preserve">240110, 240120, 240130</t>
  </si>
  <si>
    <t xml:space="preserve">Cigarettes</t>
  </si>
  <si>
    <t xml:space="preserve">Includes cigarettes of tobacco substitutes.</t>
  </si>
  <si>
    <t xml:space="preserve">240220, 240290</t>
  </si>
  <si>
    <t xml:space="preserve">Cigars, cheroots</t>
  </si>
  <si>
    <t xml:space="preserve">Includes cigars, cheroots and cigarillos of tobacco substitutes.</t>
  </si>
  <si>
    <t xml:space="preserve">240210, 240290</t>
  </si>
  <si>
    <t xml:space="preserve">Tobacco products nes</t>
  </si>
  <si>
    <t xml:space="preserve">Includes smoking, chewing, snuff tobacco, homogenized or compressed tobacco, manufactured tobacco substitutes, tobacco extracts and essences.</t>
  </si>
  <si>
    <t xml:space="preserve">240310, 240391, 240399</t>
  </si>
  <si>
    <t xml:space="preserve">Rubber, natural</t>
  </si>
  <si>
    <t xml:space="preserve">Hevea brasiliensis Latex. The liquid secreted by the rubber tree. Includes stabilized or concentrated latex and prevulcanized rubber latex. In trade figures, liquid weight is converted to dry weight at 60%.</t>
  </si>
  <si>
    <t xml:space="preserve">Rubber natural dry</t>
  </si>
  <si>
    <t xml:space="preserve">In the form of sheets, crË†pes, re-agglomerated granules, free-flowing powders, etc.; includes technically specified natural rubber (TSNR).</t>
  </si>
  <si>
    <t xml:space="preserve">400121, 400122, 400129</t>
  </si>
  <si>
    <t xml:space="preserve">Gums, natural</t>
  </si>
  <si>
    <t xml:space="preserve">Including inter alia: balata (Manilkara bidentata); ceara (Manihot glaziovii); chicle gum (Achras zapota); guayule (Parthenium argentatum); gutta-percha (Palachium gutta); jelutong (Dieva costulana). Extracted from the latex of trees of various species. Although similar to rubber in many ways, natural gums are usually less elastic.</t>
  </si>
  <si>
    <t xml:space="preserve">Pet food</t>
  </si>
  <si>
    <t xml:space="preserve">International trade classifications cover only dog and cat food. FAO trade data also cover food for other pets (i.e. fish, birds, etc.), whenever possible.</t>
  </si>
  <si>
    <t xml:space="preserve">Feed, compound nes</t>
  </si>
  <si>
    <t xml:space="preserve">See 840. See general note in the introduction.</t>
  </si>
  <si>
    <t xml:space="preserve">Feed and meal, gluten</t>
  </si>
  <si>
    <t xml:space="preserve">Generally, by-products of the wet milling of maize. Gluten feed consists of fibres, spent germ and steep liquor. Gluten meal contains endosperm protein fractions that remain following starch recovery.</t>
  </si>
  <si>
    <t xml:space="preserve">Feed supplements</t>
  </si>
  <si>
    <t xml:space="preserve">Prepared animal feed that supplements the basic farm produced feed with organic or inorganic substances.</t>
  </si>
  <si>
    <t xml:space="preserve">Vitamins</t>
  </si>
  <si>
    <t xml:space="preserve">See 851.</t>
  </si>
  <si>
    <t xml:space="preserve">Feed minerals</t>
  </si>
  <si>
    <t xml:space="preserve">Hay (clover, lucerne,etc)</t>
  </si>
  <si>
    <t xml:space="preserve">Hay from leguminous crops.</t>
  </si>
  <si>
    <t xml:space="preserve">Hay (unspecified)</t>
  </si>
  <si>
    <t xml:space="preserve">Hay from unspecified plants.</t>
  </si>
  <si>
    <t xml:space="preserve">Alfalfa meal and pellets</t>
  </si>
  <si>
    <t xml:space="preserve">Alfalfa (lucerne) dried, whole, cut, chopped, milled, pressed or pelletized.</t>
  </si>
  <si>
    <t xml:space="preserve">Cattle</t>
  </si>
  <si>
    <t xml:space="preserve">Common ox (Bos taurus); zebu, humped ox (Bos indicus); Asiatic ox (subgenus Bibos); Tibetan yak (Poephagus grunniens). Animals of the genus listed, regardless of age, sex, or purpose raised. Data are expressed in number of heads.</t>
  </si>
  <si>
    <t xml:space="preserve">010210, 010290</t>
  </si>
  <si>
    <t xml:space="preserve">010221, 010229</t>
  </si>
  <si>
    <t xml:space="preserve">Meat, cattle</t>
  </si>
  <si>
    <t xml:space="preserve">Meat of bovine animals, fresh, chilled or frozen, with bone in. Commontrade names are beef and veal.</t>
  </si>
  <si>
    <t xml:space="preserve">020110, 020120, 020210, 020220</t>
  </si>
  <si>
    <t xml:space="preserve">Offals, edible, cattle</t>
  </si>
  <si>
    <t xml:space="preserve">Fresh, chilled or frozen.</t>
  </si>
  <si>
    <t xml:space="preserve">020610, 020621, 020622, 020629, 050400</t>
  </si>
  <si>
    <t xml:space="preserve">Fat, cattle</t>
  </si>
  <si>
    <t xml:space="preserve">Unrendered slaughter fats from bovine animals, including edible and inedible fats that are removed in the course of dressing the carcass.</t>
  </si>
  <si>
    <t xml:space="preserve">Meat, cattle, boneless (beef &amp; veal)</t>
  </si>
  <si>
    <t xml:space="preserve">Boneless meat of bovine animals, whether fresh, chilled or frozen.</t>
  </si>
  <si>
    <t xml:space="preserve">020130, 020230</t>
  </si>
  <si>
    <t xml:space="preserve">Meat, beef and veal sausages</t>
  </si>
  <si>
    <t xml:space="preserve">Preparations of meat or offal, whether chopped, minced or of blood. They may be raw, cooked or smoked and contain other ingredients, andare then enclosed in natural or artificial casings.</t>
  </si>
  <si>
    <t xml:space="preserve">Meat, beef, preparations</t>
  </si>
  <si>
    <t xml:space="preserve">Meat and offal (o/t liver) that are boiled, steamed, grilled, fried,roasted or otherwise cooked. Includes prepared meals that contain morethan 20% of meat and offal by weight.</t>
  </si>
  <si>
    <t xml:space="preserve">F0875</t>
  </si>
  <si>
    <t xml:space="preserve">Milk, whole fresh cow</t>
  </si>
  <si>
    <t xml:space="preserve">Production data refer to raw milk containing all its constituents. Trade data normally cover milk from any animal, and refer to milk that is not concentrated, pasteurized, sterilized or other-wise preserved, homogenized or peptonized.</t>
  </si>
  <si>
    <t xml:space="preserve">040120, 040130</t>
  </si>
  <si>
    <t xml:space="preserve">040120, 040140, 040150</t>
  </si>
  <si>
    <t xml:space="preserve">Cream fresh</t>
  </si>
  <si>
    <t xml:space="preserve">That portion of milk which is rich in milk fat and is separated by skimming or centrifuging.</t>
  </si>
  <si>
    <t xml:space="preserve">Butter, cow milk</t>
  </si>
  <si>
    <t xml:space="preserve">Emulsion of milk fat and water that is obtained by churning cream. Trade data cover butter from the milk of any animal.</t>
  </si>
  <si>
    <t xml:space="preserve">040510, 040520</t>
  </si>
  <si>
    <t xml:space="preserve">Milk, skimmed cow</t>
  </si>
  <si>
    <t xml:space="preserve">Milk from which most of the fat has been removed.</t>
  </si>
  <si>
    <t xml:space="preserve">040110, 040120</t>
  </si>
  <si>
    <t xml:space="preserve">Milk, whole condensed</t>
  </si>
  <si>
    <t xml:space="preserve">Milk and cream from which water has been partly removed after heat-treating and concentrating. Normally sucrose is added to give the product stability and bacteriological safety.</t>
  </si>
  <si>
    <t xml:space="preserve">Whey, condensed</t>
  </si>
  <si>
    <t xml:space="preserve">Whey paste.</t>
  </si>
  <si>
    <t xml:space="preserve">Yoghurt</t>
  </si>
  <si>
    <t xml:space="preserve">A fermented milk food.</t>
  </si>
  <si>
    <t xml:space="preserve">Yoghurt, concentrated or not</t>
  </si>
  <si>
    <t xml:space="preserve">Includes additives such as sugar, flavouring materials, fruit or cocoa.</t>
  </si>
  <si>
    <t xml:space="preserve">Buttermilk, curdled, acidified milk</t>
  </si>
  <si>
    <t xml:space="preserve">Residue from butter making. Includes kephir.</t>
  </si>
  <si>
    <t xml:space="preserve">Milk, whole evaporated</t>
  </si>
  <si>
    <t xml:space="preserve">Milk and cream from which the water has been partly removed and which has been heat- treated to render it bacteriologically safe and stable.</t>
  </si>
  <si>
    <t xml:space="preserve">Milk, whole dried</t>
  </si>
  <si>
    <t xml:space="preserve">Milk and cream from which water has been completely removed by various methods. In form of powder, granules or other solid forms. May contain added sugar or other sweeteners.</t>
  </si>
  <si>
    <t xml:space="preserve">040221, 040229</t>
  </si>
  <si>
    <t xml:space="preserve">Milk, skimmed dried</t>
  </si>
  <si>
    <t xml:space="preserve">Same as 897, but from skim milk. Normally does not exceed 1.5% fat content.</t>
  </si>
  <si>
    <t xml:space="preserve">Whey, dry</t>
  </si>
  <si>
    <t xml:space="preserve">Used in both food and animal feed.</t>
  </si>
  <si>
    <t xml:space="preserve">Cheese, whole cow milk</t>
  </si>
  <si>
    <t xml:space="preserve">Curd of milk that has been coagulated and separated from whey. May include some skimmed milk.</t>
  </si>
  <si>
    <t xml:space="preserve">040610, 040620, 040630, 040640, 040690</t>
  </si>
  <si>
    <t xml:space="preserve">Cheese, processed</t>
  </si>
  <si>
    <t xml:space="preserve">040630, 040690</t>
  </si>
  <si>
    <t xml:space="preserve">Milk, reconstituted</t>
  </si>
  <si>
    <t xml:space="preserve">Obtained by adding water, fat, etc. to milk powder.</t>
  </si>
  <si>
    <t xml:space="preserve">Milk, products of natural constituents nes</t>
  </si>
  <si>
    <t xml:space="preserve">Ice cream and edible ice</t>
  </si>
  <si>
    <t xml:space="preserve">A product with a milk or cream base to which sweeteners, eggs, etc. have been added.</t>
  </si>
  <si>
    <t xml:space="preserve">Hides, cattle, fresh</t>
  </si>
  <si>
    <t xml:space="preserve">Green hide or skin as removed from the carcass of the animal (adult bovine). Used for production data only.</t>
  </si>
  <si>
    <t xml:space="preserve">410120, 410150, 410190</t>
  </si>
  <si>
    <t xml:space="preserve">Hides, cattle, wet salted</t>
  </si>
  <si>
    <t xml:space="preserve">Approximately 80-85% of green weight.</t>
  </si>
  <si>
    <t xml:space="preserve">Skins, calve, wet salted</t>
  </si>
  <si>
    <t xml:space="preserve">See 920.</t>
  </si>
  <si>
    <t xml:space="preserve">Meat indigenous, cattle</t>
  </si>
  <si>
    <t xml:space="preserve">21111.01i</t>
  </si>
  <si>
    <t xml:space="preserve">Buffaloes</t>
  </si>
  <si>
    <t xml:space="preserve">Indian, Asiatic, pigmy, water buffalo (Bubalus bubalus; B. arnee; B. depressicornis); African buffalo (genus Syncerus); American bison (Bison bison); European bison (Bison bonasus); beeffalo (cross between a bison and a domesticated beef animal). See 866. Excludes wild bisons and buffaloes.</t>
  </si>
  <si>
    <t xml:space="preserve">010231, 010239</t>
  </si>
  <si>
    <t xml:space="preserve">Meat, buffalo</t>
  </si>
  <si>
    <t xml:space="preserve">Fresh, chilled or frozen, with bone in or boneless.</t>
  </si>
  <si>
    <t xml:space="preserve">020110, 020120, 020130, 020210, 020220, 020230</t>
  </si>
  <si>
    <t xml:space="preserve">Offals, edible, buffaloes</t>
  </si>
  <si>
    <t xml:space="preserve">Fat, buffaloes</t>
  </si>
  <si>
    <t xml:space="preserve">See 869.</t>
  </si>
  <si>
    <t xml:space="preserve">Milk, whole fresh buffalo</t>
  </si>
  <si>
    <t xml:space="preserve">See 882 and derived products.</t>
  </si>
  <si>
    <t xml:space="preserve">Ghee, buffalo milk</t>
  </si>
  <si>
    <t xml:space="preserve">Hides, buffalo, fresh</t>
  </si>
  <si>
    <t xml:space="preserve">See 919. Both adult and young animals.</t>
  </si>
  <si>
    <t xml:space="preserve">Hides, buffalo, wet salted</t>
  </si>
  <si>
    <t xml:space="preserve">Hides, buffalo, dry salted</t>
  </si>
  <si>
    <t xml:space="preserve">See 921.</t>
  </si>
  <si>
    <t xml:space="preserve">Meat indigenous, buffalo</t>
  </si>
  <si>
    <t xml:space="preserve">21112i</t>
  </si>
  <si>
    <t xml:space="preserve">Sheep</t>
  </si>
  <si>
    <t xml:space="preserve">Ovis spp.. See 866. Includes Uriel, Argali, Bighorn, Karakul and Astrakhan.</t>
  </si>
  <si>
    <t xml:space="preserve">Meat, sheep</t>
  </si>
  <si>
    <t xml:space="preserve">Meat of sheep and lamb, whether fresh, chilled or frozen, with bone inor boneless.</t>
  </si>
  <si>
    <t xml:space="preserve">020410, 020421, 020422, 020423, 020430, 020441, 020442, 020443</t>
  </si>
  <si>
    <t xml:space="preserve">Offals, sheep,edible</t>
  </si>
  <si>
    <t xml:space="preserve">020680, 020690, 050400</t>
  </si>
  <si>
    <t xml:space="preserve">Fat, sheep</t>
  </si>
  <si>
    <t xml:space="preserve">Unrendered slaughter fats of sheep. See 869.</t>
  </si>
  <si>
    <t xml:space="preserve">Milk, whole fresh sheep</t>
  </si>
  <si>
    <t xml:space="preserve">Cheese, sheep milk</t>
  </si>
  <si>
    <t xml:space="preserve">Wool, greasy</t>
  </si>
  <si>
    <t xml:space="preserve">A natural fibre taken from sheep or lambs. Includes fleece-washed, shorn and pulled wool (from slaughtered animals), but does not include carded or combed wool.</t>
  </si>
  <si>
    <t xml:space="preserve">510111, 510119</t>
  </si>
  <si>
    <t xml:space="preserve">Wool, degreased</t>
  </si>
  <si>
    <t xml:space="preserve">Includes scoured and carbonized, but does not include carded or combed wool.</t>
  </si>
  <si>
    <t xml:space="preserve">510121, 510129, 510130</t>
  </si>
  <si>
    <t xml:space="preserve">Grease incl. lanolin wool</t>
  </si>
  <si>
    <t xml:space="preserve">Extracted from the soapy water in which wool has been scoured, or from greasy wool by meand of solvents. Lanolin is obtained by purifying wool grease. Includes wool grease olein and stearin.</t>
  </si>
  <si>
    <t xml:space="preserve">F0994</t>
  </si>
  <si>
    <t xml:space="preserve">Skins, sheep, fresh</t>
  </si>
  <si>
    <t xml:space="preserve">410210, 410229</t>
  </si>
  <si>
    <t xml:space="preserve">Skins, sheep, wet salted</t>
  </si>
  <si>
    <t xml:space="preserve">Sheep and lamb skins without wool. See 920.</t>
  </si>
  <si>
    <t xml:space="preserve">Skins, sheep, dry salted</t>
  </si>
  <si>
    <t xml:space="preserve">Sheep and lamb skins without wool. See 921.</t>
  </si>
  <si>
    <t xml:space="preserve">Skins, sheep, with wool</t>
  </si>
  <si>
    <t xml:space="preserve">Sheep and lamb skins (excluding 1002), with wool on, salted, dried, limed, pickled or otherwise preserved.</t>
  </si>
  <si>
    <t xml:space="preserve">Wool, hair waste</t>
  </si>
  <si>
    <t xml:space="preserve">Noils of wool or animal hair not garnetted; other waste of wool and animal hair (excluding horsehair) not covered in 1007.</t>
  </si>
  <si>
    <t xml:space="preserve">510310, 510320, 510330</t>
  </si>
  <si>
    <t xml:space="preserve">F1009</t>
  </si>
  <si>
    <t xml:space="preserve">Meat indigenous, sheep</t>
  </si>
  <si>
    <t xml:space="preserve">21115i</t>
  </si>
  <si>
    <t xml:space="preserve">Goats</t>
  </si>
  <si>
    <t xml:space="preserve">Capra spp.. See 866. Includes Hircus, Ibex, Nubiana, Pyrenaica, Tibetana, Kashmir and Angora.</t>
  </si>
  <si>
    <t xml:space="preserve">Meat, goat</t>
  </si>
  <si>
    <t xml:space="preserve">Meat of goats and kids, whether fresh, chilled or frozen, with bone inor boneless.</t>
  </si>
  <si>
    <t xml:space="preserve">Offals, edible, goats</t>
  </si>
  <si>
    <t xml:space="preserve">Fat, goats</t>
  </si>
  <si>
    <t xml:space="preserve">Unrendered slaughter fats of goats. See 869.</t>
  </si>
  <si>
    <t xml:space="preserve">Milk, whole fresh goat</t>
  </si>
  <si>
    <t xml:space="preserve">Skins, goat, fresh</t>
  </si>
  <si>
    <t xml:space="preserve">Skins, goat, wet salted</t>
  </si>
  <si>
    <t xml:space="preserve">Includes kids. See 920.</t>
  </si>
  <si>
    <t xml:space="preserve">Hair, goat, coarse</t>
  </si>
  <si>
    <t xml:space="preserve">Common goat hair. Not carded or combed hair.</t>
  </si>
  <si>
    <t xml:space="preserve">Meat indigenous, goat</t>
  </si>
  <si>
    <t xml:space="preserve">21116i</t>
  </si>
  <si>
    <t xml:space="preserve">Pigs</t>
  </si>
  <si>
    <t xml:space="preserve">Domestic pig (Sus domestica); wild boar (Sus scrofa). See 866. Excludes non-domesticated wild boars.</t>
  </si>
  <si>
    <t xml:space="preserve">010310, 010391, 010392</t>
  </si>
  <si>
    <t xml:space="preserve">Meat, pig</t>
  </si>
  <si>
    <t xml:space="preserve">Meat, with the bone in, of domestic or wild pigs (e.g. wild boars),whether fresh, chilled or frozen.</t>
  </si>
  <si>
    <t xml:space="preserve">020311, 020312, 020319, 020321, 020322, 020329</t>
  </si>
  <si>
    <t xml:space="preserve">Offals, pigs, edible</t>
  </si>
  <si>
    <t xml:space="preserve">020630, 020641, 020649, 050400</t>
  </si>
  <si>
    <t xml:space="preserve">Fat, pigs</t>
  </si>
  <si>
    <t xml:space="preserve">Unrendered slaughter fats of pigs. See 869.</t>
  </si>
  <si>
    <t xml:space="preserve">Meat, pork</t>
  </si>
  <si>
    <t xml:space="preserve">Pig meat, excluding butcher fat and bones.</t>
  </si>
  <si>
    <t xml:space="preserve">020319, 020329</t>
  </si>
  <si>
    <t xml:space="preserve">Bacon and ham</t>
  </si>
  <si>
    <t xml:space="preserve">Meat of pigs, whether salted, in brine, dried or smoked.</t>
  </si>
  <si>
    <t xml:space="preserve">021011, 021012, 021019</t>
  </si>
  <si>
    <t xml:space="preserve">Meat, pig sausages</t>
  </si>
  <si>
    <t xml:space="preserve">See 874.</t>
  </si>
  <si>
    <t xml:space="preserve">Meat, pig, preparations</t>
  </si>
  <si>
    <t xml:space="preserve">See 875.</t>
  </si>
  <si>
    <t xml:space="preserve">160241, 160242, 160249</t>
  </si>
  <si>
    <t xml:space="preserve">F1042</t>
  </si>
  <si>
    <t xml:space="preserve">Lard</t>
  </si>
  <si>
    <t xml:space="preserve">Rendered pig fat.</t>
  </si>
  <si>
    <t xml:space="preserve">150110, 150120</t>
  </si>
  <si>
    <t xml:space="preserve">Skins, pig, fresh</t>
  </si>
  <si>
    <t xml:space="preserve">See 919. In many countries, pigskins are not removed from the carcasses.</t>
  </si>
  <si>
    <t xml:space="preserve">Meat indigenous, pig</t>
  </si>
  <si>
    <t xml:space="preserve">21113.01i</t>
  </si>
  <si>
    <t xml:space="preserve">Chickens</t>
  </si>
  <si>
    <t xml:space="preserve">Fowl (Gallus domesticus); Guinea fowl (Numida meleagris. Domesticated birds only. Data are expressed in thousands.</t>
  </si>
  <si>
    <t xml:space="preserve">010511, 010519, 010594, 010599</t>
  </si>
  <si>
    <t xml:space="preserve">010511, 010515, 010594, 010599</t>
  </si>
  <si>
    <t xml:space="preserve">Meat, chicken</t>
  </si>
  <si>
    <t xml:space="preserve">Fresh, chilled or frozen. May include all types of poultry meat ifnational statistics do not report separate data.</t>
  </si>
  <si>
    <t xml:space="preserve">020711, 020712, 020713, 020714, 020732, 020733, 020735, 020736</t>
  </si>
  <si>
    <t xml:space="preserve">020711, 020712, 020713, 020714, 020760</t>
  </si>
  <si>
    <t xml:space="preserve">Offals, liver chicken</t>
  </si>
  <si>
    <t xml:space="preserve">020713, 020714, 020732, 020733, 020735, 020736</t>
  </si>
  <si>
    <t xml:space="preserve">020713, 020714, 020760</t>
  </si>
  <si>
    <t xml:space="preserve">Fat, liver prepared (foie gras)</t>
  </si>
  <si>
    <t xml:space="preserve">Fatty livers of ducks and geese when cooked, prepared or preserved(e.g. patâ€š).</t>
  </si>
  <si>
    <t xml:space="preserve">Meat, chicken, canned</t>
  </si>
  <si>
    <t xml:space="preserve">Includes meat and offals of poultry.</t>
  </si>
  <si>
    <t xml:space="preserve">160231, 160232, 160239</t>
  </si>
  <si>
    <t xml:space="preserve">F1061</t>
  </si>
  <si>
    <t xml:space="preserve">Eggs, hen, in shell</t>
  </si>
  <si>
    <t xml:space="preserve">Weight in shell.</t>
  </si>
  <si>
    <t xml:space="preserve">040711, 040721, 040790</t>
  </si>
  <si>
    <t xml:space="preserve">Eggs, liquid</t>
  </si>
  <si>
    <t xml:space="preserve">Whole eggs, not in the shell, and egg yolks in liquid form that are frozen or otherwise preserved.</t>
  </si>
  <si>
    <t xml:space="preserve">040819, 040899</t>
  </si>
  <si>
    <t xml:space="preserve">Eggs, dried</t>
  </si>
  <si>
    <t xml:space="preserve">Whole eggs and egg yolks, dried or powdered.</t>
  </si>
  <si>
    <t xml:space="preserve">040811, 040891</t>
  </si>
  <si>
    <t xml:space="preserve">Eggs, hen, in shell (number)</t>
  </si>
  <si>
    <t xml:space="preserve">Ducks</t>
  </si>
  <si>
    <t xml:space="preserve">Anas spp.. See 1057.</t>
  </si>
  <si>
    <t xml:space="preserve">010519, 010599</t>
  </si>
  <si>
    <t xml:space="preserve">010513, 010599</t>
  </si>
  <si>
    <t xml:space="preserve">Meat, duck</t>
  </si>
  <si>
    <t xml:space="preserve">020732, 020733, 020735, 020736</t>
  </si>
  <si>
    <t xml:space="preserve">020741, 020742, 020744, 020745</t>
  </si>
  <si>
    <t xml:space="preserve">Meat indigenous, duck</t>
  </si>
  <si>
    <t xml:space="preserve">21122i</t>
  </si>
  <si>
    <t xml:space="preserve">Meat, goose and guinea fowl</t>
  </si>
  <si>
    <t xml:space="preserve">020751, 020752, 020754, 020755</t>
  </si>
  <si>
    <t xml:space="preserve">Offals, liver geese</t>
  </si>
  <si>
    <t xml:space="preserve">Fresh, chilled or frozen, salted or in brine.</t>
  </si>
  <si>
    <t xml:space="preserve">020734, 020735, 020736</t>
  </si>
  <si>
    <t xml:space="preserve">020753, 020754, 020755</t>
  </si>
  <si>
    <t xml:space="preserve">Offals, liver duck</t>
  </si>
  <si>
    <t xml:space="preserve">020743, 020744, 020745</t>
  </si>
  <si>
    <t xml:space="preserve">Meat indigenous, geese</t>
  </si>
  <si>
    <t xml:space="preserve">21123i</t>
  </si>
  <si>
    <t xml:space="preserve">Turkeys</t>
  </si>
  <si>
    <t xml:space="preserve">Meleagris gallopavo. See 1057.</t>
  </si>
  <si>
    <t xml:space="preserve">010512, 010599</t>
  </si>
  <si>
    <t xml:space="preserve">Meat, turkey</t>
  </si>
  <si>
    <t xml:space="preserve">020724, 020725, 020726, 020727</t>
  </si>
  <si>
    <t xml:space="preserve">Pigeons, other birds</t>
  </si>
  <si>
    <t xml:space="preserve">Including inter alia: partridge (Alectoris rufa); pigeon (Columba livia); quail (Coturnis spp.); turtle dove, pheasant, etc.. See 1057.</t>
  </si>
  <si>
    <t xml:space="preserve">010631, 010632, 010639</t>
  </si>
  <si>
    <t xml:space="preserve">Meat indigenous, bird nes</t>
  </si>
  <si>
    <t xml:space="preserve">21170.01i</t>
  </si>
  <si>
    <t xml:space="preserve">Meat indigenous, turkey</t>
  </si>
  <si>
    <t xml:space="preserve">21124i</t>
  </si>
  <si>
    <t xml:space="preserve">Meat, bird nes</t>
  </si>
  <si>
    <t xml:space="preserve">Eggs, other bird, in shell</t>
  </si>
  <si>
    <t xml:space="preserve">040719, 040729, 040790</t>
  </si>
  <si>
    <t xml:space="preserve">Eggs, other bird, in shell (number)</t>
  </si>
  <si>
    <t xml:space="preserve">Meat indigenous, chicken</t>
  </si>
  <si>
    <t xml:space="preserve">21121i</t>
  </si>
  <si>
    <t xml:space="preserve">Horses</t>
  </si>
  <si>
    <t xml:space="preserve">Equus caballus. See 866.</t>
  </si>
  <si>
    <t xml:space="preserve">010110, 010190</t>
  </si>
  <si>
    <t xml:space="preserve">010121, 010129</t>
  </si>
  <si>
    <t xml:space="preserve">Meat, horse</t>
  </si>
  <si>
    <t xml:space="preserve">Offals, horses</t>
  </si>
  <si>
    <t xml:space="preserve">020680, 020690</t>
  </si>
  <si>
    <t xml:space="preserve">Hides, horse, dry salted</t>
  </si>
  <si>
    <t xml:space="preserve">See 921. Includes hides of asses and mules.</t>
  </si>
  <si>
    <t xml:space="preserve">Asses</t>
  </si>
  <si>
    <t xml:space="preserve">Equus asinus. See 866.</t>
  </si>
  <si>
    <t xml:space="preserve">Meat, ass</t>
  </si>
  <si>
    <t xml:space="preserve">Mules</t>
  </si>
  <si>
    <t xml:space="preserve">Includes hinnies. Mules are offspring of a male ass and a female horse (mare); a hinny is the offspring of a female ass and a male horse (stallion). Both are sterile. See 866.</t>
  </si>
  <si>
    <t xml:space="preserve">Meat, mule</t>
  </si>
  <si>
    <t xml:space="preserve">Meat indigenous, horse</t>
  </si>
  <si>
    <t xml:space="preserve">21118.01i</t>
  </si>
  <si>
    <t xml:space="preserve">Meat indigenous, ass</t>
  </si>
  <si>
    <t xml:space="preserve">21118.02i</t>
  </si>
  <si>
    <t xml:space="preserve">Meat indigenous, mule</t>
  </si>
  <si>
    <t xml:space="preserve">21118.03i</t>
  </si>
  <si>
    <t xml:space="preserve">Camels</t>
  </si>
  <si>
    <t xml:space="preserve">Bactrian camel (Camelus bactrianus); Arabian camel (C. dromedarius). See 866.</t>
  </si>
  <si>
    <t xml:space="preserve">Meat, camel</t>
  </si>
  <si>
    <t xml:space="preserve">Offals, edible, camels</t>
  </si>
  <si>
    <t xml:space="preserve">Fat, camels</t>
  </si>
  <si>
    <t xml:space="preserve">Unrendered slaughter fats.</t>
  </si>
  <si>
    <t xml:space="preserve">Milk, whole fresh camel</t>
  </si>
  <si>
    <t xml:space="preserve">See 882.</t>
  </si>
  <si>
    <t xml:space="preserve">Hides, camel, wet salted</t>
  </si>
  <si>
    <t xml:space="preserve">Hides, camel nes</t>
  </si>
  <si>
    <t xml:space="preserve">See 922.</t>
  </si>
  <si>
    <t xml:space="preserve">Meat indigenous, camel</t>
  </si>
  <si>
    <t xml:space="preserve">21117.01i</t>
  </si>
  <si>
    <t xml:space="preserve">Rabbits and hares</t>
  </si>
  <si>
    <t xml:space="preserve">Oryctolagus cuniculus. See 866. May include domesticated hares (Lepus spp.). Data are expressed in thousands.</t>
  </si>
  <si>
    <t xml:space="preserve">Meat, rabbit</t>
  </si>
  <si>
    <t xml:space="preserve">Fresh, chilled or frozen. May include hare meat.</t>
  </si>
  <si>
    <t xml:space="preserve">Meat indigenous, rabbit</t>
  </si>
  <si>
    <t xml:space="preserve">21114i</t>
  </si>
  <si>
    <t xml:space="preserve">Rodents, other</t>
  </si>
  <si>
    <t xml:space="preserve">See 866. Includes only those used mainly for meat, e.g. Guinea pig. Rodents used mainly for fur skins are included in Code 1169. Data are expressed in thousands.</t>
  </si>
  <si>
    <t xml:space="preserve">Meat, other rodents</t>
  </si>
  <si>
    <t xml:space="preserve">Meat indigenous, rodents</t>
  </si>
  <si>
    <t xml:space="preserve">21119.01i</t>
  </si>
  <si>
    <t xml:space="preserve">Camelids, other</t>
  </si>
  <si>
    <t xml:space="preserve">Various species of Lama: e.g. glama pacos (alpaca); peruana (llama); huanacos (guanaco&gt;); vicugna (vicuÂ¤a). See 866.</t>
  </si>
  <si>
    <t xml:space="preserve">Meat, other camelids</t>
  </si>
  <si>
    <t xml:space="preserve">Offals, other camelids</t>
  </si>
  <si>
    <t xml:space="preserve">Meat indigenous, other camelids</t>
  </si>
  <si>
    <t xml:space="preserve">21117.02i</t>
  </si>
  <si>
    <t xml:space="preserve">Meat, game</t>
  </si>
  <si>
    <t xml:space="preserve">Meat and offals of wild animals, whether fresh, chilled or frozen.</t>
  </si>
  <si>
    <t xml:space="preserve">Meat, dried nes</t>
  </si>
  <si>
    <t xml:space="preserve">Meat, except of bovines and pigs, salted, in brine or smoked.</t>
  </si>
  <si>
    <t xml:space="preserve">021091, 021092, 021093, 021099</t>
  </si>
  <si>
    <t xml:space="preserve">Meat nes</t>
  </si>
  <si>
    <t xml:space="preserve">Including frog legs, marine mammals, etc. Some countries includeunder this heading meats that are listed above, but which are notreported separately. Fresh, chilled or frozen.</t>
  </si>
  <si>
    <t xml:space="preserve">020830, 020840, 020850, 020890</t>
  </si>
  <si>
    <t xml:space="preserve">Oils, fats of animal nes</t>
  </si>
  <si>
    <t xml:space="preserve">Animal oils and fats obtained from other animal species and oils and fats recovered from guts, feet, sweepings, hide trimmings, etc.</t>
  </si>
  <si>
    <t xml:space="preserve">Animals, live, non-food</t>
  </si>
  <si>
    <t xml:space="preserve">Any animal not raised for food. External trade data also include wild animals.</t>
  </si>
  <si>
    <t xml:space="preserve">010611, 010612, 010619, 010620, 110690</t>
  </si>
  <si>
    <t xml:space="preserve">Animals live nes</t>
  </si>
  <si>
    <t xml:space="preserve">Any other animal grown for meat, eggs, feathers and skins, e.g. ostrich, antelope, deer, reindeer, chamois.</t>
  </si>
  <si>
    <t xml:space="preserve">010611, 010612, 010619, 010620, 010639, 010690</t>
  </si>
  <si>
    <t xml:space="preserve">010611, 010612, 010619, 010620, 010633, 010649</t>
  </si>
  <si>
    <t xml:space="preserve">Meal, meat</t>
  </si>
  <si>
    <t xml:space="preserve">Flours, meals and pellets of meat and offal (including of marine mammals); greaves and tankage. Used for feed.</t>
  </si>
  <si>
    <t xml:space="preserve">Snails, not sea</t>
  </si>
  <si>
    <t xml:space="preserve">Fresh, chilled, frozen, dried, salted or in brine.</t>
  </si>
  <si>
    <t xml:space="preserve">Beehives</t>
  </si>
  <si>
    <t xml:space="preserve">Apis mellifica; A. dorsata; A. florea; A. indica. A beehive is an artificial habitation for bees.</t>
  </si>
  <si>
    <t xml:space="preserve">Honey, natural</t>
  </si>
  <si>
    <t xml:space="preserve">Honey produced by bees (Apis mellifera) or by other insects.</t>
  </si>
  <si>
    <t xml:space="preserve">Beeswax</t>
  </si>
  <si>
    <t xml:space="preserve">The substance bees use to build the hexagonal cells of the combs of beehives. Includes other insect waxes as well, i.e. lac and Chinese wax.</t>
  </si>
  <si>
    <t xml:space="preserve">Silk-worm cocoons, reelable</t>
  </si>
  <si>
    <t xml:space="preserve">Silkworm cocoons suitable for reeling. Foreign trade data are expressed in silk equivalent, which is 25% of their weight.</t>
  </si>
  <si>
    <t xml:space="preserve">Silk, raw</t>
  </si>
  <si>
    <t xml:space="preserve">Obtained by reeling the filaments from cocoons. Not thrown.</t>
  </si>
  <si>
    <t xml:space="preserve">Cocoons, unreelable &amp; waste</t>
  </si>
  <si>
    <t xml:space="preserve">Include cocoons unsuitable for reeling and silk waste of all kinds. Not carded or combed.</t>
  </si>
  <si>
    <t xml:space="preserve">Hides and skins nes, fresh</t>
  </si>
  <si>
    <t xml:space="preserve">See 919. Both adult and young animals. Includes, among others, chamois, antelope, crocodile and snake.</t>
  </si>
  <si>
    <t xml:space="preserve">410320, 410390</t>
  </si>
  <si>
    <t xml:space="preserve">Hides nes</t>
  </si>
  <si>
    <t xml:space="preserve">Hair, fine</t>
  </si>
  <si>
    <t xml:space="preserve">Fine animal hair, mainly from alpaca, llama, vicuÂ¤a, camel and angora rabbit. Excludes carded or combed hair.</t>
  </si>
  <si>
    <t xml:space="preserve">Tallow</t>
  </si>
  <si>
    <t xml:space="preserve">Rendered fats of animals other than pigs, excluding tallow oil or stearine.</t>
  </si>
  <si>
    <t xml:space="preserve">Food prep nes</t>
  </si>
  <si>
    <t xml:space="preserve">Including both crop and livestock products. Inter alia: homogenized composite food preparations; soups and broths; ketchup and other sauces; mixed condiments and seasonings; vinegar and substitutes; yeast and baking powders; stuffed pasta, whether or not cooked; couscous; and protein concentrates. Including turtle eggs and birds' nests.</t>
  </si>
  <si>
    <t xml:space="preserve">041000, 190220, 190230, 190240, 210210, 210220, 210230, 210320, 210390, 210410, 210420, 210610, 210690, 220900</t>
  </si>
  <si>
    <t xml:space="preserve">F1232</t>
  </si>
  <si>
    <t xml:space="preserve">Margarine, liquid</t>
  </si>
  <si>
    <t xml:space="preserve">See commodity code 1242. Fat content varies from 30 to 70%.</t>
  </si>
  <si>
    <t xml:space="preserve">Margarine, short</t>
  </si>
  <si>
    <t xml:space="preserve">Margarine is made principally from one or more hydrogenated vegetable or animal fats or oils in which is dispersed an aqueous potion containing milk products, salt, flavouring agents and other additives. Shortening is a product similar to margarine, but with a higher animal fat content. Shortening and compound fats are used primarily for baking and frying. The fat content of margarine and shortening varies from 70 to 90%.</t>
  </si>
  <si>
    <t xml:space="preserve">151710, 151790</t>
  </si>
  <si>
    <t xml:space="preserve">Fat nes, prepared</t>
  </si>
  <si>
    <t xml:space="preserve">Cooking fats prepared from both vegetable and animal oils and fats. Usually containing 100% fat.</t>
  </si>
  <si>
    <t xml:space="preserve">151610, 151620, 151790</t>
  </si>
  <si>
    <t xml:space="preserve">F1243</t>
  </si>
  <si>
    <t xml:space="preserve">Oil, boiled etc</t>
  </si>
  <si>
    <t xml:space="preserve">Also includes oxidized and sulphurized oils. Animal and vegetable fats and oils whose chemical structure has been modified to improve viscosity, drying ability or other properties.</t>
  </si>
  <si>
    <t xml:space="preserve">Fatty acids</t>
  </si>
  <si>
    <t xml:space="preserve">Manufactured by the saponification or hydrolysis of natural fats or oils. Including acid oils from refining.</t>
  </si>
  <si>
    <t xml:space="preserve">382311, 382312, 382313, 382319</t>
  </si>
  <si>
    <t xml:space="preserve">Fatty substance residues</t>
  </si>
  <si>
    <t xml:space="preserve">Residues resulting from the treatment of fatty substances or animal or vegetable waxes.</t>
  </si>
  <si>
    <t xml:space="preserve">Crude materials</t>
  </si>
  <si>
    <t xml:space="preserve">Trade data are expressed in value terms only. Including, of vegetable origin: bulbs, tubers, tuberous roots, corms, crowns and rhizomes; live plants, cuttings and slips; mushroom spawn; cut flowers and flower buds; foliage, branches and grasses, mosses and lichens; plants and parts used primarily in perfumes, pharmaceuticals, insecticides, fungicides, or for similar purposes; seaweeds and other algae; vegetable saps and extracts; materials used for plaiting, stuffing or padding; materials used primarily in brooms or brushes; and materials used primarily in dyeing and tanning. Includes of animal origin: human hair, unworked and waste; pigs bristles and hair; badger hair and other brush- making hair and waste; guts, bladders and stomachs of animals (o/t fish); skins and other parts of birds with their feathers or down; bones and horn-cores, unworked, defatted, simply prepared; powder and waste; ivory, tortoiseshell, whalebone, claws and beaks; coral and shells of molluscs and crustaceans; sponges of animal origin, ambergris, castoreum, civet and musk; cantharides, bile glands and other animal products used in pharmaceuticals.</t>
  </si>
  <si>
    <t xml:space="preserve">050100, 050210, 050290, 050400, 050510, 050590, 050610, 050690, 050710, 050790, 050800, 051000, 051110, 051191, 051199, 060110, 060120, 060210, 060220, 060230, 060240, 060290, 060311, 060312, 060313, 060314, 060319, 060390, 060410, 060491, 060499, 121120, 121130, 121140, 121190, 121220, 130211, 130212, 130213, 130219, 130220, 130231, 130232, 130239, 140110, 140490</t>
  </si>
  <si>
    <t xml:space="preserve">050100, 050210, 050290, 050400, 050510, 050590, 050610, 050690, 050710, 050790, 050800, 051000, 051110, 051191, 051199, 060110, 060120, 060210, 060220, 060230, 060240, 060290, 060311, 060312, 060313, 060314, 060315, 060319, 060390, 060420, 060490, 121120, 121130, 121140, 121190, 121221, 121229, 130211, 130212, 130213, 130219, 130220, 130231, 130232, 130239, 140110, 140490</t>
  </si>
  <si>
    <t xml:space="preserve">F1293</t>
  </si>
  <si>
    <t xml:space="preserve">Waxes vegetable</t>
  </si>
  <si>
    <t xml:space="preserve">Including inter alia: candelilla (Euphorbia antisyphilitica; Pedilanthus pavonis); carnauba (Copernicia cerifera); urucury (Attalea excelsa); palm wax (Ceroxylon andicolum). Vegetable waxes, whether crude or refined, bleached or coloured. Excludes mixtures and chemically modified waxes.</t>
  </si>
  <si>
    <t xml:space="preserve">Sugar aggregate </t>
  </si>
  <si>
    <t xml:space="preserve">FAO code</t>
  </si>
  <si>
    <t xml:space="preserve">FAO name</t>
  </si>
  <si>
    <t xml:space="preserve">dry_matter_(g)</t>
  </si>
  <si>
    <t xml:space="preserve">Energ_(kcal)</t>
  </si>
  <si>
    <t xml:space="preserve">Protein_(g)</t>
  </si>
  <si>
    <t xml:space="preserve">Fiber_TD_(g)</t>
  </si>
  <si>
    <t xml:space="preserve">Zinc_(mg)</t>
  </si>
  <si>
    <t xml:space="preserve">Iron_(mg)</t>
  </si>
  <si>
    <t xml:space="preserve">Calcium_(mg)</t>
  </si>
  <si>
    <t xml:space="preserve">Folate_Tot_(µg)</t>
  </si>
  <si>
    <t xml:space="preserve">Riboflavin_(mg)</t>
  </si>
  <si>
    <t xml:space="preserve">Choline_Tot_ (mg)</t>
  </si>
  <si>
    <t xml:space="preserve">Potassium_(mg)</t>
  </si>
  <si>
    <t xml:space="preserve">Vit_E_(mg)</t>
  </si>
  <si>
    <t xml:space="preserve">Vit_B12_(µg)</t>
  </si>
  <si>
    <t xml:space="preserve">Vit_K_(µg)</t>
  </si>
  <si>
    <t xml:space="preserve">Vit_A_RAE</t>
  </si>
  <si>
    <t xml:space="preserve">Rice – total  (Rice milled equivalent)</t>
  </si>
  <si>
    <t xml:space="preserve">Cereals, nes</t>
  </si>
  <si>
    <t xml:space="preserve">Cereal preparations, nes</t>
  </si>
  <si>
    <t xml:space="preserve">Roots and tubers, nes</t>
  </si>
  <si>
    <t xml:space="preserve">Sugar crops, nes</t>
  </si>
  <si>
    <t xml:space="preserve">Sugar, nes</t>
  </si>
  <si>
    <t xml:space="preserve">Sugar aggregated</t>
  </si>
  <si>
    <t xml:space="preserve">Pulses, nes</t>
  </si>
  <si>
    <t xml:space="preserve">Nuts, nes</t>
  </si>
  <si>
    <t xml:space="preserve">Oil, palm fruit</t>
  </si>
  <si>
    <t xml:space="preserve">Plantains</t>
  </si>
  <si>
    <t xml:space="preserve">Vermouths &amp;amp; similar</t>
  </si>
  <si>
    <t xml:space="preserve">Cocoa, powder &amp;amp; cake</t>
  </si>
  <si>
    <t xml:space="preserve">Mat&amp;#233;</t>
  </si>
  <si>
    <t xml:space="preserve">Cinnamon (canella)</t>
  </si>
  <si>
    <t xml:space="preserve">Spices, nes</t>
  </si>
  <si>
    <t xml:space="preserve">Feed, compound, nes</t>
  </si>
  <si>
    <t xml:space="preserve">Meat, cattle, boneless (beef &amp;amp; veal)</t>
  </si>
  <si>
    <t xml:space="preserve">Ghee, of buffalo milk</t>
  </si>
  <si>
    <t xml:space="preserve">Meat, nes</t>
  </si>
  <si>
    <t xml:space="preserve">Silk raw</t>
  </si>
  <si>
    <t xml:space="preserve">Cocoons, unreelable &amp;amp; waste</t>
  </si>
  <si>
    <t xml:space="preserve">Hides, nes</t>
  </si>
  <si>
    <t xml:space="preserve">Fat, nes, prepared</t>
  </si>
</sst>
</file>

<file path=xl/styles.xml><?xml version="1.0" encoding="utf-8"?>
<styleSheet xmlns="http://schemas.openxmlformats.org/spreadsheetml/2006/main">
  <numFmts count="2">
    <numFmt numFmtId="164" formatCode="General"/>
    <numFmt numFmtId="165" formatCode="0"/>
  </numFmts>
  <fonts count="20">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sz val="11"/>
      <color rgb="FF9C0006"/>
      <name val="Calibri"/>
      <family val="2"/>
      <charset val="1"/>
    </font>
    <font>
      <b val="true"/>
      <sz val="11"/>
      <color rgb="FFFA7D00"/>
      <name val="Calibri"/>
      <family val="2"/>
      <charset val="1"/>
    </font>
    <font>
      <b val="true"/>
      <sz val="11"/>
      <color theme="0"/>
      <name val="Calibri"/>
      <family val="2"/>
      <charset val="1"/>
    </font>
    <font>
      <i val="true"/>
      <sz val="11"/>
      <color rgb="FF7F7F7F"/>
      <name val="Calibri"/>
      <family val="2"/>
      <charset val="1"/>
    </font>
    <font>
      <sz val="11"/>
      <color rgb="FF006100"/>
      <name val="Calibri"/>
      <family val="2"/>
      <charset val="1"/>
    </font>
    <font>
      <b val="true"/>
      <sz val="15"/>
      <color theme="3"/>
      <name val="Calibri"/>
      <family val="2"/>
      <charset val="1"/>
    </font>
    <font>
      <b val="true"/>
      <sz val="13"/>
      <color theme="3"/>
      <name val="Calibri"/>
      <family val="2"/>
      <charset val="1"/>
    </font>
    <font>
      <b val="true"/>
      <sz val="11"/>
      <color theme="3"/>
      <name val="Calibri"/>
      <family val="2"/>
      <charset val="1"/>
    </font>
    <font>
      <sz val="11"/>
      <color rgb="FF3F3F76"/>
      <name val="Calibri"/>
      <family val="2"/>
      <charset val="1"/>
    </font>
    <font>
      <sz val="11"/>
      <color rgb="FFFA7D00"/>
      <name val="Calibri"/>
      <family val="2"/>
      <charset val="1"/>
    </font>
    <font>
      <sz val="11"/>
      <color rgb="FF9C6500"/>
      <name val="Calibri"/>
      <family val="2"/>
      <charset val="1"/>
    </font>
    <font>
      <b val="true"/>
      <sz val="11"/>
      <color rgb="FF3F3F3F"/>
      <name val="Calibri"/>
      <family val="2"/>
      <charset val="1"/>
    </font>
    <font>
      <sz val="18"/>
      <color theme="3"/>
      <name val="Calibri Light"/>
      <family val="2"/>
      <charset val="1"/>
    </font>
    <font>
      <b val="true"/>
      <sz val="11"/>
      <color theme="1"/>
      <name val="Calibri"/>
      <family val="2"/>
      <charset val="1"/>
    </font>
    <font>
      <sz val="11"/>
      <color rgb="FFFF0000"/>
      <name val="Calibri"/>
      <family val="2"/>
      <charset val="1"/>
    </font>
  </fonts>
  <fills count="33">
    <fill>
      <patternFill patternType="none"/>
    </fill>
    <fill>
      <patternFill patternType="gray125"/>
    </fill>
    <fill>
      <patternFill patternType="solid">
        <fgColor theme="4" tint="0.7999"/>
        <bgColor rgb="FFDAE3F3"/>
      </patternFill>
    </fill>
    <fill>
      <patternFill patternType="solid">
        <fgColor theme="5" tint="0.7999"/>
        <bgColor rgb="FFFFF2CC"/>
      </patternFill>
    </fill>
    <fill>
      <patternFill patternType="solid">
        <fgColor theme="6" tint="0.7999"/>
        <bgColor rgb="FFF2F2F2"/>
      </patternFill>
    </fill>
    <fill>
      <patternFill patternType="solid">
        <fgColor theme="7" tint="0.7999"/>
        <bgColor rgb="FFFFFFCC"/>
      </patternFill>
    </fill>
    <fill>
      <patternFill patternType="solid">
        <fgColor theme="8" tint="0.7999"/>
        <bgColor rgb="FFDEEBF7"/>
      </patternFill>
    </fill>
    <fill>
      <patternFill patternType="solid">
        <fgColor theme="9" tint="0.7999"/>
        <bgColor rgb="FFEDEDED"/>
      </patternFill>
    </fill>
    <fill>
      <patternFill patternType="solid">
        <fgColor theme="4" tint="0.5999"/>
        <bgColor rgb="FFADCDEA"/>
      </patternFill>
    </fill>
    <fill>
      <patternFill patternType="solid">
        <fgColor theme="5" tint="0.5999"/>
        <bgColor rgb="FFFFCC99"/>
      </patternFill>
    </fill>
    <fill>
      <patternFill patternType="solid">
        <fgColor theme="6" tint="0.5999"/>
        <bgColor rgb="FFDAE3F3"/>
      </patternFill>
    </fill>
    <fill>
      <patternFill patternType="solid">
        <fgColor theme="7" tint="0.5999"/>
        <bgColor rgb="FFFFEB9C"/>
      </patternFill>
    </fill>
    <fill>
      <patternFill patternType="solid">
        <fgColor theme="8" tint="0.5999"/>
        <bgColor rgb="FFADCDEA"/>
      </patternFill>
    </fill>
    <fill>
      <patternFill patternType="solid">
        <fgColor theme="9" tint="0.5999"/>
        <bgColor rgb="FFC6EFCE"/>
      </patternFill>
    </fill>
    <fill>
      <patternFill patternType="solid">
        <fgColor theme="4" tint="0.3999"/>
        <bgColor rgb="FFADCDEA"/>
      </patternFill>
    </fill>
    <fill>
      <patternFill patternType="solid">
        <fgColor theme="5" tint="0.3999"/>
        <bgColor rgb="FFFFCC99"/>
      </patternFill>
    </fill>
    <fill>
      <patternFill patternType="solid">
        <fgColor theme="6" tint="0.3999"/>
        <bgColor rgb="FFB4C7E7"/>
      </patternFill>
    </fill>
    <fill>
      <patternFill patternType="solid">
        <fgColor theme="7" tint="0.3999"/>
        <bgColor rgb="FFFFCC99"/>
      </patternFill>
    </fill>
    <fill>
      <patternFill patternType="solid">
        <fgColor theme="8" tint="0.3999"/>
        <bgColor rgb="FF9DC3E6"/>
      </patternFill>
    </fill>
    <fill>
      <patternFill patternType="solid">
        <fgColor theme="9" tint="0.3999"/>
        <bgColor rgb="FFC5E0B4"/>
      </patternFill>
    </fill>
    <fill>
      <patternFill patternType="solid">
        <fgColor theme="4"/>
        <bgColor rgb="FF8FAADC"/>
      </patternFill>
    </fill>
    <fill>
      <patternFill patternType="solid">
        <fgColor theme="5"/>
        <bgColor rgb="FFFA7D00"/>
      </patternFill>
    </fill>
    <fill>
      <patternFill patternType="solid">
        <fgColor theme="6"/>
        <bgColor rgb="FFB2B2B2"/>
      </patternFill>
    </fill>
    <fill>
      <patternFill patternType="solid">
        <fgColor theme="7"/>
        <bgColor rgb="FFFFD966"/>
      </patternFill>
    </fill>
    <fill>
      <patternFill patternType="solid">
        <fgColor theme="8"/>
        <bgColor rgb="FF5B9BD5"/>
      </patternFill>
    </fill>
    <fill>
      <patternFill patternType="solid">
        <fgColor theme="9"/>
        <bgColor rgb="FF7F7F7F"/>
      </patternFill>
    </fill>
    <fill>
      <patternFill patternType="solid">
        <fgColor rgb="FFFFC7CE"/>
        <bgColor rgb="FFF8CBAD"/>
      </patternFill>
    </fill>
    <fill>
      <patternFill patternType="solid">
        <fgColor rgb="FFF2F2F2"/>
        <bgColor rgb="FFEDEDED"/>
      </patternFill>
    </fill>
    <fill>
      <patternFill patternType="solid">
        <fgColor rgb="FFC6EFCE"/>
        <bgColor rgb="FFC5E0B4"/>
      </patternFill>
    </fill>
    <fill>
      <patternFill patternType="solid">
        <fgColor rgb="FFFFCC99"/>
        <bgColor rgb="FFF8CBAD"/>
      </patternFill>
    </fill>
    <fill>
      <patternFill patternType="solid">
        <fgColor rgb="FFFFEB9C"/>
        <bgColor rgb="FFFFE699"/>
      </patternFill>
    </fill>
    <fill>
      <patternFill patternType="solid">
        <fgColor rgb="FFFFFFCC"/>
        <bgColor rgb="FFFFF2CC"/>
      </patternFill>
    </fill>
    <fill>
      <patternFill patternType="solid">
        <fgColor rgb="FFFFFF00"/>
        <bgColor rgb="FFFFD966"/>
      </patternFill>
    </fill>
  </fills>
  <borders count="1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right/>
      <top/>
      <bottom style="double">
        <color rgb="FFFF8001"/>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right/>
      <top style="thin">
        <color theme="4"/>
      </top>
      <bottom style="double">
        <color theme="4"/>
      </bottom>
      <diagonal/>
    </border>
  </borders>
  <cellStyleXfs count="6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4" fillId="20" borderId="0" applyFont="true" applyBorder="false" applyAlignment="true" applyProtection="false">
      <alignment horizontal="general" vertical="bottom" textRotation="0" wrapText="false" indent="0" shrinkToFit="false"/>
    </xf>
    <xf numFmtId="164" fontId="4" fillId="21" borderId="0" applyFont="true" applyBorder="false" applyAlignment="true" applyProtection="false">
      <alignment horizontal="general" vertical="bottom" textRotation="0" wrapText="false" indent="0" shrinkToFit="false"/>
    </xf>
    <xf numFmtId="164" fontId="4" fillId="22" borderId="0" applyFont="true" applyBorder="false" applyAlignment="true" applyProtection="false">
      <alignment horizontal="general" vertical="bottom" textRotation="0" wrapText="false" indent="0" shrinkToFit="false"/>
    </xf>
    <xf numFmtId="164" fontId="4" fillId="23" borderId="0" applyFont="true" applyBorder="false" applyAlignment="true" applyProtection="false">
      <alignment horizontal="general" vertical="bottom" textRotation="0" wrapText="false" indent="0" shrinkToFit="false"/>
    </xf>
    <xf numFmtId="164" fontId="4" fillId="24" borderId="0" applyFont="true" applyBorder="false" applyAlignment="true" applyProtection="false">
      <alignment horizontal="general" vertical="bottom" textRotation="0" wrapText="false" indent="0" shrinkToFit="false"/>
    </xf>
    <xf numFmtId="164" fontId="4" fillId="25" borderId="0" applyFont="true" applyBorder="false" applyAlignment="true" applyProtection="false">
      <alignment horizontal="general" vertical="bottom" textRotation="0" wrapText="false" indent="0" shrinkToFit="false"/>
    </xf>
    <xf numFmtId="164" fontId="5" fillId="26" borderId="0" applyFont="true" applyBorder="false" applyAlignment="true" applyProtection="false">
      <alignment horizontal="general" vertical="bottom" textRotation="0" wrapText="false" indent="0" shrinkToFit="false"/>
    </xf>
    <xf numFmtId="164" fontId="6" fillId="27" borderId="1" applyFont="true" applyBorder="true" applyAlignment="true" applyProtection="false">
      <alignment horizontal="general" vertical="bottom" textRotation="0" wrapText="false" indent="0" shrinkToFit="false"/>
    </xf>
    <xf numFmtId="164" fontId="7" fillId="22" borderId="2" applyFont="true" applyBorder="tru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28" borderId="0" applyFont="true" applyBorder="false" applyAlignment="true" applyProtection="false">
      <alignment horizontal="general" vertical="bottom" textRotation="0" wrapText="false" indent="0" shrinkToFit="false"/>
    </xf>
    <xf numFmtId="164" fontId="10" fillId="0" borderId="3" applyFont="true" applyBorder="true" applyAlignment="true" applyProtection="false">
      <alignment horizontal="general" vertical="bottom" textRotation="0" wrapText="false" indent="0" shrinkToFit="false"/>
    </xf>
    <xf numFmtId="164" fontId="11" fillId="0" borderId="4" applyFont="true" applyBorder="true" applyAlignment="true" applyProtection="false">
      <alignment horizontal="general" vertical="bottom" textRotation="0" wrapText="false" indent="0" shrinkToFit="false"/>
    </xf>
    <xf numFmtId="164" fontId="12" fillId="0" borderId="5" applyFont="true" applyBorder="tru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29" borderId="1" applyFont="true" applyBorder="true" applyAlignment="true" applyProtection="false">
      <alignment horizontal="general" vertical="bottom" textRotation="0" wrapText="false" indent="0" shrinkToFit="false"/>
    </xf>
    <xf numFmtId="164" fontId="14" fillId="0" borderId="6" applyFont="true" applyBorder="true" applyAlignment="true" applyProtection="false">
      <alignment horizontal="general" vertical="bottom" textRotation="0" wrapText="false" indent="0" shrinkToFit="false"/>
    </xf>
    <xf numFmtId="164" fontId="15" fillId="3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31" borderId="7" applyFont="true" applyBorder="true" applyAlignment="true" applyProtection="false">
      <alignment horizontal="general" vertical="bottom" textRotation="0" wrapText="false" indent="0" shrinkToFit="false"/>
    </xf>
    <xf numFmtId="164" fontId="0" fillId="31" borderId="7" applyFont="true" applyBorder="true" applyAlignment="true" applyProtection="false">
      <alignment horizontal="general" vertical="bottom" textRotation="0" wrapText="false" indent="0" shrinkToFit="false"/>
    </xf>
    <xf numFmtId="164" fontId="16" fillId="27" borderId="8" applyFont="true" applyBorder="tru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8" fillId="0" borderId="9" applyFont="true" applyBorder="tru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56"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57" applyFont="true" applyBorder="false" applyAlignment="false" applyProtection="false">
      <alignment horizontal="general" vertical="bottom" textRotation="0" wrapText="false" indent="0" shrinkToFit="false"/>
      <protection locked="true" hidden="false"/>
    </xf>
    <xf numFmtId="164" fontId="0" fillId="8" borderId="0" xfId="57" applyFont="true" applyBorder="false" applyAlignment="false" applyProtection="false">
      <alignment horizontal="general" vertical="bottom" textRotation="0" wrapText="false" indent="0" shrinkToFit="false"/>
      <protection locked="true" hidden="false"/>
    </xf>
    <xf numFmtId="164" fontId="0" fillId="32" borderId="0" xfId="57" applyFont="true" applyBorder="false" applyAlignment="false" applyProtection="false">
      <alignment horizontal="general" vertical="bottom" textRotation="0" wrapText="false" indent="0" shrinkToFit="false"/>
      <protection locked="true" hidden="false"/>
    </xf>
    <xf numFmtId="164" fontId="0" fillId="11" borderId="0" xfId="57" applyFont="true" applyBorder="false" applyAlignment="false" applyProtection="false">
      <alignment horizontal="general" vertical="bottom" textRotation="0" wrapText="false" indent="0" shrinkToFit="false"/>
      <protection locked="true" hidden="false"/>
    </xf>
    <xf numFmtId="164" fontId="0" fillId="0" borderId="0" xfId="57"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51">
    <cellStyle name="Normal" xfId="0" builtinId="0"/>
    <cellStyle name="Comma" xfId="15" builtinId="3"/>
    <cellStyle name="Comma [0]" xfId="16" builtinId="6"/>
    <cellStyle name="Currency" xfId="17" builtinId="4"/>
    <cellStyle name="Currency [0]" xfId="18" builtinId="7"/>
    <cellStyle name="Percent" xfId="19" builtinId="5"/>
    <cellStyle name="20% - Accent1 2" xfId="20"/>
    <cellStyle name="20% - Accent2 2" xfId="21"/>
    <cellStyle name="20% - Accent3 2" xfId="22"/>
    <cellStyle name="20% - Accent4 2" xfId="23"/>
    <cellStyle name="20% - Accent5 2" xfId="24"/>
    <cellStyle name="20% - Accent6 2" xfId="25"/>
    <cellStyle name="40% - Accent1 2" xfId="26"/>
    <cellStyle name="40% - Accent2 2" xfId="27"/>
    <cellStyle name="40% - Accent3 2" xfId="28"/>
    <cellStyle name="40% - Accent4 2" xfId="29"/>
    <cellStyle name="40% - Accent5 2" xfId="30"/>
    <cellStyle name="40% - Accent6 2" xfId="31"/>
    <cellStyle name="60% - Accent1 2" xfId="32"/>
    <cellStyle name="60% - Accent2 2" xfId="33"/>
    <cellStyle name="60% - Accent3 2" xfId="34"/>
    <cellStyle name="60% - Accent4 2" xfId="35"/>
    <cellStyle name="60% - Accent5 2" xfId="36"/>
    <cellStyle name="60% - Accent6 2" xfId="37"/>
    <cellStyle name="Accent1 2" xfId="38"/>
    <cellStyle name="Accent2 2" xfId="39"/>
    <cellStyle name="Accent3 2" xfId="40"/>
    <cellStyle name="Accent4 2" xfId="41"/>
    <cellStyle name="Accent5 2" xfId="42"/>
    <cellStyle name="Accent6 2" xfId="43"/>
    <cellStyle name="Bad 2" xfId="44"/>
    <cellStyle name="Calculation 2" xfId="45"/>
    <cellStyle name="Check Cell 2" xfId="46"/>
    <cellStyle name="Explanatory Text 2" xfId="47"/>
    <cellStyle name="Good 2" xfId="48"/>
    <cellStyle name="Heading 1 2" xfId="49"/>
    <cellStyle name="Heading 2 2" xfId="50"/>
    <cellStyle name="Heading 3 2" xfId="51"/>
    <cellStyle name="Heading 4 2" xfId="52"/>
    <cellStyle name="Input 2" xfId="53"/>
    <cellStyle name="Linked Cell 2" xfId="54"/>
    <cellStyle name="Neutral 2" xfId="55"/>
    <cellStyle name="Normal 2" xfId="56"/>
    <cellStyle name="Normal 3" xfId="57"/>
    <cellStyle name="Normal 4" xfId="58"/>
    <cellStyle name="Note 2" xfId="59"/>
    <cellStyle name="Note 3" xfId="60"/>
    <cellStyle name="Output 2" xfId="61"/>
    <cellStyle name="Title 2" xfId="62"/>
    <cellStyle name="Total 2" xfId="63"/>
    <cellStyle name="Warning Text 2" xfId="64"/>
  </cellStyles>
  <colors>
    <indexedColors>
      <rgbColor rgb="FF000000"/>
      <rgbColor rgb="FFFFFFFF"/>
      <rgbColor rgb="FFFF0000"/>
      <rgbColor rgb="FFDAE3F3"/>
      <rgbColor rgb="FF0000FF"/>
      <rgbColor rgb="FFFFFF00"/>
      <rgbColor rgb="FFF2F2F2"/>
      <rgbColor rgb="FFB4C7E7"/>
      <rgbColor rgb="FF9C0006"/>
      <rgbColor rgb="FF006100"/>
      <rgbColor rgb="FF000080"/>
      <rgbColor rgb="FF9C6500"/>
      <rgbColor rgb="FF800080"/>
      <rgbColor rgb="FFDBDBDB"/>
      <rgbColor rgb="FFC9C9C9"/>
      <rgbColor rgb="FF7F7F7F"/>
      <rgbColor rgb="FF8FAADC"/>
      <rgbColor rgb="FFF8CBAD"/>
      <rgbColor rgb="FFFFFFCC"/>
      <rgbColor rgb="FFDEEBF7"/>
      <rgbColor rgb="FF660066"/>
      <rgbColor rgb="FFED7D31"/>
      <rgbColor rgb="FFFBE5D6"/>
      <rgbColor rgb="FFBDD7EE"/>
      <rgbColor rgb="FF000080"/>
      <rgbColor rgb="FFFFF2CC"/>
      <rgbColor rgb="FFFFD966"/>
      <rgbColor rgb="FFC5E0B4"/>
      <rgbColor rgb="FF800080"/>
      <rgbColor rgb="FF800000"/>
      <rgbColor rgb="FFEDEDED"/>
      <rgbColor rgb="FF0000FF"/>
      <rgbColor rgb="FFADCDEA"/>
      <rgbColor rgb="FFE2F0D9"/>
      <rgbColor rgb="FFC6EFCE"/>
      <rgbColor rgb="FFFFEB9C"/>
      <rgbColor rgb="FF9DC3E6"/>
      <rgbColor rgb="FFF4B183"/>
      <rgbColor rgb="FFB2B2B2"/>
      <rgbColor rgb="FFFFCC99"/>
      <rgbColor rgb="FF4472C4"/>
      <rgbColor rgb="FF5B9BD5"/>
      <rgbColor rgb="FFA9D18E"/>
      <rgbColor rgb="FFFFC000"/>
      <rgbColor rgb="FFFF8001"/>
      <rgbColor rgb="FFFA7D00"/>
      <rgbColor rgb="FF44546A"/>
      <rgbColor rgb="FFA5A5A5"/>
      <rgbColor rgb="FF003366"/>
      <rgbColor rgb="FF70AD47"/>
      <rgbColor rgb="FF003300"/>
      <rgbColor rgb="FF333300"/>
      <rgbColor rgb="FFFFE699"/>
      <rgbColor rgb="FFFFC7CE"/>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Users/tkastner/Google%20Drive/work/Collabs/Abhishek/nutrient%20stuff/F&amp;V%20data.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Users/tkastner/AppData/Local/Temp/FAO%20food%20items%20nutrient%20content_AC_June%202019.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utrient content per 100 grams"/>
      <sheetName val="RNI per capita per day"/>
      <sheetName val="Note"/>
    </sheetNames>
    <sheetDataSet>
      <sheetData sheetId="0">
        <row r="2">
          <cell r="D2">
            <v>22.4</v>
          </cell>
          <cell r="E2">
            <v>1.482</v>
          </cell>
          <cell r="F2">
            <v>1.98</v>
          </cell>
          <cell r="G2">
            <v>0.218</v>
          </cell>
          <cell r="H2">
            <v>0.556</v>
          </cell>
          <cell r="I2">
            <v>60.4</v>
          </cell>
          <cell r="J2">
            <v>57.2</v>
          </cell>
          <cell r="K2">
            <v>0.0518</v>
          </cell>
          <cell r="L2">
            <v>10.82</v>
          </cell>
          <cell r="M2">
            <v>226.6</v>
          </cell>
          <cell r="N2">
            <v>0.128</v>
          </cell>
          <cell r="O2">
            <v>54.28</v>
          </cell>
          <cell r="P2">
            <v>70</v>
          </cell>
          <cell r="Q2">
            <v>17.6</v>
          </cell>
          <cell r="R2">
            <v>32.8</v>
          </cell>
          <cell r="S2">
            <v>0.031</v>
          </cell>
          <cell r="T2">
            <v>0.1864</v>
          </cell>
          <cell r="U2">
            <v>0.58</v>
          </cell>
          <cell r="V2">
            <v>39.32</v>
          </cell>
          <cell r="W2">
            <v>0.055</v>
          </cell>
          <cell r="X2">
            <v>0.3704</v>
          </cell>
          <cell r="Y2">
            <v>0.1478</v>
          </cell>
          <cell r="Z2">
            <v>0.1898</v>
          </cell>
          <cell r="AA2">
            <v>0.0628</v>
          </cell>
        </row>
        <row r="3">
          <cell r="D3">
            <v>47</v>
          </cell>
          <cell r="E3">
            <v>3.27</v>
          </cell>
          <cell r="F3">
            <v>5.4</v>
          </cell>
          <cell r="G3">
            <v>0.49</v>
          </cell>
          <cell r="H3">
            <v>1.28</v>
          </cell>
          <cell r="I3">
            <v>44</v>
          </cell>
          <cell r="J3">
            <v>68</v>
          </cell>
          <cell r="K3">
            <v>0.066</v>
          </cell>
          <cell r="L3">
            <v>34.4</v>
          </cell>
          <cell r="M3">
            <v>370</v>
          </cell>
          <cell r="N3">
            <v>0.19</v>
          </cell>
          <cell r="O3">
            <v>14.8</v>
          </cell>
          <cell r="P3">
            <v>1</v>
          </cell>
          <cell r="Q3">
            <v>60</v>
          </cell>
          <cell r="R3">
            <v>90</v>
          </cell>
          <cell r="S3">
            <v>0.231</v>
          </cell>
          <cell r="T3">
            <v>0.256</v>
          </cell>
          <cell r="U3">
            <v>0.2</v>
          </cell>
          <cell r="V3">
            <v>11.7</v>
          </cell>
          <cell r="W3">
            <v>0.072</v>
          </cell>
          <cell r="X3">
            <v>1.046</v>
          </cell>
          <cell r="Y3">
            <v>0.338</v>
          </cell>
          <cell r="Z3">
            <v>0.116</v>
          </cell>
          <cell r="AA3">
            <v>0.064</v>
          </cell>
        </row>
        <row r="4">
          <cell r="D4">
            <v>20</v>
          </cell>
          <cell r="E4">
            <v>2.2</v>
          </cell>
          <cell r="F4">
            <v>2.1</v>
          </cell>
          <cell r="G4">
            <v>0.54</v>
          </cell>
          <cell r="H4">
            <v>2.14</v>
          </cell>
          <cell r="I4">
            <v>24</v>
          </cell>
          <cell r="J4">
            <v>52</v>
          </cell>
          <cell r="K4">
            <v>0.141</v>
          </cell>
          <cell r="L4">
            <v>16</v>
          </cell>
          <cell r="M4">
            <v>202</v>
          </cell>
          <cell r="N4">
            <v>1.13</v>
          </cell>
          <cell r="O4">
            <v>41.6</v>
          </cell>
          <cell r="P4">
            <v>38</v>
          </cell>
          <cell r="Q4">
            <v>14</v>
          </cell>
          <cell r="R4">
            <v>52</v>
          </cell>
          <cell r="S4">
            <v>0.189</v>
          </cell>
          <cell r="T4">
            <v>0.158</v>
          </cell>
          <cell r="U4">
            <v>2.3</v>
          </cell>
          <cell r="V4">
            <v>5.6</v>
          </cell>
          <cell r="W4">
            <v>0.143</v>
          </cell>
          <cell r="X4">
            <v>0.978</v>
          </cell>
          <cell r="Y4">
            <v>0.274</v>
          </cell>
          <cell r="Z4">
            <v>0.091</v>
          </cell>
          <cell r="AA4">
            <v>0.05</v>
          </cell>
        </row>
        <row r="5">
          <cell r="D5">
            <v>15</v>
          </cell>
          <cell r="E5">
            <v>1.234</v>
          </cell>
          <cell r="F5">
            <v>1.32</v>
          </cell>
          <cell r="G5">
            <v>0.192</v>
          </cell>
          <cell r="H5">
            <v>0.936</v>
          </cell>
          <cell r="I5">
            <v>31</v>
          </cell>
          <cell r="J5">
            <v>62.4</v>
          </cell>
          <cell r="K5">
            <v>0.0622</v>
          </cell>
          <cell r="L5">
            <v>10.08</v>
          </cell>
          <cell r="M5">
            <v>201.4</v>
          </cell>
          <cell r="N5">
            <v>0.172</v>
          </cell>
          <cell r="O5">
            <v>99.1</v>
          </cell>
          <cell r="P5">
            <v>274.4</v>
          </cell>
          <cell r="Q5">
            <v>11.8</v>
          </cell>
          <cell r="R5">
            <v>28</v>
          </cell>
          <cell r="S5">
            <v>0.0292</v>
          </cell>
          <cell r="T5">
            <v>0.1824</v>
          </cell>
          <cell r="U5">
            <v>0.64</v>
          </cell>
          <cell r="V5">
            <v>4.68</v>
          </cell>
          <cell r="W5">
            <v>0.0608</v>
          </cell>
          <cell r="X5">
            <v>0.2978</v>
          </cell>
          <cell r="Y5">
            <v>0.1322</v>
          </cell>
          <cell r="Z5">
            <v>0.0776</v>
          </cell>
          <cell r="AA5">
            <v>0.101</v>
          </cell>
        </row>
        <row r="6">
          <cell r="D6">
            <v>18.5</v>
          </cell>
          <cell r="E6">
            <v>2.18</v>
          </cell>
          <cell r="F6">
            <v>1.85</v>
          </cell>
          <cell r="G6">
            <v>0.455</v>
          </cell>
          <cell r="H6">
            <v>1.755</v>
          </cell>
          <cell r="I6">
            <v>78.5</v>
          </cell>
          <cell r="J6">
            <v>104.5</v>
          </cell>
          <cell r="K6">
            <v>0.1595</v>
          </cell>
          <cell r="L6">
            <v>19.3</v>
          </cell>
          <cell r="M6">
            <v>344</v>
          </cell>
          <cell r="N6">
            <v>1.725</v>
          </cell>
          <cell r="O6">
            <v>409.95</v>
          </cell>
          <cell r="P6">
            <v>469</v>
          </cell>
          <cell r="Q6">
            <v>59</v>
          </cell>
          <cell r="R6">
            <v>38.5</v>
          </cell>
          <cell r="S6">
            <v>0.1115</v>
          </cell>
          <cell r="T6">
            <v>0.768</v>
          </cell>
          <cell r="U6">
            <v>0.85</v>
          </cell>
          <cell r="V6">
            <v>29.05</v>
          </cell>
          <cell r="W6">
            <v>0.059</v>
          </cell>
          <cell r="X6">
            <v>0.612</v>
          </cell>
          <cell r="Y6">
            <v>0.1885</v>
          </cell>
          <cell r="Z6">
            <v>0.2495</v>
          </cell>
          <cell r="AA6">
            <v>0.1245</v>
          </cell>
        </row>
        <row r="7">
          <cell r="D7">
            <v>160</v>
          </cell>
          <cell r="E7">
            <v>1.36</v>
          </cell>
          <cell r="F7">
            <v>1.8</v>
          </cell>
          <cell r="G7">
            <v>0.34</v>
          </cell>
          <cell r="H7">
            <v>0.27</v>
          </cell>
          <cell r="I7">
            <v>16</v>
          </cell>
          <cell r="J7">
            <v>27</v>
          </cell>
          <cell r="K7">
            <v>0.048</v>
          </cell>
          <cell r="L7">
            <v>23.7</v>
          </cell>
          <cell r="M7">
            <v>271</v>
          </cell>
          <cell r="N7">
            <v>0.19</v>
          </cell>
          <cell r="O7">
            <v>1.9</v>
          </cell>
          <cell r="P7">
            <v>1</v>
          </cell>
          <cell r="Q7">
            <v>21</v>
          </cell>
          <cell r="R7">
            <v>27</v>
          </cell>
          <cell r="S7">
            <v>0.1</v>
          </cell>
          <cell r="T7">
            <v>0.384</v>
          </cell>
          <cell r="U7">
            <v>0.7</v>
          </cell>
          <cell r="V7">
            <v>20.6</v>
          </cell>
          <cell r="W7">
            <v>0.087</v>
          </cell>
          <cell r="X7">
            <v>0.854</v>
          </cell>
          <cell r="Y7">
            <v>0.107</v>
          </cell>
          <cell r="Z7">
            <v>0.088</v>
          </cell>
          <cell r="AA7">
            <v>0.048</v>
          </cell>
        </row>
        <row r="8">
          <cell r="D8">
            <v>18</v>
          </cell>
          <cell r="E8">
            <v>0.88</v>
          </cell>
          <cell r="F8">
            <v>1.2</v>
          </cell>
          <cell r="G8">
            <v>0.17</v>
          </cell>
          <cell r="H8">
            <v>0.27</v>
          </cell>
          <cell r="I8">
            <v>10</v>
          </cell>
          <cell r="J8">
            <v>15</v>
          </cell>
          <cell r="K8">
            <v>0.019</v>
          </cell>
          <cell r="L8">
            <v>6.7</v>
          </cell>
          <cell r="M8">
            <v>237</v>
          </cell>
          <cell r="N8">
            <v>0.54</v>
          </cell>
          <cell r="O8">
            <v>7.9</v>
          </cell>
          <cell r="P8">
            <v>42</v>
          </cell>
          <cell r="Q8">
            <v>11</v>
          </cell>
          <cell r="R8">
            <v>24</v>
          </cell>
          <cell r="S8">
            <v>0.059</v>
          </cell>
          <cell r="T8">
            <v>0.114</v>
          </cell>
          <cell r="U8">
            <v>0</v>
          </cell>
          <cell r="V8">
            <v>13.7</v>
          </cell>
          <cell r="W8">
            <v>0.037</v>
          </cell>
          <cell r="X8">
            <v>0.594</v>
          </cell>
          <cell r="Y8">
            <v>0.089</v>
          </cell>
          <cell r="Z8">
            <v>0.08</v>
          </cell>
          <cell r="AA8">
            <v>0.083</v>
          </cell>
        </row>
        <row r="9">
          <cell r="D9">
            <v>17</v>
          </cell>
          <cell r="E9">
            <v>0.85</v>
          </cell>
          <cell r="F9">
            <v>0.4</v>
          </cell>
          <cell r="G9">
            <v>0.11</v>
          </cell>
          <cell r="H9">
            <v>0.39</v>
          </cell>
          <cell r="I9">
            <v>10</v>
          </cell>
          <cell r="J9">
            <v>20</v>
          </cell>
          <cell r="K9">
            <v>0.078</v>
          </cell>
          <cell r="L9">
            <v>6.8</v>
          </cell>
          <cell r="M9">
            <v>217</v>
          </cell>
          <cell r="N9">
            <v>0.32</v>
          </cell>
          <cell r="O9">
            <v>2.3</v>
          </cell>
          <cell r="P9">
            <v>23</v>
          </cell>
          <cell r="Q9">
            <v>11</v>
          </cell>
          <cell r="R9">
            <v>19</v>
          </cell>
          <cell r="S9">
            <v>0.042</v>
          </cell>
          <cell r="T9">
            <v>0.068</v>
          </cell>
          <cell r="U9">
            <v>0.5</v>
          </cell>
          <cell r="V9">
            <v>70.1</v>
          </cell>
          <cell r="W9">
            <v>0.1</v>
          </cell>
          <cell r="X9">
            <v>0.673</v>
          </cell>
          <cell r="Y9" t="str">
            <v>NA</v>
          </cell>
          <cell r="Z9">
            <v>0.07</v>
          </cell>
          <cell r="AA9">
            <v>0.027</v>
          </cell>
        </row>
        <row r="10">
          <cell r="D10">
            <v>82</v>
          </cell>
          <cell r="E10">
            <v>4.32</v>
          </cell>
          <cell r="F10">
            <v>4.1</v>
          </cell>
          <cell r="G10">
            <v>0.63</v>
          </cell>
          <cell r="H10">
            <v>2.98</v>
          </cell>
          <cell r="I10">
            <v>36</v>
          </cell>
          <cell r="J10">
            <v>12</v>
          </cell>
          <cell r="K10">
            <v>0.153</v>
          </cell>
          <cell r="L10">
            <v>38.5</v>
          </cell>
          <cell r="M10">
            <v>1014</v>
          </cell>
          <cell r="N10">
            <v>4.3</v>
          </cell>
          <cell r="O10">
            <v>11.4</v>
          </cell>
          <cell r="P10">
            <v>76</v>
          </cell>
          <cell r="Q10">
            <v>42</v>
          </cell>
          <cell r="R10">
            <v>83</v>
          </cell>
          <cell r="S10">
            <v>0.365</v>
          </cell>
          <cell r="T10">
            <v>0.302</v>
          </cell>
          <cell r="U10">
            <v>5.3</v>
          </cell>
          <cell r="V10">
            <v>21.9</v>
          </cell>
          <cell r="W10">
            <v>0.06</v>
          </cell>
          <cell r="X10">
            <v>3.076</v>
          </cell>
          <cell r="Y10">
            <v>0.142</v>
          </cell>
          <cell r="Z10">
            <v>0.216</v>
          </cell>
          <cell r="AA10">
            <v>0.16</v>
          </cell>
        </row>
        <row r="11">
          <cell r="D11">
            <v>38</v>
          </cell>
          <cell r="E11">
            <v>1.65</v>
          </cell>
          <cell r="F11">
            <v>1.9</v>
          </cell>
          <cell r="G11">
            <v>0.36</v>
          </cell>
          <cell r="H11">
            <v>1.78</v>
          </cell>
          <cell r="I11">
            <v>18</v>
          </cell>
          <cell r="J11">
            <v>11</v>
          </cell>
          <cell r="K11">
            <v>0.08</v>
          </cell>
          <cell r="L11">
            <v>17.6</v>
          </cell>
          <cell r="M11">
            <v>439</v>
          </cell>
          <cell r="N11">
            <v>1.97</v>
          </cell>
          <cell r="O11">
            <v>3.4</v>
          </cell>
          <cell r="P11">
            <v>26</v>
          </cell>
          <cell r="Q11">
            <v>23</v>
          </cell>
          <cell r="R11">
            <v>40</v>
          </cell>
          <cell r="S11">
            <v>0.287</v>
          </cell>
          <cell r="T11">
            <v>0.169</v>
          </cell>
          <cell r="U11">
            <v>0.7</v>
          </cell>
          <cell r="V11">
            <v>10.6</v>
          </cell>
          <cell r="W11">
            <v>0.025</v>
          </cell>
          <cell r="X11">
            <v>1.466</v>
          </cell>
          <cell r="Y11">
            <v>0.44</v>
          </cell>
          <cell r="Z11">
            <v>0.126</v>
          </cell>
          <cell r="AA11">
            <v>0.086</v>
          </cell>
        </row>
        <row r="12">
          <cell r="D12">
            <v>25</v>
          </cell>
          <cell r="E12">
            <v>1.92</v>
          </cell>
          <cell r="F12">
            <v>2</v>
          </cell>
          <cell r="G12">
            <v>0.27</v>
          </cell>
          <cell r="H12">
            <v>0.42</v>
          </cell>
          <cell r="I12">
            <v>22</v>
          </cell>
          <cell r="J12">
            <v>57</v>
          </cell>
          <cell r="K12">
            <v>0.06</v>
          </cell>
          <cell r="L12">
            <v>44.3</v>
          </cell>
          <cell r="M12">
            <v>299</v>
          </cell>
          <cell r="N12">
            <v>0.08</v>
          </cell>
          <cell r="O12">
            <v>15.5</v>
          </cell>
          <cell r="P12">
            <v>0</v>
          </cell>
          <cell r="Q12">
            <v>15</v>
          </cell>
          <cell r="R12">
            <v>44</v>
          </cell>
          <cell r="S12">
            <v>0.039</v>
          </cell>
          <cell r="T12">
            <v>0.155</v>
          </cell>
          <cell r="U12">
            <v>0.6</v>
          </cell>
          <cell r="V12">
            <v>48.2</v>
          </cell>
          <cell r="W12">
            <v>0.05</v>
          </cell>
          <cell r="X12">
            <v>0.507</v>
          </cell>
          <cell r="Y12">
            <v>0.667</v>
          </cell>
          <cell r="Z12">
            <v>0.184</v>
          </cell>
          <cell r="AA12">
            <v>0.031</v>
          </cell>
        </row>
        <row r="13">
          <cell r="D13">
            <v>25.3333333333333</v>
          </cell>
          <cell r="E13">
            <v>1.05333333333333</v>
          </cell>
          <cell r="F13">
            <v>1.03333333333333</v>
          </cell>
          <cell r="G13">
            <v>0.273333333333333</v>
          </cell>
          <cell r="H13">
            <v>0.576666666666667</v>
          </cell>
          <cell r="I13">
            <v>21.3333333333333</v>
          </cell>
          <cell r="J13">
            <v>23</v>
          </cell>
          <cell r="K13">
            <v>0.104666666666667</v>
          </cell>
          <cell r="L13">
            <v>8.3</v>
          </cell>
          <cell r="M13">
            <v>317.333333333333</v>
          </cell>
          <cell r="N13">
            <v>0.433333333333333</v>
          </cell>
          <cell r="O13">
            <v>1.73333333333333</v>
          </cell>
          <cell r="P13">
            <v>168</v>
          </cell>
          <cell r="Q13">
            <v>14.3333333333333</v>
          </cell>
          <cell r="R13">
            <v>35</v>
          </cell>
          <cell r="S13">
            <v>0.083</v>
          </cell>
          <cell r="T13">
            <v>0.154333333333333</v>
          </cell>
          <cell r="U13">
            <v>0.3</v>
          </cell>
          <cell r="V13">
            <v>12.7666666666667</v>
          </cell>
          <cell r="W13">
            <v>0.0426666666666667</v>
          </cell>
          <cell r="X13">
            <v>0.529</v>
          </cell>
          <cell r="Y13">
            <v>0.213666666666667</v>
          </cell>
          <cell r="Z13">
            <v>0.145</v>
          </cell>
          <cell r="AA13">
            <v>0.05</v>
          </cell>
        </row>
        <row r="14">
          <cell r="D14">
            <v>15</v>
          </cell>
          <cell r="E14">
            <v>0.65</v>
          </cell>
          <cell r="F14">
            <v>0.5</v>
          </cell>
          <cell r="G14">
            <v>0.2</v>
          </cell>
          <cell r="H14">
            <v>0.28</v>
          </cell>
          <cell r="I14">
            <v>16</v>
          </cell>
          <cell r="J14">
            <v>7</v>
          </cell>
          <cell r="K14">
            <v>0.033</v>
          </cell>
          <cell r="L14">
            <v>6</v>
          </cell>
          <cell r="M14">
            <v>147</v>
          </cell>
          <cell r="N14">
            <v>0.03</v>
          </cell>
          <cell r="O14">
            <v>16.4</v>
          </cell>
          <cell r="P14">
            <v>5</v>
          </cell>
          <cell r="Q14">
            <v>13</v>
          </cell>
          <cell r="R14">
            <v>24</v>
          </cell>
          <cell r="S14">
            <v>0.041</v>
          </cell>
          <cell r="T14">
            <v>0.079</v>
          </cell>
          <cell r="U14">
            <v>0.3</v>
          </cell>
          <cell r="V14">
            <v>2.8</v>
          </cell>
          <cell r="W14">
            <v>0.027</v>
          </cell>
          <cell r="X14">
            <v>0.098</v>
          </cell>
          <cell r="Y14">
            <v>0.259</v>
          </cell>
          <cell r="Z14">
            <v>0.04</v>
          </cell>
          <cell r="AA14">
            <v>0.032</v>
          </cell>
        </row>
        <row r="15">
          <cell r="D15">
            <v>25</v>
          </cell>
          <cell r="E15">
            <v>0.98</v>
          </cell>
          <cell r="F15">
            <v>3</v>
          </cell>
          <cell r="G15">
            <v>0.16</v>
          </cell>
          <cell r="H15">
            <v>0.23</v>
          </cell>
          <cell r="I15">
            <v>9</v>
          </cell>
          <cell r="J15">
            <v>22</v>
          </cell>
          <cell r="K15">
            <v>0.037</v>
          </cell>
          <cell r="L15">
            <v>6.9</v>
          </cell>
          <cell r="M15">
            <v>229</v>
          </cell>
          <cell r="N15">
            <v>0.3</v>
          </cell>
          <cell r="O15">
            <v>3.5</v>
          </cell>
          <cell r="P15">
            <v>1</v>
          </cell>
          <cell r="Q15">
            <v>14</v>
          </cell>
          <cell r="R15">
            <v>24</v>
          </cell>
          <cell r="S15">
            <v>0.081</v>
          </cell>
          <cell r="T15">
            <v>0.232</v>
          </cell>
          <cell r="U15">
            <v>0.3</v>
          </cell>
          <cell r="V15">
            <v>2.2</v>
          </cell>
          <cell r="W15">
            <v>0.039</v>
          </cell>
          <cell r="X15">
            <v>0.649</v>
          </cell>
          <cell r="Y15">
            <v>0.281</v>
          </cell>
          <cell r="Z15">
            <v>0.084</v>
          </cell>
          <cell r="AA15">
            <v>0.076</v>
          </cell>
        </row>
        <row r="16">
          <cell r="D16">
            <v>31.2857142857143</v>
          </cell>
          <cell r="E16">
            <v>1.43285714285714</v>
          </cell>
          <cell r="F16">
            <v>2.38571428571429</v>
          </cell>
          <cell r="G16">
            <v>0.227142857142857</v>
          </cell>
          <cell r="H16">
            <v>0.652857142857143</v>
          </cell>
          <cell r="I16">
            <v>12.2857142857143</v>
          </cell>
          <cell r="J16">
            <v>25.8571428571429</v>
          </cell>
          <cell r="K16">
            <v>0.0705714285714286</v>
          </cell>
          <cell r="L16">
            <v>8.12857142857143</v>
          </cell>
          <cell r="M16">
            <v>265.285714285714</v>
          </cell>
          <cell r="N16">
            <v>1.18428571428571</v>
          </cell>
          <cell r="O16">
            <v>11.4857142857143</v>
          </cell>
          <cell r="P16">
            <v>57.1428571428571</v>
          </cell>
          <cell r="Q16">
            <v>17.7142857142857</v>
          </cell>
          <cell r="R16">
            <v>33.2857142857143</v>
          </cell>
          <cell r="S16">
            <v>0.0935714285714286</v>
          </cell>
          <cell r="T16">
            <v>0.148857142857143</v>
          </cell>
          <cell r="U16">
            <v>0.314285714285714</v>
          </cell>
          <cell r="V16">
            <v>120.071428571429</v>
          </cell>
          <cell r="W16">
            <v>0.064</v>
          </cell>
          <cell r="X16">
            <v>1.10171428571429</v>
          </cell>
          <cell r="Y16">
            <v>0.208285714285714</v>
          </cell>
          <cell r="Z16">
            <v>0.368571428571429</v>
          </cell>
          <cell r="AA16">
            <v>0.151</v>
          </cell>
        </row>
        <row r="17">
          <cell r="D17">
            <v>34</v>
          </cell>
          <cell r="E17">
            <v>1.9</v>
          </cell>
          <cell r="F17">
            <v>2.4</v>
          </cell>
          <cell r="G17">
            <v>0.52</v>
          </cell>
          <cell r="H17">
            <v>1.22</v>
          </cell>
          <cell r="I17">
            <v>18</v>
          </cell>
          <cell r="J17">
            <v>16</v>
          </cell>
          <cell r="K17">
            <v>0.09</v>
          </cell>
          <cell r="L17">
            <v>5.3</v>
          </cell>
          <cell r="M17">
            <v>212</v>
          </cell>
          <cell r="N17">
            <v>0.51</v>
          </cell>
          <cell r="O17">
            <v>193.4</v>
          </cell>
          <cell r="P17" t="str">
            <v>NA</v>
          </cell>
          <cell r="Q17">
            <v>23</v>
          </cell>
          <cell r="R17">
            <v>49</v>
          </cell>
          <cell r="S17">
            <v>0.07</v>
          </cell>
          <cell r="T17">
            <v>0.137</v>
          </cell>
          <cell r="U17">
            <v>0.6</v>
          </cell>
          <cell r="V17">
            <v>27</v>
          </cell>
          <cell r="W17">
            <v>0.05</v>
          </cell>
          <cell r="X17">
            <v>0.4</v>
          </cell>
          <cell r="Y17">
            <v>0.169</v>
          </cell>
          <cell r="Z17">
            <v>0.072</v>
          </cell>
          <cell r="AA17">
            <v>0.156</v>
          </cell>
        </row>
        <row r="18">
          <cell r="D18">
            <v>40</v>
          </cell>
          <cell r="E18">
            <v>1.1</v>
          </cell>
          <cell r="F18">
            <v>1.7</v>
          </cell>
          <cell r="G18">
            <v>0.17</v>
          </cell>
          <cell r="H18">
            <v>0.21</v>
          </cell>
          <cell r="I18">
            <v>23</v>
          </cell>
          <cell r="J18">
            <v>19</v>
          </cell>
          <cell r="K18">
            <v>0.027</v>
          </cell>
          <cell r="L18">
            <v>6.1</v>
          </cell>
          <cell r="M18">
            <v>146</v>
          </cell>
          <cell r="N18">
            <v>0.02</v>
          </cell>
          <cell r="O18">
            <v>0.4</v>
          </cell>
          <cell r="P18">
            <v>0</v>
          </cell>
          <cell r="Q18">
            <v>10</v>
          </cell>
          <cell r="R18">
            <v>29</v>
          </cell>
          <cell r="S18">
            <v>0.039</v>
          </cell>
          <cell r="T18">
            <v>0.129</v>
          </cell>
          <cell r="U18">
            <v>0.5</v>
          </cell>
          <cell r="V18">
            <v>7.4</v>
          </cell>
          <cell r="W18">
            <v>0.046</v>
          </cell>
          <cell r="X18">
            <v>0.116</v>
          </cell>
          <cell r="Y18">
            <v>0.123</v>
          </cell>
          <cell r="Z18">
            <v>0.12</v>
          </cell>
          <cell r="AA18">
            <v>0.017</v>
          </cell>
        </row>
        <row r="19">
          <cell r="D19">
            <v>149</v>
          </cell>
          <cell r="E19">
            <v>6.36</v>
          </cell>
          <cell r="F19">
            <v>2.1</v>
          </cell>
          <cell r="G19">
            <v>1.16</v>
          </cell>
          <cell r="H19">
            <v>1.7</v>
          </cell>
          <cell r="I19">
            <v>181</v>
          </cell>
          <cell r="J19">
            <v>3</v>
          </cell>
          <cell r="K19">
            <v>0.11</v>
          </cell>
          <cell r="L19">
            <v>23.2</v>
          </cell>
          <cell r="M19">
            <v>401</v>
          </cell>
          <cell r="N19">
            <v>0.08</v>
          </cell>
          <cell r="O19">
            <v>1.7</v>
          </cell>
          <cell r="P19">
            <v>0</v>
          </cell>
          <cell r="Q19">
            <v>25</v>
          </cell>
          <cell r="R19">
            <v>153</v>
          </cell>
          <cell r="S19">
            <v>0.299</v>
          </cell>
          <cell r="T19">
            <v>1.672</v>
          </cell>
          <cell r="U19">
            <v>14.2</v>
          </cell>
          <cell r="V19">
            <v>31.2</v>
          </cell>
          <cell r="W19">
            <v>0.2</v>
          </cell>
          <cell r="X19">
            <v>0.7</v>
          </cell>
          <cell r="Y19">
            <v>0.596</v>
          </cell>
          <cell r="Z19">
            <v>1.235</v>
          </cell>
          <cell r="AA19">
            <v>0.249</v>
          </cell>
        </row>
        <row r="20">
          <cell r="D20">
            <v>61</v>
          </cell>
          <cell r="E20">
            <v>1.5</v>
          </cell>
          <cell r="F20">
            <v>1.8</v>
          </cell>
          <cell r="G20">
            <v>0.12</v>
          </cell>
          <cell r="H20">
            <v>2.1</v>
          </cell>
          <cell r="I20">
            <v>59</v>
          </cell>
          <cell r="J20">
            <v>64</v>
          </cell>
          <cell r="K20">
            <v>0.03</v>
          </cell>
          <cell r="L20">
            <v>9.5</v>
          </cell>
          <cell r="M20">
            <v>180</v>
          </cell>
          <cell r="N20">
            <v>0.92</v>
          </cell>
          <cell r="O20">
            <v>47</v>
          </cell>
          <cell r="P20">
            <v>83</v>
          </cell>
          <cell r="Q20">
            <v>28</v>
          </cell>
          <cell r="R20">
            <v>35</v>
          </cell>
          <cell r="S20">
            <v>0.12</v>
          </cell>
          <cell r="T20">
            <v>0.481</v>
          </cell>
          <cell r="U20">
            <v>1</v>
          </cell>
          <cell r="V20">
            <v>12</v>
          </cell>
          <cell r="W20">
            <v>0.06</v>
          </cell>
          <cell r="X20">
            <v>0.4</v>
          </cell>
          <cell r="Y20">
            <v>0.14</v>
          </cell>
          <cell r="Z20">
            <v>0.233</v>
          </cell>
          <cell r="AA20">
            <v>0.166</v>
          </cell>
        </row>
        <row r="21">
          <cell r="D21">
            <v>31</v>
          </cell>
          <cell r="E21">
            <v>1.83</v>
          </cell>
          <cell r="F21">
            <v>2.7</v>
          </cell>
          <cell r="G21">
            <v>0.24</v>
          </cell>
          <cell r="H21">
            <v>1.03</v>
          </cell>
          <cell r="I21">
            <v>37</v>
          </cell>
          <cell r="J21">
            <v>33</v>
          </cell>
          <cell r="K21">
            <v>0.104</v>
          </cell>
          <cell r="L21">
            <v>15.3</v>
          </cell>
          <cell r="M21">
            <v>211</v>
          </cell>
          <cell r="N21">
            <v>0.41</v>
          </cell>
          <cell r="O21">
            <v>43</v>
          </cell>
          <cell r="P21">
            <v>35</v>
          </cell>
          <cell r="Q21">
            <v>25</v>
          </cell>
          <cell r="R21">
            <v>38</v>
          </cell>
          <cell r="S21">
            <v>0.069</v>
          </cell>
          <cell r="T21">
            <v>0.216</v>
          </cell>
          <cell r="U21">
            <v>0.6</v>
          </cell>
          <cell r="V21">
            <v>12.2</v>
          </cell>
          <cell r="W21">
            <v>0.082</v>
          </cell>
          <cell r="X21">
            <v>0.734</v>
          </cell>
          <cell r="Y21">
            <v>0.225</v>
          </cell>
          <cell r="Z21">
            <v>0.141</v>
          </cell>
          <cell r="AA21">
            <v>0.113</v>
          </cell>
        </row>
        <row r="22">
          <cell r="D22">
            <v>81</v>
          </cell>
          <cell r="E22">
            <v>5.42</v>
          </cell>
          <cell r="F22">
            <v>5.7</v>
          </cell>
          <cell r="G22">
            <v>1.24</v>
          </cell>
          <cell r="H22">
            <v>1.47</v>
          </cell>
          <cell r="I22">
            <v>25</v>
          </cell>
          <cell r="J22">
            <v>65</v>
          </cell>
          <cell r="K22">
            <v>0.132</v>
          </cell>
          <cell r="L22">
            <v>28.4</v>
          </cell>
          <cell r="M22">
            <v>244</v>
          </cell>
          <cell r="N22">
            <v>0.13</v>
          </cell>
          <cell r="O22">
            <v>24.8</v>
          </cell>
          <cell r="P22">
            <v>38</v>
          </cell>
          <cell r="Q22">
            <v>33</v>
          </cell>
          <cell r="R22">
            <v>108</v>
          </cell>
          <cell r="S22">
            <v>0.176</v>
          </cell>
          <cell r="T22">
            <v>0.41</v>
          </cell>
          <cell r="U22">
            <v>1.8</v>
          </cell>
          <cell r="V22">
            <v>40</v>
          </cell>
          <cell r="W22">
            <v>0.266</v>
          </cell>
          <cell r="X22">
            <v>2.09</v>
          </cell>
          <cell r="Y22">
            <v>0.104</v>
          </cell>
          <cell r="Z22">
            <v>0.169</v>
          </cell>
          <cell r="AA22">
            <v>0.187</v>
          </cell>
        </row>
        <row r="23">
          <cell r="D23">
            <v>72</v>
          </cell>
          <cell r="E23">
            <v>5.6</v>
          </cell>
          <cell r="F23">
            <v>4.2</v>
          </cell>
          <cell r="G23">
            <v>0.58</v>
          </cell>
          <cell r="H23">
            <v>1.9</v>
          </cell>
          <cell r="I23">
            <v>22</v>
          </cell>
          <cell r="J23">
            <v>96</v>
          </cell>
          <cell r="K23">
            <v>0.11</v>
          </cell>
          <cell r="L23" t="str">
            <v>NA</v>
          </cell>
          <cell r="M23">
            <v>250</v>
          </cell>
          <cell r="N23" t="str">
            <v>NA</v>
          </cell>
          <cell r="O23" t="str">
            <v>NA</v>
          </cell>
          <cell r="P23">
            <v>18</v>
          </cell>
          <cell r="Q23">
            <v>38</v>
          </cell>
          <cell r="R23">
            <v>95</v>
          </cell>
          <cell r="S23">
            <v>0.074</v>
          </cell>
          <cell r="T23">
            <v>0.32</v>
          </cell>
          <cell r="U23">
            <v>1.2</v>
          </cell>
          <cell r="V23">
            <v>33</v>
          </cell>
          <cell r="W23">
            <v>0.17</v>
          </cell>
          <cell r="X23">
            <v>1.5</v>
          </cell>
          <cell r="Y23">
            <v>0.086</v>
          </cell>
          <cell r="Z23">
            <v>0.038</v>
          </cell>
          <cell r="AA23">
            <v>0.31</v>
          </cell>
        </row>
        <row r="24">
          <cell r="D24">
            <v>31</v>
          </cell>
          <cell r="E24">
            <v>1.83</v>
          </cell>
          <cell r="F24">
            <v>2.7</v>
          </cell>
          <cell r="G24">
            <v>0.24</v>
          </cell>
          <cell r="H24">
            <v>1.03</v>
          </cell>
          <cell r="I24">
            <v>37</v>
          </cell>
          <cell r="J24">
            <v>33</v>
          </cell>
          <cell r="K24">
            <v>0.104</v>
          </cell>
          <cell r="L24">
            <v>15.3</v>
          </cell>
          <cell r="M24">
            <v>211</v>
          </cell>
          <cell r="N24">
            <v>0.41</v>
          </cell>
          <cell r="O24">
            <v>43</v>
          </cell>
          <cell r="P24">
            <v>35</v>
          </cell>
          <cell r="Q24">
            <v>25</v>
          </cell>
          <cell r="R24">
            <v>38</v>
          </cell>
          <cell r="S24">
            <v>0.069</v>
          </cell>
          <cell r="T24">
            <v>0.216</v>
          </cell>
          <cell r="U24">
            <v>0.6</v>
          </cell>
          <cell r="V24">
            <v>12.2</v>
          </cell>
          <cell r="W24">
            <v>0.082</v>
          </cell>
          <cell r="X24">
            <v>0.734</v>
          </cell>
          <cell r="Y24">
            <v>0.225</v>
          </cell>
          <cell r="Z24">
            <v>0.141</v>
          </cell>
          <cell r="AA24">
            <v>0.113</v>
          </cell>
        </row>
        <row r="25">
          <cell r="D25">
            <v>38</v>
          </cell>
          <cell r="E25">
            <v>0.785</v>
          </cell>
          <cell r="F25">
            <v>2.85</v>
          </cell>
          <cell r="G25">
            <v>0.205</v>
          </cell>
          <cell r="H25">
            <v>0.595</v>
          </cell>
          <cell r="I25">
            <v>32.5</v>
          </cell>
          <cell r="J25">
            <v>23</v>
          </cell>
          <cell r="K25">
            <v>0.047</v>
          </cell>
          <cell r="L25">
            <v>8.15</v>
          </cell>
          <cell r="M25">
            <v>278.5</v>
          </cell>
          <cell r="N25">
            <v>0.66</v>
          </cell>
          <cell r="O25">
            <v>11.3</v>
          </cell>
          <cell r="P25">
            <v>762.5</v>
          </cell>
          <cell r="Q25">
            <v>11</v>
          </cell>
          <cell r="R25">
            <v>31.5</v>
          </cell>
          <cell r="S25">
            <v>0.0725</v>
          </cell>
          <cell r="T25">
            <v>0.147</v>
          </cell>
          <cell r="U25">
            <v>0.5</v>
          </cell>
          <cell r="V25">
            <v>4.25</v>
          </cell>
          <cell r="W25">
            <v>0.048</v>
          </cell>
          <cell r="X25">
            <v>0.7695</v>
          </cell>
          <cell r="Y25">
            <v>0.337</v>
          </cell>
          <cell r="Z25">
            <v>0.1215</v>
          </cell>
          <cell r="AA25">
            <v>0.091</v>
          </cell>
        </row>
        <row r="26">
          <cell r="D26">
            <v>33</v>
          </cell>
          <cell r="E26">
            <v>1.93</v>
          </cell>
          <cell r="F26">
            <v>3.2</v>
          </cell>
          <cell r="G26">
            <v>0.58</v>
          </cell>
          <cell r="H26">
            <v>0.62</v>
          </cell>
          <cell r="I26">
            <v>82</v>
          </cell>
          <cell r="J26">
            <v>60</v>
          </cell>
          <cell r="K26">
            <v>0.06</v>
          </cell>
          <cell r="L26">
            <v>12.3</v>
          </cell>
          <cell r="M26">
            <v>299</v>
          </cell>
          <cell r="N26">
            <v>0.27</v>
          </cell>
          <cell r="O26">
            <v>31.3</v>
          </cell>
          <cell r="P26">
            <v>36</v>
          </cell>
          <cell r="Q26">
            <v>57</v>
          </cell>
          <cell r="R26">
            <v>61</v>
          </cell>
          <cell r="S26">
            <v>0.109</v>
          </cell>
          <cell r="T26">
            <v>0.788</v>
          </cell>
          <cell r="U26">
            <v>0.7</v>
          </cell>
          <cell r="V26">
            <v>23</v>
          </cell>
          <cell r="W26">
            <v>0.2</v>
          </cell>
          <cell r="X26">
            <v>1</v>
          </cell>
          <cell r="Y26">
            <v>0.245</v>
          </cell>
          <cell r="Z26">
            <v>0.215</v>
          </cell>
          <cell r="AA26">
            <v>0.027</v>
          </cell>
        </row>
        <row r="27">
          <cell r="D27">
            <v>86</v>
          </cell>
          <cell r="E27">
            <v>3.245</v>
          </cell>
          <cell r="F27">
            <v>2.35</v>
          </cell>
          <cell r="G27">
            <v>0.455</v>
          </cell>
          <cell r="H27">
            <v>0.52</v>
          </cell>
          <cell r="I27">
            <v>2</v>
          </cell>
          <cell r="J27">
            <v>44</v>
          </cell>
          <cell r="K27">
            <v>0.0575</v>
          </cell>
          <cell r="L27">
            <v>23</v>
          </cell>
          <cell r="M27">
            <v>270</v>
          </cell>
          <cell r="N27">
            <v>0.07</v>
          </cell>
          <cell r="O27">
            <v>0.3</v>
          </cell>
          <cell r="P27">
            <v>4.5</v>
          </cell>
          <cell r="Q27">
            <v>37</v>
          </cell>
          <cell r="R27">
            <v>89</v>
          </cell>
          <cell r="S27">
            <v>0.054</v>
          </cell>
          <cell r="T27">
            <v>0.162</v>
          </cell>
          <cell r="U27">
            <v>0.6</v>
          </cell>
          <cell r="V27">
            <v>6.8</v>
          </cell>
          <cell r="W27">
            <v>0.1775</v>
          </cell>
          <cell r="X27">
            <v>1.735</v>
          </cell>
          <cell r="Y27">
            <v>0.7385</v>
          </cell>
          <cell r="Z27">
            <v>0.074</v>
          </cell>
          <cell r="AA27">
            <v>0.523</v>
          </cell>
        </row>
        <row r="28">
          <cell r="D28">
            <v>93</v>
          </cell>
          <cell r="E28">
            <v>3.15</v>
          </cell>
          <cell r="F28">
            <v>2.45</v>
          </cell>
          <cell r="G28">
            <v>0.54</v>
          </cell>
          <cell r="H28">
            <v>0.55</v>
          </cell>
          <cell r="I28">
            <v>4</v>
          </cell>
          <cell r="J28">
            <v>38</v>
          </cell>
          <cell r="K28">
            <v>0.078</v>
          </cell>
          <cell r="L28">
            <v>24</v>
          </cell>
          <cell r="M28">
            <v>253.5</v>
          </cell>
          <cell r="N28">
            <v>0.085</v>
          </cell>
          <cell r="O28">
            <v>0.35</v>
          </cell>
          <cell r="P28">
            <v>11</v>
          </cell>
          <cell r="Q28">
            <v>25</v>
          </cell>
          <cell r="R28">
            <v>78.5</v>
          </cell>
          <cell r="S28">
            <v>0.0435</v>
          </cell>
          <cell r="T28">
            <v>0.1405</v>
          </cell>
          <cell r="U28">
            <v>0.75</v>
          </cell>
          <cell r="V28">
            <v>6.8</v>
          </cell>
          <cell r="W28">
            <v>0.093</v>
          </cell>
          <cell r="X28">
            <v>1.71</v>
          </cell>
          <cell r="Y28">
            <v>0.327</v>
          </cell>
          <cell r="Z28">
            <v>0.1735</v>
          </cell>
          <cell r="AA28">
            <v>0.3665</v>
          </cell>
        </row>
        <row r="29">
          <cell r="D29">
            <v>74.8333333333333</v>
          </cell>
          <cell r="E29">
            <v>2.33</v>
          </cell>
          <cell r="F29">
            <v>1.83333333333333</v>
          </cell>
          <cell r="G29">
            <v>0.433333333333333</v>
          </cell>
          <cell r="H29">
            <v>0.35</v>
          </cell>
          <cell r="I29">
            <v>3.33333333333333</v>
          </cell>
          <cell r="J29">
            <v>36.6666666666667</v>
          </cell>
          <cell r="K29">
            <v>0.0503333333333333</v>
          </cell>
          <cell r="L29">
            <v>21.24</v>
          </cell>
          <cell r="M29">
            <v>153.666666666667</v>
          </cell>
          <cell r="N29">
            <v>0.064</v>
          </cell>
          <cell r="O29">
            <v>0.08</v>
          </cell>
          <cell r="P29">
            <v>5</v>
          </cell>
          <cell r="Q29">
            <v>17.5</v>
          </cell>
          <cell r="R29">
            <v>54.1666666666667</v>
          </cell>
          <cell r="S29">
            <v>0.0401666666666667</v>
          </cell>
          <cell r="T29">
            <v>0.0845</v>
          </cell>
          <cell r="U29">
            <v>0.48</v>
          </cell>
          <cell r="V29">
            <v>4.05</v>
          </cell>
          <cell r="W29">
            <v>0.038</v>
          </cell>
          <cell r="X29">
            <v>1.07983333333333</v>
          </cell>
          <cell r="Y29">
            <v>0.4756</v>
          </cell>
          <cell r="Z29">
            <v>0.0662</v>
          </cell>
          <cell r="AA29">
            <v>0.412</v>
          </cell>
        </row>
        <row r="30">
          <cell r="D30">
            <v>32</v>
          </cell>
          <cell r="E30">
            <v>2.43833333333333</v>
          </cell>
          <cell r="F30">
            <v>2.6</v>
          </cell>
          <cell r="G30">
            <v>0.906666666666667</v>
          </cell>
          <cell r="H30">
            <v>3.12333333333333</v>
          </cell>
          <cell r="I30">
            <v>10.8333333333333</v>
          </cell>
          <cell r="J30">
            <v>24.3333333333333</v>
          </cell>
          <cell r="K30">
            <v>0.2235</v>
          </cell>
          <cell r="L30">
            <v>42.175</v>
          </cell>
          <cell r="M30">
            <v>377.333333333333</v>
          </cell>
          <cell r="N30">
            <v>0.01</v>
          </cell>
          <cell r="O30">
            <v>0</v>
          </cell>
          <cell r="P30">
            <v>0.5</v>
          </cell>
          <cell r="Q30">
            <v>15.2</v>
          </cell>
          <cell r="R30">
            <v>109.666666666667</v>
          </cell>
          <cell r="S30">
            <v>0.311166666666667</v>
          </cell>
          <cell r="T30">
            <v>0.198166666666667</v>
          </cell>
          <cell r="U30">
            <v>5</v>
          </cell>
          <cell r="V30">
            <v>0</v>
          </cell>
          <cell r="W30">
            <v>0.1065</v>
          </cell>
          <cell r="X30">
            <v>4.90066666666667</v>
          </cell>
          <cell r="Y30">
            <v>0.928166666666667</v>
          </cell>
          <cell r="Z30">
            <v>0.099</v>
          </cell>
          <cell r="AA30">
            <v>0.1706</v>
          </cell>
        </row>
        <row r="31">
          <cell r="D31">
            <v>25</v>
          </cell>
          <cell r="E31">
            <v>1.87</v>
          </cell>
          <cell r="F31">
            <v>2.4</v>
          </cell>
          <cell r="G31">
            <v>0.72</v>
          </cell>
          <cell r="H31">
            <v>0.79</v>
          </cell>
          <cell r="I31">
            <v>11</v>
          </cell>
          <cell r="J31">
            <v>12</v>
          </cell>
          <cell r="K31">
            <v>0.021</v>
          </cell>
          <cell r="L31">
            <v>20.4</v>
          </cell>
          <cell r="M31">
            <v>129</v>
          </cell>
          <cell r="N31">
            <v>0.01</v>
          </cell>
          <cell r="O31">
            <v>0</v>
          </cell>
          <cell r="P31">
            <v>0</v>
          </cell>
          <cell r="Q31">
            <v>15</v>
          </cell>
          <cell r="R31">
            <v>66</v>
          </cell>
          <cell r="S31">
            <v>0.235</v>
          </cell>
          <cell r="T31">
            <v>0.086</v>
          </cell>
          <cell r="U31">
            <v>4.1</v>
          </cell>
          <cell r="V31">
            <v>0</v>
          </cell>
          <cell r="W31">
            <v>0.085</v>
          </cell>
          <cell r="X31">
            <v>1.593</v>
          </cell>
          <cell r="Y31">
            <v>0.811</v>
          </cell>
          <cell r="Z31">
            <v>0.061</v>
          </cell>
          <cell r="AA31">
            <v>0.113</v>
          </cell>
        </row>
        <row r="32">
          <cell r="D32">
            <v>72</v>
          </cell>
          <cell r="E32">
            <v>1.4</v>
          </cell>
          <cell r="F32">
            <v>1.5</v>
          </cell>
          <cell r="G32">
            <v>0.33</v>
          </cell>
          <cell r="H32">
            <v>0.8</v>
          </cell>
          <cell r="I32">
            <v>41</v>
          </cell>
          <cell r="J32">
            <v>23</v>
          </cell>
          <cell r="K32">
            <v>0.03</v>
          </cell>
          <cell r="L32" t="str">
            <v>NA</v>
          </cell>
          <cell r="M32">
            <v>290</v>
          </cell>
          <cell r="N32" t="str">
            <v>NA</v>
          </cell>
          <cell r="O32" t="str">
            <v>NA</v>
          </cell>
          <cell r="P32">
            <v>0</v>
          </cell>
          <cell r="Q32">
            <v>22</v>
          </cell>
          <cell r="R32">
            <v>61</v>
          </cell>
          <cell r="S32">
            <v>0.077</v>
          </cell>
          <cell r="T32">
            <v>0.233</v>
          </cell>
          <cell r="U32">
            <v>0.7</v>
          </cell>
          <cell r="V32">
            <v>5</v>
          </cell>
          <cell r="W32">
            <v>0.04</v>
          </cell>
          <cell r="X32">
            <v>0.4</v>
          </cell>
          <cell r="Y32">
            <v>0.323</v>
          </cell>
          <cell r="Z32">
            <v>0.241</v>
          </cell>
          <cell r="AA32">
            <v>0.087</v>
          </cell>
        </row>
        <row r="33">
          <cell r="D33">
            <v>81.5</v>
          </cell>
          <cell r="E33">
            <v>3.365</v>
          </cell>
          <cell r="F33">
            <v>4.9</v>
          </cell>
          <cell r="G33">
            <v>0.335</v>
          </cell>
          <cell r="H33">
            <v>1.055</v>
          </cell>
          <cell r="I33">
            <v>44.5</v>
          </cell>
          <cell r="J33">
            <v>20.5</v>
          </cell>
          <cell r="K33">
            <v>0.13</v>
          </cell>
          <cell r="L33" t="str">
            <v>NA</v>
          </cell>
          <cell r="M33">
            <v>461.5</v>
          </cell>
          <cell r="N33" t="str">
            <v>NA</v>
          </cell>
          <cell r="O33" t="str">
            <v>NA</v>
          </cell>
          <cell r="P33">
            <v>0.5</v>
          </cell>
          <cell r="Q33">
            <v>39.5</v>
          </cell>
          <cell r="R33">
            <v>134</v>
          </cell>
          <cell r="S33">
            <v>0.1755</v>
          </cell>
          <cell r="T33">
            <v>0.441</v>
          </cell>
          <cell r="U33">
            <v>0.7</v>
          </cell>
          <cell r="V33">
            <v>22</v>
          </cell>
          <cell r="W33">
            <v>0.1655</v>
          </cell>
          <cell r="X33">
            <v>0.4145</v>
          </cell>
          <cell r="Y33">
            <v>0.3025</v>
          </cell>
          <cell r="Z33">
            <v>0.213</v>
          </cell>
          <cell r="AA33">
            <v>0.166</v>
          </cell>
        </row>
        <row r="34">
          <cell r="D34">
            <v>31</v>
          </cell>
          <cell r="E34">
            <v>1.643</v>
          </cell>
          <cell r="F34">
            <v>2.19</v>
          </cell>
          <cell r="G34">
            <v>0.427</v>
          </cell>
          <cell r="H34">
            <v>1.127</v>
          </cell>
          <cell r="I34">
            <v>58.2</v>
          </cell>
          <cell r="J34">
            <v>57.4</v>
          </cell>
          <cell r="K34">
            <v>0.0804</v>
          </cell>
          <cell r="L34">
            <v>9.25</v>
          </cell>
          <cell r="M34">
            <v>392.1</v>
          </cell>
          <cell r="N34">
            <v>0.616666666666667</v>
          </cell>
          <cell r="O34">
            <v>276.166666666667</v>
          </cell>
          <cell r="P34">
            <v>95.2</v>
          </cell>
          <cell r="Q34">
            <v>24.7</v>
          </cell>
          <cell r="R34">
            <v>48.4</v>
          </cell>
          <cell r="S34">
            <v>0.1129</v>
          </cell>
          <cell r="T34">
            <v>0.2667</v>
          </cell>
          <cell r="U34">
            <v>0.71</v>
          </cell>
          <cell r="V34">
            <v>31.58</v>
          </cell>
          <cell r="W34">
            <v>0.067</v>
          </cell>
          <cell r="X34">
            <v>0.5721</v>
          </cell>
          <cell r="Y34">
            <v>0.2777</v>
          </cell>
          <cell r="Z34">
            <v>0.1224</v>
          </cell>
          <cell r="AA34">
            <v>0.0884</v>
          </cell>
        </row>
        <row r="35">
          <cell r="D35">
            <v>297.333333333333</v>
          </cell>
          <cell r="E35">
            <v>10.1944444444444</v>
          </cell>
          <cell r="F35">
            <v>27.8375</v>
          </cell>
          <cell r="G35">
            <v>3.02555555555555</v>
          </cell>
          <cell r="H35">
            <v>7.13222222222222</v>
          </cell>
          <cell r="I35">
            <v>201.333333333333</v>
          </cell>
          <cell r="J35">
            <v>124.555555555556</v>
          </cell>
          <cell r="K35">
            <v>1.19888888888889</v>
          </cell>
          <cell r="L35">
            <v>124.52</v>
          </cell>
          <cell r="M35">
            <v>2312</v>
          </cell>
          <cell r="N35">
            <v>1.742</v>
          </cell>
          <cell r="O35">
            <v>147.98</v>
          </cell>
          <cell r="P35">
            <v>475.111111111111</v>
          </cell>
          <cell r="Q35">
            <v>139.111111111111</v>
          </cell>
          <cell r="R35">
            <v>242.555555555556</v>
          </cell>
          <cell r="S35">
            <v>1.68911111111111</v>
          </cell>
          <cell r="T35">
            <v>1.292875</v>
          </cell>
          <cell r="U35">
            <v>18.4333333333333</v>
          </cell>
          <cell r="V35">
            <v>18.9333333333333</v>
          </cell>
          <cell r="W35">
            <v>0.312333333333333</v>
          </cell>
          <cell r="X35">
            <v>6.96711111111111</v>
          </cell>
          <cell r="Y35">
            <v>6.53975</v>
          </cell>
          <cell r="Z35">
            <v>1.33444444444444</v>
          </cell>
          <cell r="AA35">
            <v>1.70266666666667</v>
          </cell>
        </row>
        <row r="36">
          <cell r="D36">
            <v>38.6086956521739</v>
          </cell>
          <cell r="E36">
            <v>1.78492753623188</v>
          </cell>
          <cell r="F36">
            <v>2.1</v>
          </cell>
          <cell r="G36">
            <v>0.376231884057971</v>
          </cell>
          <cell r="H36">
            <v>0.999855072463768</v>
          </cell>
          <cell r="I36">
            <v>28.2898550724638</v>
          </cell>
          <cell r="J36">
            <v>27.7826086956522</v>
          </cell>
          <cell r="K36">
            <v>0.062768115942029</v>
          </cell>
          <cell r="L36">
            <v>14.1184210526316</v>
          </cell>
          <cell r="M36">
            <v>192.289855072464</v>
          </cell>
          <cell r="N36">
            <v>0.709565217391305</v>
          </cell>
          <cell r="O36">
            <v>37.8266666666667</v>
          </cell>
          <cell r="P36">
            <v>115.646153846154</v>
          </cell>
          <cell r="Q36">
            <v>17.1304347826087</v>
          </cell>
          <cell r="R36">
            <v>37.4202898550725</v>
          </cell>
          <cell r="S36">
            <v>0.129955882352941</v>
          </cell>
          <cell r="T36">
            <v>0.239058823529412</v>
          </cell>
          <cell r="U36">
            <v>0.985074626865672</v>
          </cell>
          <cell r="V36">
            <v>11.9275362318841</v>
          </cell>
          <cell r="W36">
            <v>0.0557826086956522</v>
          </cell>
          <cell r="X36">
            <v>0.798913043478261</v>
          </cell>
          <cell r="Y36">
            <v>0.268238805970149</v>
          </cell>
          <cell r="Z36">
            <v>0.0971641791044776</v>
          </cell>
          <cell r="AA36">
            <v>0.187676470588235</v>
          </cell>
        </row>
        <row r="37">
          <cell r="D37">
            <v>321.125</v>
          </cell>
          <cell r="E37">
            <v>16.60625</v>
          </cell>
          <cell r="F37">
            <v>20.05</v>
          </cell>
          <cell r="G37">
            <v>2.7625</v>
          </cell>
          <cell r="H37">
            <v>14.2225</v>
          </cell>
          <cell r="I37">
            <v>283.625</v>
          </cell>
          <cell r="J37">
            <v>182.875</v>
          </cell>
          <cell r="K37">
            <v>0.897125</v>
          </cell>
          <cell r="L37">
            <v>67.5</v>
          </cell>
          <cell r="M37">
            <v>2976.5</v>
          </cell>
          <cell r="N37">
            <v>2.762</v>
          </cell>
          <cell r="O37">
            <v>69.7</v>
          </cell>
          <cell r="P37">
            <v>1571.28571428571</v>
          </cell>
          <cell r="Q37">
            <v>232.875</v>
          </cell>
          <cell r="R37">
            <v>376.375</v>
          </cell>
          <cell r="S37">
            <v>0.723875</v>
          </cell>
          <cell r="T37">
            <v>1.62975</v>
          </cell>
          <cell r="U37">
            <v>9.2625</v>
          </cell>
          <cell r="V37">
            <v>606.95</v>
          </cell>
          <cell r="W37">
            <v>0.80925</v>
          </cell>
          <cell r="X37">
            <v>5.394625</v>
          </cell>
          <cell r="Y37">
            <v>1.328</v>
          </cell>
          <cell r="Z37">
            <v>1.667625</v>
          </cell>
          <cell r="AA37">
            <v>0.978571428571429</v>
          </cell>
        </row>
        <row r="38">
          <cell r="D38">
            <v>50.5833333333333</v>
          </cell>
          <cell r="E38">
            <v>1.075</v>
          </cell>
          <cell r="F38">
            <v>2.11666666666667</v>
          </cell>
          <cell r="G38">
            <v>0.193333333333333</v>
          </cell>
          <cell r="H38">
            <v>0.596666666666667</v>
          </cell>
          <cell r="I38">
            <v>30.5833333333333</v>
          </cell>
          <cell r="J38">
            <v>18.75</v>
          </cell>
          <cell r="K38">
            <v>0.0431666666666667</v>
          </cell>
          <cell r="L38">
            <v>10.8909090909091</v>
          </cell>
          <cell r="M38">
            <v>175.416666666667</v>
          </cell>
          <cell r="N38">
            <v>0.504545454545455</v>
          </cell>
          <cell r="O38">
            <v>25.5272727272727</v>
          </cell>
          <cell r="P38">
            <v>8.25</v>
          </cell>
          <cell r="Q38">
            <v>12.5</v>
          </cell>
          <cell r="R38">
            <v>20.4166666666667</v>
          </cell>
          <cell r="S38">
            <v>0.11175</v>
          </cell>
          <cell r="T38">
            <v>0.1205</v>
          </cell>
          <cell r="U38">
            <v>0.633333333333333</v>
          </cell>
          <cell r="V38">
            <v>2.58333333333333</v>
          </cell>
          <cell r="W38">
            <v>0.0195833333333333</v>
          </cell>
          <cell r="X38">
            <v>0.302083333333333</v>
          </cell>
          <cell r="Y38">
            <v>0.149</v>
          </cell>
          <cell r="Z38">
            <v>0.0611666666666667</v>
          </cell>
          <cell r="AA38">
            <v>0.22875</v>
          </cell>
        </row>
        <row r="39">
          <cell r="D39">
            <v>38.6086956521739</v>
          </cell>
          <cell r="E39">
            <v>1.78492753623188</v>
          </cell>
          <cell r="F39">
            <v>2.1</v>
          </cell>
          <cell r="G39">
            <v>0.376231884057971</v>
          </cell>
          <cell r="H39">
            <v>0.999855072463768</v>
          </cell>
          <cell r="I39">
            <v>28.2898550724638</v>
          </cell>
          <cell r="J39">
            <v>27.7826086956522</v>
          </cell>
          <cell r="K39">
            <v>0.062768115942029</v>
          </cell>
          <cell r="L39">
            <v>14.1184210526316</v>
          </cell>
          <cell r="M39">
            <v>192.289855072464</v>
          </cell>
          <cell r="N39">
            <v>0.709565217391305</v>
          </cell>
          <cell r="O39">
            <v>37.8266666666667</v>
          </cell>
          <cell r="P39">
            <v>115.646153846154</v>
          </cell>
          <cell r="Q39">
            <v>17.1304347826087</v>
          </cell>
          <cell r="R39">
            <v>37.4202898550725</v>
          </cell>
          <cell r="S39">
            <v>0.129955882352941</v>
          </cell>
          <cell r="T39">
            <v>0.239058823529412</v>
          </cell>
          <cell r="U39">
            <v>0.985074626865672</v>
          </cell>
          <cell r="V39">
            <v>11.9275362318841</v>
          </cell>
          <cell r="W39">
            <v>0.0557826086956522</v>
          </cell>
          <cell r="X39">
            <v>0.798913043478261</v>
          </cell>
          <cell r="Y39">
            <v>0.268238805970149</v>
          </cell>
          <cell r="Z39">
            <v>0.0971641791044776</v>
          </cell>
          <cell r="AA39">
            <v>0.187676470588235</v>
          </cell>
        </row>
        <row r="40">
          <cell r="D40">
            <v>42.1944444444444</v>
          </cell>
          <cell r="E40">
            <v>2.53222222222222</v>
          </cell>
          <cell r="F40">
            <v>2.65714285714286</v>
          </cell>
          <cell r="G40">
            <v>0.348333333333333</v>
          </cell>
          <cell r="H40">
            <v>0.903055555555556</v>
          </cell>
          <cell r="I40">
            <v>45.6388888888889</v>
          </cell>
          <cell r="J40">
            <v>54.7142857142857</v>
          </cell>
          <cell r="K40">
            <v>0.0854444444444445</v>
          </cell>
          <cell r="L40">
            <v>17.45</v>
          </cell>
          <cell r="M40">
            <v>212.222222222222</v>
          </cell>
          <cell r="N40">
            <v>0.688</v>
          </cell>
          <cell r="O40">
            <v>47.8</v>
          </cell>
          <cell r="P40">
            <v>138.277777777778</v>
          </cell>
          <cell r="Q40">
            <v>22.4166666666667</v>
          </cell>
          <cell r="R40">
            <v>45.4722222222222</v>
          </cell>
          <cell r="S40">
            <v>0.0659166666666667</v>
          </cell>
          <cell r="T40">
            <v>0.290333333333333</v>
          </cell>
          <cell r="U40">
            <v>0.971428571428571</v>
          </cell>
          <cell r="V40">
            <v>22.8638888888889</v>
          </cell>
          <cell r="W40">
            <v>0.0821944444444444</v>
          </cell>
          <cell r="X40">
            <v>0.921305555555555</v>
          </cell>
          <cell r="Y40">
            <v>0.195085714285714</v>
          </cell>
          <cell r="Z40">
            <v>0.112685714285714</v>
          </cell>
          <cell r="AA40">
            <v>0.162205882352941</v>
          </cell>
        </row>
        <row r="41">
          <cell r="D41">
            <v>38.6086956521739</v>
          </cell>
          <cell r="E41">
            <v>1.78492753623188</v>
          </cell>
          <cell r="F41">
            <v>2.1</v>
          </cell>
          <cell r="G41">
            <v>0.376231884057971</v>
          </cell>
          <cell r="H41">
            <v>0.999855072463768</v>
          </cell>
          <cell r="I41">
            <v>28.2898550724638</v>
          </cell>
          <cell r="J41">
            <v>27.7826086956522</v>
          </cell>
          <cell r="K41">
            <v>0.062768115942029</v>
          </cell>
          <cell r="L41">
            <v>14.1184210526316</v>
          </cell>
          <cell r="M41">
            <v>192.289855072464</v>
          </cell>
          <cell r="N41">
            <v>0.709565217391305</v>
          </cell>
          <cell r="O41">
            <v>37.8266666666667</v>
          </cell>
          <cell r="P41">
            <v>115.646153846154</v>
          </cell>
          <cell r="Q41">
            <v>17.1304347826087</v>
          </cell>
          <cell r="R41">
            <v>37.4202898550725</v>
          </cell>
          <cell r="S41">
            <v>0.129955882352941</v>
          </cell>
          <cell r="T41">
            <v>0.239058823529412</v>
          </cell>
          <cell r="U41">
            <v>0.985074626865672</v>
          </cell>
          <cell r="V41">
            <v>11.9275362318841</v>
          </cell>
          <cell r="W41">
            <v>0.0557826086956522</v>
          </cell>
          <cell r="X41">
            <v>0.798913043478261</v>
          </cell>
          <cell r="Y41">
            <v>0.268238805970149</v>
          </cell>
          <cell r="Z41">
            <v>0.0971641791044776</v>
          </cell>
          <cell r="AA41">
            <v>0.187676470588235</v>
          </cell>
        </row>
        <row r="42">
          <cell r="D42">
            <v>40.8571428571429</v>
          </cell>
          <cell r="E42">
            <v>2.37771428571429</v>
          </cell>
          <cell r="F42">
            <v>2.66764705882353</v>
          </cell>
          <cell r="G42">
            <v>0.33</v>
          </cell>
          <cell r="H42">
            <v>0.820857142857143</v>
          </cell>
          <cell r="I42">
            <v>50.3428571428571</v>
          </cell>
          <cell r="J42">
            <v>40.3142857142857</v>
          </cell>
          <cell r="K42">
            <v>0.0742285714285714</v>
          </cell>
          <cell r="L42">
            <v>15.4935483870968</v>
          </cell>
          <cell r="M42">
            <v>184.057142857143</v>
          </cell>
          <cell r="N42">
            <v>0.6659375</v>
          </cell>
          <cell r="O42">
            <v>127.565625</v>
          </cell>
          <cell r="P42">
            <v>158.885714285714</v>
          </cell>
          <cell r="Q42">
            <v>20.7428571428571</v>
          </cell>
          <cell r="R42">
            <v>40.2</v>
          </cell>
          <cell r="S42">
            <v>0.0631428571428571</v>
          </cell>
          <cell r="T42">
            <v>0.264514285714286</v>
          </cell>
          <cell r="U42">
            <v>0.902857142857143</v>
          </cell>
          <cell r="V42">
            <v>14.2657142857143</v>
          </cell>
          <cell r="W42">
            <v>0.0721142857142857</v>
          </cell>
          <cell r="X42">
            <v>0.714342857142857</v>
          </cell>
          <cell r="Y42">
            <v>0.161542857142857</v>
          </cell>
          <cell r="Z42">
            <v>0.100828571428571</v>
          </cell>
          <cell r="AA42">
            <v>0.1566</v>
          </cell>
        </row>
        <row r="43">
          <cell r="D43">
            <v>39.6111111111111</v>
          </cell>
          <cell r="E43">
            <v>1.63833333333333</v>
          </cell>
          <cell r="F43">
            <v>1.79444444444444</v>
          </cell>
          <cell r="G43">
            <v>0.24</v>
          </cell>
          <cell r="H43">
            <v>0.525</v>
          </cell>
          <cell r="I43">
            <v>29.6666666666667</v>
          </cell>
          <cell r="J43">
            <v>22.7777777777778</v>
          </cell>
          <cell r="K43">
            <v>0.0589444444444444</v>
          </cell>
          <cell r="L43">
            <v>13.2388888888889</v>
          </cell>
          <cell r="M43">
            <v>158.555555555556</v>
          </cell>
          <cell r="N43">
            <v>0.316111111111111</v>
          </cell>
          <cell r="O43">
            <v>20.7722222222222</v>
          </cell>
          <cell r="P43">
            <v>138.111111111111</v>
          </cell>
          <cell r="Q43">
            <v>17.6666666666667</v>
          </cell>
          <cell r="R43">
            <v>32.5555555555556</v>
          </cell>
          <cell r="S43">
            <v>0.0495</v>
          </cell>
          <cell r="T43">
            <v>0.159875</v>
          </cell>
          <cell r="U43">
            <v>0.572222222222222</v>
          </cell>
          <cell r="V43">
            <v>3.33888888888889</v>
          </cell>
          <cell r="W43">
            <v>0.0346111111111111</v>
          </cell>
          <cell r="X43">
            <v>0.520111111111111</v>
          </cell>
          <cell r="Y43">
            <v>0.217117647058824</v>
          </cell>
          <cell r="Z43">
            <v>0.0599444444444444</v>
          </cell>
          <cell r="AA43">
            <v>0.136944444444444</v>
          </cell>
        </row>
        <row r="44">
          <cell r="D44">
            <v>89</v>
          </cell>
          <cell r="E44">
            <v>1.09</v>
          </cell>
          <cell r="F44">
            <v>2.6</v>
          </cell>
          <cell r="G44">
            <v>0.15</v>
          </cell>
          <cell r="H44">
            <v>0.26</v>
          </cell>
          <cell r="I44">
            <v>5</v>
          </cell>
          <cell r="J44">
            <v>20</v>
          </cell>
          <cell r="K44">
            <v>0.073</v>
          </cell>
          <cell r="L44">
            <v>9.8</v>
          </cell>
          <cell r="M44">
            <v>358</v>
          </cell>
          <cell r="N44">
            <v>0.1</v>
          </cell>
          <cell r="O44">
            <v>0.5</v>
          </cell>
          <cell r="P44">
            <v>3</v>
          </cell>
          <cell r="Q44">
            <v>27</v>
          </cell>
          <cell r="R44">
            <v>22</v>
          </cell>
          <cell r="S44">
            <v>0.078</v>
          </cell>
          <cell r="T44">
            <v>0.27</v>
          </cell>
          <cell r="U44">
            <v>1</v>
          </cell>
          <cell r="V44">
            <v>8.7</v>
          </cell>
          <cell r="W44">
            <v>0.031</v>
          </cell>
          <cell r="X44">
            <v>0.665</v>
          </cell>
          <cell r="Y44">
            <v>0.334</v>
          </cell>
          <cell r="Z44">
            <v>0.367</v>
          </cell>
          <cell r="AA44">
            <v>0.073</v>
          </cell>
        </row>
        <row r="45">
          <cell r="D45">
            <v>122</v>
          </cell>
          <cell r="E45">
            <v>1.3</v>
          </cell>
          <cell r="F45">
            <v>2.3</v>
          </cell>
          <cell r="G45">
            <v>0.14</v>
          </cell>
          <cell r="H45">
            <v>0.6</v>
          </cell>
          <cell r="I45">
            <v>3</v>
          </cell>
          <cell r="J45">
            <v>22</v>
          </cell>
          <cell r="K45">
            <v>0.054</v>
          </cell>
          <cell r="L45">
            <v>13.5</v>
          </cell>
          <cell r="M45">
            <v>499</v>
          </cell>
          <cell r="N45">
            <v>0.14</v>
          </cell>
          <cell r="O45">
            <v>0.7</v>
          </cell>
          <cell r="P45">
            <v>56</v>
          </cell>
          <cell r="Q45">
            <v>37</v>
          </cell>
          <cell r="R45">
            <v>34</v>
          </cell>
          <cell r="S45">
            <v>0.081</v>
          </cell>
          <cell r="T45" t="str">
            <v>NA</v>
          </cell>
          <cell r="U45">
            <v>1.5</v>
          </cell>
          <cell r="V45">
            <v>18.4</v>
          </cell>
          <cell r="W45">
            <v>0.052</v>
          </cell>
          <cell r="X45">
            <v>0.686</v>
          </cell>
          <cell r="Y45">
            <v>0.26</v>
          </cell>
          <cell r="Z45">
            <v>0.299</v>
          </cell>
          <cell r="AA45">
            <v>0.069</v>
          </cell>
        </row>
        <row r="46">
          <cell r="D46">
            <v>47</v>
          </cell>
          <cell r="E46">
            <v>0.94</v>
          </cell>
          <cell r="F46">
            <v>2.4</v>
          </cell>
          <cell r="G46">
            <v>0.07</v>
          </cell>
          <cell r="H46">
            <v>0.1</v>
          </cell>
          <cell r="I46">
            <v>40</v>
          </cell>
          <cell r="J46">
            <v>30</v>
          </cell>
          <cell r="K46">
            <v>0.04</v>
          </cell>
          <cell r="L46">
            <v>8.4</v>
          </cell>
          <cell r="M46">
            <v>181</v>
          </cell>
          <cell r="N46">
            <v>0.18</v>
          </cell>
          <cell r="O46">
            <v>0</v>
          </cell>
          <cell r="P46">
            <v>11</v>
          </cell>
          <cell r="Q46">
            <v>10</v>
          </cell>
          <cell r="R46">
            <v>14</v>
          </cell>
          <cell r="S46">
            <v>0.045</v>
          </cell>
          <cell r="T46">
            <v>0.025</v>
          </cell>
          <cell r="U46">
            <v>0.5</v>
          </cell>
          <cell r="V46">
            <v>53.2</v>
          </cell>
          <cell r="W46">
            <v>0.087</v>
          </cell>
          <cell r="X46">
            <v>0.282</v>
          </cell>
          <cell r="Y46">
            <v>0.25</v>
          </cell>
          <cell r="Z46">
            <v>0.06</v>
          </cell>
          <cell r="AA46">
            <v>0.025</v>
          </cell>
        </row>
        <row r="47">
          <cell r="D47">
            <v>45</v>
          </cell>
          <cell r="E47">
            <v>0.7</v>
          </cell>
          <cell r="F47">
            <v>0.2</v>
          </cell>
          <cell r="G47">
            <v>0.05</v>
          </cell>
          <cell r="H47">
            <v>0.2</v>
          </cell>
          <cell r="I47">
            <v>11</v>
          </cell>
          <cell r="J47">
            <v>30</v>
          </cell>
          <cell r="K47">
            <v>0.03</v>
          </cell>
          <cell r="L47">
            <v>6.2</v>
          </cell>
          <cell r="M47">
            <v>200</v>
          </cell>
          <cell r="N47">
            <v>0.04</v>
          </cell>
          <cell r="O47">
            <v>0</v>
          </cell>
          <cell r="P47">
            <v>10</v>
          </cell>
          <cell r="Q47">
            <v>11</v>
          </cell>
          <cell r="R47">
            <v>17</v>
          </cell>
          <cell r="S47">
            <v>0.044</v>
          </cell>
          <cell r="T47">
            <v>0.014</v>
          </cell>
          <cell r="U47">
            <v>0.1</v>
          </cell>
          <cell r="V47">
            <v>50</v>
          </cell>
          <cell r="W47">
            <v>0.09</v>
          </cell>
          <cell r="X47">
            <v>0.4</v>
          </cell>
          <cell r="Y47">
            <v>0.19</v>
          </cell>
          <cell r="Z47">
            <v>0.04</v>
          </cell>
          <cell r="AA47">
            <v>0.04</v>
          </cell>
        </row>
        <row r="48">
          <cell r="D48">
            <v>37</v>
          </cell>
          <cell r="E48">
            <v>0.6</v>
          </cell>
          <cell r="F48">
            <v>0.2</v>
          </cell>
          <cell r="G48">
            <v>0.04</v>
          </cell>
          <cell r="H48">
            <v>0.08</v>
          </cell>
          <cell r="I48">
            <v>147</v>
          </cell>
          <cell r="J48">
            <v>19</v>
          </cell>
          <cell r="K48">
            <v>0.044</v>
          </cell>
          <cell r="L48">
            <v>5</v>
          </cell>
          <cell r="M48">
            <v>158</v>
          </cell>
          <cell r="N48">
            <v>0.15</v>
          </cell>
          <cell r="O48">
            <v>0</v>
          </cell>
          <cell r="P48">
            <v>3</v>
          </cell>
          <cell r="Q48">
            <v>10</v>
          </cell>
          <cell r="R48">
            <v>78</v>
          </cell>
          <cell r="S48">
            <v>0.021</v>
          </cell>
          <cell r="T48" t="str">
            <v>NA</v>
          </cell>
          <cell r="U48">
            <v>0.1</v>
          </cell>
          <cell r="V48">
            <v>36.2</v>
          </cell>
          <cell r="W48">
            <v>0.069</v>
          </cell>
          <cell r="X48">
            <v>0.273</v>
          </cell>
          <cell r="Y48" t="str">
            <v>NA</v>
          </cell>
          <cell r="Z48">
            <v>0.065</v>
          </cell>
          <cell r="AA48">
            <v>0.016</v>
          </cell>
        </row>
        <row r="49">
          <cell r="D49">
            <v>53</v>
          </cell>
          <cell r="E49">
            <v>0.81</v>
          </cell>
          <cell r="F49">
            <v>1.8</v>
          </cell>
          <cell r="G49">
            <v>0.07</v>
          </cell>
          <cell r="H49">
            <v>0.15</v>
          </cell>
          <cell r="I49">
            <v>37</v>
          </cell>
          <cell r="J49">
            <v>16</v>
          </cell>
          <cell r="K49">
            <v>0.036</v>
          </cell>
          <cell r="L49">
            <v>10.2</v>
          </cell>
          <cell r="M49">
            <v>166</v>
          </cell>
          <cell r="N49">
            <v>0.2</v>
          </cell>
          <cell r="O49">
            <v>0</v>
          </cell>
          <cell r="P49">
            <v>34</v>
          </cell>
          <cell r="Q49">
            <v>12</v>
          </cell>
          <cell r="R49">
            <v>20</v>
          </cell>
          <cell r="S49">
            <v>0.042</v>
          </cell>
          <cell r="T49">
            <v>0.039</v>
          </cell>
          <cell r="U49">
            <v>0.1</v>
          </cell>
          <cell r="V49">
            <v>26.7</v>
          </cell>
          <cell r="W49">
            <v>0.058</v>
          </cell>
          <cell r="X49">
            <v>0.376</v>
          </cell>
          <cell r="Y49">
            <v>0.216</v>
          </cell>
          <cell r="Z49">
            <v>0.078</v>
          </cell>
          <cell r="AA49">
            <v>0.065</v>
          </cell>
        </row>
        <row r="50">
          <cell r="D50">
            <v>29.5</v>
          </cell>
          <cell r="E50">
            <v>0.9</v>
          </cell>
          <cell r="F50">
            <v>2.8</v>
          </cell>
          <cell r="G50">
            <v>0.085</v>
          </cell>
          <cell r="H50">
            <v>0.6</v>
          </cell>
          <cell r="I50">
            <v>29.5</v>
          </cell>
          <cell r="J50">
            <v>9.5</v>
          </cell>
          <cell r="K50">
            <v>0.02</v>
          </cell>
          <cell r="L50">
            <v>5.1</v>
          </cell>
          <cell r="M50">
            <v>120</v>
          </cell>
          <cell r="N50">
            <v>0.185</v>
          </cell>
          <cell r="O50">
            <v>0.3</v>
          </cell>
          <cell r="P50">
            <v>1.5</v>
          </cell>
          <cell r="Q50">
            <v>7</v>
          </cell>
          <cell r="R50">
            <v>17</v>
          </cell>
          <cell r="S50">
            <v>0.051</v>
          </cell>
          <cell r="T50">
            <v>0.019</v>
          </cell>
          <cell r="U50">
            <v>0.4</v>
          </cell>
          <cell r="V50">
            <v>41.05</v>
          </cell>
          <cell r="W50">
            <v>0.035</v>
          </cell>
          <cell r="X50">
            <v>0.15</v>
          </cell>
          <cell r="Y50">
            <v>0.2035</v>
          </cell>
          <cell r="Z50">
            <v>0.0615</v>
          </cell>
          <cell r="AA50">
            <v>0.072</v>
          </cell>
        </row>
        <row r="51">
          <cell r="D51">
            <v>22</v>
          </cell>
          <cell r="E51">
            <v>0.46</v>
          </cell>
          <cell r="F51">
            <v>0.4</v>
          </cell>
          <cell r="G51">
            <v>0.05</v>
          </cell>
          <cell r="H51">
            <v>0.12</v>
          </cell>
          <cell r="I51">
            <v>8</v>
          </cell>
          <cell r="J51">
            <v>10</v>
          </cell>
          <cell r="K51">
            <v>0.013</v>
          </cell>
          <cell r="L51">
            <v>5.1</v>
          </cell>
          <cell r="M51">
            <v>89</v>
          </cell>
          <cell r="N51">
            <v>0.08</v>
          </cell>
          <cell r="O51">
            <v>0</v>
          </cell>
          <cell r="P51">
            <v>1</v>
          </cell>
          <cell r="Q51">
            <v>8</v>
          </cell>
          <cell r="R51">
            <v>8</v>
          </cell>
          <cell r="S51">
            <v>0.03</v>
          </cell>
          <cell r="T51">
            <v>0.03</v>
          </cell>
          <cell r="U51">
            <v>0.1</v>
          </cell>
          <cell r="V51">
            <v>31.5</v>
          </cell>
          <cell r="W51">
            <v>0.059</v>
          </cell>
          <cell r="X51">
            <v>0.137</v>
          </cell>
          <cell r="Y51">
            <v>0.121</v>
          </cell>
          <cell r="Z51">
            <v>0.06</v>
          </cell>
          <cell r="AA51">
            <v>0.097</v>
          </cell>
        </row>
        <row r="52">
          <cell r="D52">
            <v>17</v>
          </cell>
          <cell r="E52">
            <v>0.45</v>
          </cell>
          <cell r="F52">
            <v>0.7</v>
          </cell>
          <cell r="G52">
            <v>0.19</v>
          </cell>
          <cell r="H52">
            <v>0.06</v>
          </cell>
          <cell r="I52">
            <v>10</v>
          </cell>
          <cell r="J52">
            <v>9</v>
          </cell>
          <cell r="K52">
            <v>0.017</v>
          </cell>
          <cell r="L52">
            <v>5.1</v>
          </cell>
          <cell r="M52">
            <v>109</v>
          </cell>
          <cell r="N52">
            <v>0.23</v>
          </cell>
          <cell r="O52">
            <v>0.1</v>
          </cell>
          <cell r="P52">
            <v>2</v>
          </cell>
          <cell r="Q52">
            <v>7</v>
          </cell>
          <cell r="R52">
            <v>9</v>
          </cell>
          <cell r="S52">
            <v>0.018</v>
          </cell>
          <cell r="T52">
            <v>0.016</v>
          </cell>
          <cell r="U52">
            <v>0.1</v>
          </cell>
          <cell r="V52">
            <v>14.3</v>
          </cell>
          <cell r="W52">
            <v>0.021</v>
          </cell>
          <cell r="X52">
            <v>0.18</v>
          </cell>
          <cell r="Y52">
            <v>0.08</v>
          </cell>
          <cell r="Z52">
            <v>0.037</v>
          </cell>
          <cell r="AA52">
            <v>0.017</v>
          </cell>
        </row>
        <row r="53">
          <cell r="D53">
            <v>34.7142857142857</v>
          </cell>
          <cell r="E53">
            <v>0.664285714285714</v>
          </cell>
          <cell r="F53">
            <v>1.225</v>
          </cell>
          <cell r="G53">
            <v>0.07</v>
          </cell>
          <cell r="H53">
            <v>0.08</v>
          </cell>
          <cell r="I53">
            <v>14.1428571428571</v>
          </cell>
          <cell r="J53">
            <v>10.7142857142857</v>
          </cell>
          <cell r="K53">
            <v>0.0215714285714286</v>
          </cell>
          <cell r="L53">
            <v>7.7</v>
          </cell>
          <cell r="M53">
            <v>141.285714285714</v>
          </cell>
          <cell r="N53">
            <v>0.13</v>
          </cell>
          <cell r="O53">
            <v>0</v>
          </cell>
          <cell r="P53">
            <v>18.8571428571429</v>
          </cell>
          <cell r="Q53">
            <v>8.71428571428571</v>
          </cell>
          <cell r="R53">
            <v>10.5714285714286</v>
          </cell>
          <cell r="S53">
            <v>0.0418571428571429</v>
          </cell>
          <cell r="T53">
            <v>0.0154285714285714</v>
          </cell>
          <cell r="U53">
            <v>0.8</v>
          </cell>
          <cell r="V53">
            <v>34.9</v>
          </cell>
          <cell r="W53">
            <v>0.0381428571428571</v>
          </cell>
          <cell r="X53">
            <v>0.226142857142857</v>
          </cell>
          <cell r="Y53">
            <v>0.28</v>
          </cell>
          <cell r="Z53">
            <v>0.044</v>
          </cell>
          <cell r="AA53">
            <v>0.0257142857142857</v>
          </cell>
        </row>
        <row r="54">
          <cell r="D54">
            <v>34</v>
          </cell>
          <cell r="E54">
            <v>0.58</v>
          </cell>
          <cell r="F54">
            <v>0.8</v>
          </cell>
          <cell r="G54">
            <v>0.08</v>
          </cell>
          <cell r="H54">
            <v>0.11</v>
          </cell>
          <cell r="I54">
            <v>14</v>
          </cell>
          <cell r="J54">
            <v>10</v>
          </cell>
          <cell r="K54">
            <v>0.02</v>
          </cell>
          <cell r="L54">
            <v>7.7</v>
          </cell>
          <cell r="M54">
            <v>129</v>
          </cell>
          <cell r="N54">
            <v>0.04</v>
          </cell>
          <cell r="O54">
            <v>0</v>
          </cell>
          <cell r="P54">
            <v>2</v>
          </cell>
          <cell r="Q54">
            <v>8</v>
          </cell>
          <cell r="R54">
            <v>15</v>
          </cell>
          <cell r="S54">
            <v>0.031</v>
          </cell>
          <cell r="T54">
            <v>0.015</v>
          </cell>
          <cell r="U54">
            <v>0.1</v>
          </cell>
          <cell r="V54">
            <v>28.3</v>
          </cell>
          <cell r="W54">
            <v>0.042</v>
          </cell>
          <cell r="X54">
            <v>0.231</v>
          </cell>
          <cell r="Y54">
            <v>0.13</v>
          </cell>
          <cell r="Z54">
            <v>0.02</v>
          </cell>
          <cell r="AA54">
            <v>0.018</v>
          </cell>
        </row>
        <row r="55">
          <cell r="D55">
            <v>146</v>
          </cell>
          <cell r="E55">
            <v>1.97</v>
          </cell>
          <cell r="F55">
            <v>0.4</v>
          </cell>
          <cell r="G55">
            <v>0.18</v>
          </cell>
          <cell r="H55">
            <v>0.49</v>
          </cell>
          <cell r="I55">
            <v>27</v>
          </cell>
          <cell r="J55">
            <v>13</v>
          </cell>
          <cell r="K55">
            <v>0.078</v>
          </cell>
          <cell r="L55">
            <v>24.5</v>
          </cell>
          <cell r="M55">
            <v>484</v>
          </cell>
          <cell r="N55">
            <v>0.14</v>
          </cell>
          <cell r="O55">
            <v>0.1</v>
          </cell>
          <cell r="P55">
            <v>2</v>
          </cell>
          <cell r="Q55">
            <v>38</v>
          </cell>
          <cell r="R55">
            <v>49</v>
          </cell>
          <cell r="S55">
            <v>0.118</v>
          </cell>
          <cell r="T55">
            <v>0.07</v>
          </cell>
          <cell r="U55">
            <v>0.3</v>
          </cell>
          <cell r="V55">
            <v>119.8</v>
          </cell>
          <cell r="W55">
            <v>0.145</v>
          </cell>
          <cell r="X55">
            <v>0.772</v>
          </cell>
          <cell r="Y55">
            <v>0.672</v>
          </cell>
          <cell r="Z55">
            <v>0.154</v>
          </cell>
          <cell r="AA55">
            <v>0.113</v>
          </cell>
        </row>
        <row r="56">
          <cell r="D56">
            <v>71</v>
          </cell>
          <cell r="E56">
            <v>1.88</v>
          </cell>
          <cell r="F56">
            <v>6.5</v>
          </cell>
          <cell r="G56">
            <v>0.17</v>
          </cell>
          <cell r="H56">
            <v>0.86</v>
          </cell>
          <cell r="I56">
            <v>62</v>
          </cell>
          <cell r="J56">
            <v>17</v>
          </cell>
          <cell r="K56">
            <v>0.09</v>
          </cell>
          <cell r="L56">
            <v>8.4</v>
          </cell>
          <cell r="M56">
            <v>186</v>
          </cell>
          <cell r="N56">
            <v>0.15</v>
          </cell>
          <cell r="O56">
            <v>0</v>
          </cell>
          <cell r="P56">
            <v>15</v>
          </cell>
          <cell r="Q56">
            <v>20</v>
          </cell>
          <cell r="R56">
            <v>19</v>
          </cell>
          <cell r="S56">
            <v>0.095</v>
          </cell>
          <cell r="T56">
            <v>0.135</v>
          </cell>
          <cell r="U56">
            <v>0</v>
          </cell>
          <cell r="V56">
            <v>43.9</v>
          </cell>
          <cell r="W56">
            <v>0.037</v>
          </cell>
          <cell r="X56">
            <v>0.429</v>
          </cell>
          <cell r="Y56">
            <v>0.208</v>
          </cell>
          <cell r="Z56">
            <v>0.036</v>
          </cell>
          <cell r="AA56">
            <v>0.171</v>
          </cell>
        </row>
        <row r="57">
          <cell r="D57">
            <v>25</v>
          </cell>
          <cell r="E57">
            <v>0.42</v>
          </cell>
          <cell r="F57">
            <v>0.4</v>
          </cell>
          <cell r="G57">
            <v>0.08</v>
          </cell>
          <cell r="H57">
            <v>0.09</v>
          </cell>
          <cell r="I57">
            <v>14</v>
          </cell>
          <cell r="J57">
            <v>10</v>
          </cell>
          <cell r="K57">
            <v>0.015</v>
          </cell>
          <cell r="L57">
            <v>5.1</v>
          </cell>
          <cell r="M57">
            <v>117</v>
          </cell>
          <cell r="N57">
            <v>0.22</v>
          </cell>
          <cell r="O57">
            <v>0.6</v>
          </cell>
          <cell r="P57">
            <v>2</v>
          </cell>
          <cell r="Q57">
            <v>8</v>
          </cell>
          <cell r="R57">
            <v>14</v>
          </cell>
          <cell r="S57">
            <v>0.027</v>
          </cell>
          <cell r="T57">
            <v>0.018</v>
          </cell>
          <cell r="U57">
            <v>0.1</v>
          </cell>
          <cell r="V57">
            <v>30</v>
          </cell>
          <cell r="W57">
            <v>0.025</v>
          </cell>
          <cell r="X57">
            <v>0.142</v>
          </cell>
          <cell r="Y57">
            <v>0.123</v>
          </cell>
          <cell r="Z57">
            <v>0.038</v>
          </cell>
          <cell r="AA57">
            <v>0.023</v>
          </cell>
        </row>
        <row r="58">
          <cell r="D58">
            <v>25</v>
          </cell>
          <cell r="E58">
            <v>0.42</v>
          </cell>
          <cell r="F58">
            <v>0.4</v>
          </cell>
          <cell r="G58">
            <v>0.08</v>
          </cell>
          <cell r="H58">
            <v>0.09</v>
          </cell>
          <cell r="I58">
            <v>14</v>
          </cell>
          <cell r="J58">
            <v>10</v>
          </cell>
          <cell r="K58">
            <v>0.015</v>
          </cell>
          <cell r="L58">
            <v>5.1</v>
          </cell>
          <cell r="M58">
            <v>117</v>
          </cell>
          <cell r="N58">
            <v>0.22</v>
          </cell>
          <cell r="O58">
            <v>0.6</v>
          </cell>
          <cell r="P58">
            <v>2</v>
          </cell>
          <cell r="Q58">
            <v>8</v>
          </cell>
          <cell r="R58">
            <v>14</v>
          </cell>
          <cell r="S58">
            <v>0.027</v>
          </cell>
          <cell r="T58">
            <v>0.018</v>
          </cell>
          <cell r="U58">
            <v>0.1</v>
          </cell>
          <cell r="V58">
            <v>30</v>
          </cell>
          <cell r="W58">
            <v>0.025</v>
          </cell>
          <cell r="X58">
            <v>0.142</v>
          </cell>
          <cell r="Y58">
            <v>0.123</v>
          </cell>
          <cell r="Z58">
            <v>0.038</v>
          </cell>
          <cell r="AA58">
            <v>0.023</v>
          </cell>
        </row>
        <row r="59">
          <cell r="D59">
            <v>52</v>
          </cell>
          <cell r="E59">
            <v>0.26</v>
          </cell>
          <cell r="F59">
            <v>2.4</v>
          </cell>
          <cell r="G59">
            <v>0.04</v>
          </cell>
          <cell r="H59">
            <v>0.12</v>
          </cell>
          <cell r="I59">
            <v>6</v>
          </cell>
          <cell r="J59">
            <v>3</v>
          </cell>
          <cell r="K59">
            <v>0.026</v>
          </cell>
          <cell r="L59">
            <v>3.4</v>
          </cell>
          <cell r="M59">
            <v>107</v>
          </cell>
          <cell r="N59">
            <v>0.18</v>
          </cell>
          <cell r="O59">
            <v>2.2</v>
          </cell>
          <cell r="P59">
            <v>3</v>
          </cell>
          <cell r="Q59">
            <v>5</v>
          </cell>
          <cell r="R59">
            <v>11</v>
          </cell>
          <cell r="S59">
            <v>0.027</v>
          </cell>
          <cell r="T59">
            <v>0.035</v>
          </cell>
          <cell r="U59">
            <v>0</v>
          </cell>
          <cell r="V59">
            <v>4.6</v>
          </cell>
          <cell r="W59">
            <v>0.017</v>
          </cell>
          <cell r="X59">
            <v>0.091</v>
          </cell>
          <cell r="Y59">
            <v>0.061</v>
          </cell>
          <cell r="Z59">
            <v>0.041</v>
          </cell>
          <cell r="AA59">
            <v>0.051</v>
          </cell>
        </row>
        <row r="60">
          <cell r="D60">
            <v>48.5</v>
          </cell>
          <cell r="E60">
            <v>0</v>
          </cell>
          <cell r="F60">
            <v>0</v>
          </cell>
          <cell r="G60">
            <v>0.045</v>
          </cell>
          <cell r="H60">
            <v>0.055</v>
          </cell>
          <cell r="I60">
            <v>4.5</v>
          </cell>
          <cell r="J60">
            <v>0.5</v>
          </cell>
          <cell r="K60">
            <v>0.0065</v>
          </cell>
          <cell r="L60">
            <v>1</v>
          </cell>
          <cell r="M60">
            <v>27.5</v>
          </cell>
          <cell r="N60">
            <v>0.045</v>
          </cell>
          <cell r="O60">
            <v>0.55</v>
          </cell>
          <cell r="P60">
            <v>0.5</v>
          </cell>
          <cell r="Q60">
            <v>2</v>
          </cell>
          <cell r="R60">
            <v>3</v>
          </cell>
          <cell r="S60">
            <v>0.0125</v>
          </cell>
          <cell r="T60">
            <v>0.0155</v>
          </cell>
          <cell r="U60">
            <v>0.05</v>
          </cell>
          <cell r="V60">
            <v>1.15</v>
          </cell>
          <cell r="W60">
            <v>0.0045</v>
          </cell>
          <cell r="X60">
            <v>0.0225</v>
          </cell>
          <cell r="Y60">
            <v>0.015</v>
          </cell>
          <cell r="Z60">
            <v>0.0105</v>
          </cell>
          <cell r="AA60">
            <v>0</v>
          </cell>
        </row>
        <row r="61">
          <cell r="D61">
            <v>46</v>
          </cell>
          <cell r="E61">
            <v>0.1</v>
          </cell>
          <cell r="F61">
            <v>0.2</v>
          </cell>
          <cell r="G61">
            <v>0.02</v>
          </cell>
          <cell r="H61">
            <v>0.12</v>
          </cell>
          <cell r="I61">
            <v>8</v>
          </cell>
          <cell r="J61">
            <v>0</v>
          </cell>
          <cell r="K61">
            <v>0.017</v>
          </cell>
          <cell r="L61">
            <v>1.8</v>
          </cell>
          <cell r="M61">
            <v>101</v>
          </cell>
          <cell r="N61">
            <v>0.01</v>
          </cell>
          <cell r="O61">
            <v>0</v>
          </cell>
          <cell r="P61">
            <v>0</v>
          </cell>
          <cell r="Q61">
            <v>5</v>
          </cell>
          <cell r="R61">
            <v>7</v>
          </cell>
          <cell r="S61">
            <v>0.012</v>
          </cell>
          <cell r="T61">
            <v>0.074</v>
          </cell>
          <cell r="U61">
            <v>0.1</v>
          </cell>
          <cell r="V61">
            <v>0.9</v>
          </cell>
          <cell r="W61">
            <v>0.021</v>
          </cell>
          <cell r="X61">
            <v>0.073</v>
          </cell>
          <cell r="Y61">
            <v>0.049</v>
          </cell>
          <cell r="Z61">
            <v>0.018</v>
          </cell>
          <cell r="AA61">
            <v>0.039</v>
          </cell>
        </row>
        <row r="62">
          <cell r="D62">
            <v>166</v>
          </cell>
          <cell r="E62">
            <v>0.51</v>
          </cell>
          <cell r="F62">
            <v>0.4</v>
          </cell>
          <cell r="G62">
            <v>0.13</v>
          </cell>
          <cell r="H62">
            <v>0.91</v>
          </cell>
          <cell r="I62">
            <v>20</v>
          </cell>
          <cell r="J62">
            <v>1</v>
          </cell>
          <cell r="K62">
            <v>0.054</v>
          </cell>
          <cell r="L62">
            <v>6.5</v>
          </cell>
          <cell r="M62">
            <v>448</v>
          </cell>
          <cell r="N62">
            <v>0.04</v>
          </cell>
          <cell r="O62">
            <v>0</v>
          </cell>
          <cell r="P62">
            <v>0</v>
          </cell>
          <cell r="Q62">
            <v>17</v>
          </cell>
          <cell r="R62">
            <v>25</v>
          </cell>
          <cell r="S62">
            <v>0.05</v>
          </cell>
          <cell r="T62">
            <v>0.225</v>
          </cell>
          <cell r="U62">
            <v>0.4</v>
          </cell>
          <cell r="V62">
            <v>2.1</v>
          </cell>
          <cell r="W62">
            <v>0.011</v>
          </cell>
          <cell r="X62">
            <v>0.135</v>
          </cell>
          <cell r="Y62">
            <v>0.223</v>
          </cell>
          <cell r="Z62">
            <v>0.116</v>
          </cell>
          <cell r="AA62">
            <v>0.108</v>
          </cell>
        </row>
        <row r="63">
          <cell r="D63">
            <v>57</v>
          </cell>
          <cell r="E63">
            <v>0.36</v>
          </cell>
          <cell r="F63">
            <v>3.1</v>
          </cell>
          <cell r="G63">
            <v>0.1</v>
          </cell>
          <cell r="H63">
            <v>0.18</v>
          </cell>
          <cell r="I63">
            <v>9</v>
          </cell>
          <cell r="J63">
            <v>7</v>
          </cell>
          <cell r="K63">
            <v>0.026</v>
          </cell>
          <cell r="L63">
            <v>5.1</v>
          </cell>
          <cell r="M63">
            <v>116</v>
          </cell>
          <cell r="N63">
            <v>0.12</v>
          </cell>
          <cell r="O63">
            <v>4.4</v>
          </cell>
          <cell r="P63">
            <v>1</v>
          </cell>
          <cell r="Q63">
            <v>7</v>
          </cell>
          <cell r="R63">
            <v>12</v>
          </cell>
          <cell r="S63">
            <v>0.082</v>
          </cell>
          <cell r="T63">
            <v>0.048</v>
          </cell>
          <cell r="U63">
            <v>0.1</v>
          </cell>
          <cell r="V63">
            <v>4.3</v>
          </cell>
          <cell r="W63">
            <v>0.012</v>
          </cell>
          <cell r="X63">
            <v>0.161</v>
          </cell>
          <cell r="Y63">
            <v>0.049</v>
          </cell>
          <cell r="Z63">
            <v>0.029</v>
          </cell>
          <cell r="AA63">
            <v>0.094</v>
          </cell>
        </row>
        <row r="64">
          <cell r="D64">
            <v>57</v>
          </cell>
          <cell r="E64">
            <v>0.4</v>
          </cell>
          <cell r="F64">
            <v>1.9</v>
          </cell>
          <cell r="G64">
            <v>0.04</v>
          </cell>
          <cell r="H64">
            <v>0.7</v>
          </cell>
          <cell r="I64">
            <v>11</v>
          </cell>
          <cell r="J64">
            <v>3</v>
          </cell>
          <cell r="K64">
            <v>0.03</v>
          </cell>
          <cell r="L64" t="str">
            <v>NA</v>
          </cell>
          <cell r="M64">
            <v>197</v>
          </cell>
          <cell r="N64" t="str">
            <v>NA</v>
          </cell>
          <cell r="O64" t="str">
            <v>NA</v>
          </cell>
          <cell r="P64">
            <v>2</v>
          </cell>
          <cell r="Q64">
            <v>8</v>
          </cell>
          <cell r="R64">
            <v>17</v>
          </cell>
          <cell r="S64">
            <v>0.13</v>
          </cell>
          <cell r="T64" t="str">
            <v>NA</v>
          </cell>
          <cell r="U64">
            <v>0.6</v>
          </cell>
          <cell r="V64">
            <v>15</v>
          </cell>
          <cell r="W64">
            <v>0.02</v>
          </cell>
          <cell r="X64">
            <v>0.2</v>
          </cell>
          <cell r="Y64">
            <v>0.081</v>
          </cell>
          <cell r="Z64">
            <v>0.04</v>
          </cell>
          <cell r="AA64">
            <v>0.05</v>
          </cell>
        </row>
        <row r="65">
          <cell r="D65">
            <v>48</v>
          </cell>
          <cell r="E65">
            <v>1.4</v>
          </cell>
          <cell r="F65">
            <v>2</v>
          </cell>
          <cell r="G65">
            <v>0.2</v>
          </cell>
          <cell r="H65">
            <v>0.39</v>
          </cell>
          <cell r="I65">
            <v>13</v>
          </cell>
          <cell r="J65">
            <v>9</v>
          </cell>
          <cell r="K65">
            <v>0.04</v>
          </cell>
          <cell r="L65">
            <v>2.8</v>
          </cell>
          <cell r="M65">
            <v>259</v>
          </cell>
          <cell r="N65">
            <v>0.89</v>
          </cell>
          <cell r="O65">
            <v>3.3</v>
          </cell>
          <cell r="P65">
            <v>96</v>
          </cell>
          <cell r="Q65">
            <v>10</v>
          </cell>
          <cell r="R65">
            <v>23</v>
          </cell>
          <cell r="S65">
            <v>0.078</v>
          </cell>
          <cell r="T65">
            <v>0.077</v>
          </cell>
          <cell r="U65">
            <v>0.1</v>
          </cell>
          <cell r="V65">
            <v>10</v>
          </cell>
          <cell r="W65">
            <v>0.03</v>
          </cell>
          <cell r="X65">
            <v>0.6</v>
          </cell>
          <cell r="Y65">
            <v>0.24</v>
          </cell>
          <cell r="Z65">
            <v>0.054</v>
          </cell>
          <cell r="AA65">
            <v>0.077</v>
          </cell>
        </row>
        <row r="66">
          <cell r="D66">
            <v>241</v>
          </cell>
          <cell r="E66">
            <v>3.39</v>
          </cell>
          <cell r="F66">
            <v>7.3</v>
          </cell>
          <cell r="G66">
            <v>0.39</v>
          </cell>
          <cell r="H66">
            <v>2.66</v>
          </cell>
          <cell r="I66">
            <v>55</v>
          </cell>
          <cell r="J66">
            <v>10</v>
          </cell>
          <cell r="K66">
            <v>0.074</v>
          </cell>
          <cell r="L66">
            <v>13.9</v>
          </cell>
          <cell r="M66">
            <v>1162</v>
          </cell>
          <cell r="N66">
            <v>4.33</v>
          </cell>
          <cell r="O66">
            <v>3.1</v>
          </cell>
          <cell r="P66">
            <v>180</v>
          </cell>
          <cell r="Q66">
            <v>32</v>
          </cell>
          <cell r="R66">
            <v>71</v>
          </cell>
          <cell r="S66">
            <v>0.343</v>
          </cell>
          <cell r="T66">
            <v>0.235</v>
          </cell>
          <cell r="U66">
            <v>2.2</v>
          </cell>
          <cell r="V66">
            <v>1</v>
          </cell>
          <cell r="W66">
            <v>0.015</v>
          </cell>
          <cell r="X66">
            <v>2.589</v>
          </cell>
          <cell r="Y66">
            <v>0.516</v>
          </cell>
          <cell r="Z66">
            <v>0.143</v>
          </cell>
          <cell r="AA66">
            <v>0.074</v>
          </cell>
        </row>
        <row r="67">
          <cell r="D67">
            <v>50</v>
          </cell>
          <cell r="E67">
            <v>1</v>
          </cell>
          <cell r="F67">
            <v>1.6</v>
          </cell>
          <cell r="G67">
            <v>0.1</v>
          </cell>
          <cell r="H67">
            <v>0.32</v>
          </cell>
          <cell r="I67">
            <v>16</v>
          </cell>
          <cell r="J67">
            <v>8</v>
          </cell>
          <cell r="K67">
            <v>0.04</v>
          </cell>
          <cell r="L67">
            <v>6.1</v>
          </cell>
          <cell r="M67">
            <v>173</v>
          </cell>
          <cell r="N67">
            <v>0.07</v>
          </cell>
          <cell r="O67">
            <v>2.1</v>
          </cell>
          <cell r="P67">
            <v>64</v>
          </cell>
          <cell r="Q67">
            <v>9</v>
          </cell>
          <cell r="R67">
            <v>15</v>
          </cell>
          <cell r="S67">
            <v>0.104</v>
          </cell>
          <cell r="T67">
            <v>0.112</v>
          </cell>
          <cell r="U67">
            <v>0</v>
          </cell>
          <cell r="V67">
            <v>10</v>
          </cell>
          <cell r="W67">
            <v>0.03</v>
          </cell>
          <cell r="X67">
            <v>0.4</v>
          </cell>
          <cell r="Y67">
            <v>0.143</v>
          </cell>
          <cell r="Z67">
            <v>0.044</v>
          </cell>
          <cell r="AA67">
            <v>0.09</v>
          </cell>
        </row>
        <row r="68">
          <cell r="D68">
            <v>63</v>
          </cell>
          <cell r="E68">
            <v>1.06</v>
          </cell>
          <cell r="F68">
            <v>2.1</v>
          </cell>
          <cell r="G68">
            <v>0.07</v>
          </cell>
          <cell r="H68">
            <v>0.36</v>
          </cell>
          <cell r="I68">
            <v>13</v>
          </cell>
          <cell r="J68">
            <v>4</v>
          </cell>
          <cell r="K68">
            <v>0.033</v>
          </cell>
          <cell r="L68">
            <v>6.1</v>
          </cell>
          <cell r="M68">
            <v>222</v>
          </cell>
          <cell r="N68">
            <v>0.07</v>
          </cell>
          <cell r="O68">
            <v>2.1</v>
          </cell>
          <cell r="P68">
            <v>3</v>
          </cell>
          <cell r="Q68">
            <v>11</v>
          </cell>
          <cell r="R68">
            <v>21</v>
          </cell>
          <cell r="S68">
            <v>0.06</v>
          </cell>
          <cell r="T68">
            <v>0.07</v>
          </cell>
          <cell r="U68">
            <v>0</v>
          </cell>
          <cell r="V68">
            <v>7</v>
          </cell>
          <cell r="W68">
            <v>0.027</v>
          </cell>
          <cell r="X68">
            <v>0.154</v>
          </cell>
          <cell r="Y68">
            <v>0.199</v>
          </cell>
          <cell r="Z68">
            <v>0.049</v>
          </cell>
          <cell r="AA68">
            <v>0.052</v>
          </cell>
        </row>
        <row r="69">
          <cell r="D69">
            <v>41.5</v>
          </cell>
          <cell r="E69">
            <v>0.985</v>
          </cell>
          <cell r="F69">
            <v>1.6</v>
          </cell>
          <cell r="G69">
            <v>0.17</v>
          </cell>
          <cell r="H69">
            <v>0.265</v>
          </cell>
          <cell r="I69">
            <v>6</v>
          </cell>
          <cell r="J69">
            <v>4.5</v>
          </cell>
          <cell r="K69">
            <v>0.029</v>
          </cell>
          <cell r="L69">
            <v>6.15</v>
          </cell>
          <cell r="M69">
            <v>195.5</v>
          </cell>
          <cell r="N69">
            <v>0.75</v>
          </cell>
          <cell r="O69">
            <v>2.4</v>
          </cell>
          <cell r="P69">
            <v>16.5</v>
          </cell>
          <cell r="Q69">
            <v>9</v>
          </cell>
          <cell r="R69">
            <v>23</v>
          </cell>
          <cell r="S69">
            <v>0.077</v>
          </cell>
          <cell r="T69">
            <v>0.0575</v>
          </cell>
          <cell r="U69">
            <v>0.05</v>
          </cell>
          <cell r="V69">
            <v>6</v>
          </cell>
          <cell r="W69">
            <v>0.029</v>
          </cell>
          <cell r="X69">
            <v>0.9655</v>
          </cell>
          <cell r="Y69">
            <v>0.169</v>
          </cell>
          <cell r="Z69">
            <v>0.025</v>
          </cell>
          <cell r="AA69">
            <v>0.0995</v>
          </cell>
        </row>
        <row r="70">
          <cell r="D70">
            <v>46</v>
          </cell>
          <cell r="E70">
            <v>0.7</v>
          </cell>
          <cell r="F70">
            <v>1.4</v>
          </cell>
          <cell r="G70">
            <v>0.1</v>
          </cell>
          <cell r="H70">
            <v>0.17</v>
          </cell>
          <cell r="I70">
            <v>6</v>
          </cell>
          <cell r="J70">
            <v>5</v>
          </cell>
          <cell r="K70">
            <v>0.026</v>
          </cell>
          <cell r="L70">
            <v>1.9</v>
          </cell>
          <cell r="M70">
            <v>157</v>
          </cell>
          <cell r="N70">
            <v>0.26</v>
          </cell>
          <cell r="O70">
            <v>6.4</v>
          </cell>
          <cell r="P70">
            <v>17</v>
          </cell>
          <cell r="Q70">
            <v>7</v>
          </cell>
          <cell r="R70">
            <v>16</v>
          </cell>
          <cell r="S70">
            <v>0.057</v>
          </cell>
          <cell r="T70">
            <v>0.052</v>
          </cell>
          <cell r="U70">
            <v>0</v>
          </cell>
          <cell r="V70">
            <v>9.5</v>
          </cell>
          <cell r="W70">
            <v>0.028</v>
          </cell>
          <cell r="X70">
            <v>0.417</v>
          </cell>
          <cell r="Y70">
            <v>0.135</v>
          </cell>
          <cell r="Z70">
            <v>0.029</v>
          </cell>
          <cell r="AA70">
            <v>0.044</v>
          </cell>
        </row>
        <row r="71">
          <cell r="D71">
            <v>240</v>
          </cell>
          <cell r="E71">
            <v>2.18</v>
          </cell>
          <cell r="F71">
            <v>7.1</v>
          </cell>
          <cell r="G71">
            <v>0.44</v>
          </cell>
          <cell r="H71">
            <v>0.93</v>
          </cell>
          <cell r="I71">
            <v>43</v>
          </cell>
          <cell r="J71">
            <v>4</v>
          </cell>
          <cell r="K71">
            <v>0.186</v>
          </cell>
          <cell r="L71">
            <v>10.1</v>
          </cell>
          <cell r="M71">
            <v>732</v>
          </cell>
          <cell r="N71">
            <v>0.43</v>
          </cell>
          <cell r="O71">
            <v>59.5</v>
          </cell>
          <cell r="P71">
            <v>39</v>
          </cell>
          <cell r="Q71">
            <v>41</v>
          </cell>
          <cell r="R71">
            <v>69</v>
          </cell>
          <cell r="S71">
            <v>0.281</v>
          </cell>
          <cell r="T71">
            <v>0.299</v>
          </cell>
          <cell r="U71">
            <v>0.3</v>
          </cell>
          <cell r="V71">
            <v>0.6</v>
          </cell>
          <cell r="W71">
            <v>0.051</v>
          </cell>
          <cell r="X71">
            <v>1.882</v>
          </cell>
          <cell r="Y71">
            <v>0.422</v>
          </cell>
          <cell r="Z71">
            <v>0.205</v>
          </cell>
          <cell r="AA71">
            <v>0.062</v>
          </cell>
        </row>
        <row r="72">
          <cell r="D72">
            <v>71</v>
          </cell>
          <cell r="E72">
            <v>0.61</v>
          </cell>
          <cell r="F72">
            <v>1</v>
          </cell>
          <cell r="G72">
            <v>0.21</v>
          </cell>
          <cell r="H72">
            <v>1.18</v>
          </cell>
          <cell r="I72">
            <v>12</v>
          </cell>
          <cell r="J72">
            <v>0</v>
          </cell>
          <cell r="K72">
            <v>0.07</v>
          </cell>
          <cell r="L72">
            <v>2.7</v>
          </cell>
          <cell r="M72">
            <v>276</v>
          </cell>
          <cell r="N72">
            <v>0.12</v>
          </cell>
          <cell r="O72">
            <v>3.4</v>
          </cell>
          <cell r="P72">
            <v>0</v>
          </cell>
          <cell r="Q72">
            <v>14</v>
          </cell>
          <cell r="R72">
            <v>25</v>
          </cell>
          <cell r="S72">
            <v>0.068</v>
          </cell>
          <cell r="T72">
            <v>0.151</v>
          </cell>
          <cell r="U72">
            <v>0.6</v>
          </cell>
          <cell r="V72">
            <v>4.1</v>
          </cell>
          <cell r="W72">
            <v>0.016</v>
          </cell>
          <cell r="X72">
            <v>0.785</v>
          </cell>
          <cell r="Y72">
            <v>0.107</v>
          </cell>
          <cell r="Z72">
            <v>0.218</v>
          </cell>
          <cell r="AA72">
            <v>0.007</v>
          </cell>
        </row>
        <row r="73">
          <cell r="D73">
            <v>71</v>
          </cell>
          <cell r="E73">
            <v>0.61</v>
          </cell>
          <cell r="F73">
            <v>1</v>
          </cell>
          <cell r="G73">
            <v>0.21</v>
          </cell>
          <cell r="H73">
            <v>1.18</v>
          </cell>
          <cell r="I73">
            <v>12</v>
          </cell>
          <cell r="J73">
            <v>0</v>
          </cell>
          <cell r="K73">
            <v>0.07</v>
          </cell>
          <cell r="L73">
            <v>2.7</v>
          </cell>
          <cell r="M73">
            <v>276</v>
          </cell>
          <cell r="N73">
            <v>0.12</v>
          </cell>
          <cell r="O73">
            <v>3.4</v>
          </cell>
          <cell r="P73">
            <v>0</v>
          </cell>
          <cell r="Q73">
            <v>14</v>
          </cell>
          <cell r="R73">
            <v>25</v>
          </cell>
          <cell r="S73">
            <v>0.068</v>
          </cell>
          <cell r="T73">
            <v>0.151</v>
          </cell>
          <cell r="U73">
            <v>0.6</v>
          </cell>
          <cell r="V73">
            <v>4.1</v>
          </cell>
          <cell r="W73">
            <v>0.016</v>
          </cell>
          <cell r="X73">
            <v>0.785</v>
          </cell>
          <cell r="Y73">
            <v>0.107</v>
          </cell>
          <cell r="Z73">
            <v>0.218</v>
          </cell>
          <cell r="AA73">
            <v>0.007</v>
          </cell>
        </row>
        <row r="74">
          <cell r="D74">
            <v>48.3333333333333</v>
          </cell>
          <cell r="E74">
            <v>1.02166666666667</v>
          </cell>
          <cell r="F74">
            <v>1.71666666666667</v>
          </cell>
          <cell r="G74">
            <v>0.135</v>
          </cell>
          <cell r="H74">
            <v>0.295</v>
          </cell>
          <cell r="I74">
            <v>10</v>
          </cell>
          <cell r="J74">
            <v>5.83333333333333</v>
          </cell>
          <cell r="K74">
            <v>0.0328333333333333</v>
          </cell>
          <cell r="L74">
            <v>4.86666666666667</v>
          </cell>
          <cell r="M74">
            <v>200.333333333333</v>
          </cell>
          <cell r="N74">
            <v>0.465</v>
          </cell>
          <cell r="O74">
            <v>3.11666666666667</v>
          </cell>
          <cell r="P74">
            <v>35.5</v>
          </cell>
          <cell r="Q74">
            <v>9.16666666666667</v>
          </cell>
          <cell r="R74">
            <v>20.1666666666667</v>
          </cell>
          <cell r="S74">
            <v>0.0755</v>
          </cell>
          <cell r="T74">
            <v>0.071</v>
          </cell>
          <cell r="U74">
            <v>0.0333333333333333</v>
          </cell>
          <cell r="V74">
            <v>8.08333333333333</v>
          </cell>
          <cell r="W74">
            <v>0.0288333333333333</v>
          </cell>
          <cell r="X74">
            <v>0.583666666666667</v>
          </cell>
          <cell r="Y74">
            <v>0.175833333333333</v>
          </cell>
          <cell r="Z74">
            <v>0.0376666666666667</v>
          </cell>
          <cell r="AA74">
            <v>0.077</v>
          </cell>
        </row>
        <row r="75">
          <cell r="D75">
            <v>46.6</v>
          </cell>
          <cell r="E75">
            <v>0.424</v>
          </cell>
          <cell r="F75">
            <v>2.75</v>
          </cell>
          <cell r="G75">
            <v>0.052</v>
          </cell>
          <cell r="H75">
            <v>0.214</v>
          </cell>
          <cell r="I75">
            <v>11.8</v>
          </cell>
          <cell r="J75">
            <v>5.25</v>
          </cell>
          <cell r="K75">
            <v>0.0244</v>
          </cell>
          <cell r="L75">
            <v>4.53333333333333</v>
          </cell>
          <cell r="M75">
            <v>132.8</v>
          </cell>
          <cell r="N75">
            <v>0.14</v>
          </cell>
          <cell r="O75">
            <v>3.7</v>
          </cell>
          <cell r="P75">
            <v>4.6</v>
          </cell>
          <cell r="Q75">
            <v>6.6</v>
          </cell>
          <cell r="R75">
            <v>11.8</v>
          </cell>
          <cell r="S75">
            <v>0.061</v>
          </cell>
          <cell r="T75">
            <v>0.043</v>
          </cell>
          <cell r="U75">
            <v>0.2</v>
          </cell>
          <cell r="V75">
            <v>10</v>
          </cell>
          <cell r="W75">
            <v>0.0156</v>
          </cell>
          <cell r="X75">
            <v>0.2942</v>
          </cell>
          <cell r="Y75">
            <v>0.06525</v>
          </cell>
          <cell r="Z75">
            <v>0.033</v>
          </cell>
          <cell r="AA75">
            <v>0.0625</v>
          </cell>
        </row>
        <row r="76">
          <cell r="D76">
            <v>32</v>
          </cell>
          <cell r="E76">
            <v>0.67</v>
          </cell>
          <cell r="F76">
            <v>2</v>
          </cell>
          <cell r="G76">
            <v>0.14</v>
          </cell>
          <cell r="H76">
            <v>0.41</v>
          </cell>
          <cell r="I76">
            <v>16</v>
          </cell>
          <cell r="J76">
            <v>24</v>
          </cell>
          <cell r="K76">
            <v>0.022</v>
          </cell>
          <cell r="L76">
            <v>5.7</v>
          </cell>
          <cell r="M76">
            <v>153</v>
          </cell>
          <cell r="N76">
            <v>0.29</v>
          </cell>
          <cell r="O76">
            <v>2.2</v>
          </cell>
          <cell r="P76">
            <v>1</v>
          </cell>
          <cell r="Q76">
            <v>13</v>
          </cell>
          <cell r="R76">
            <v>24</v>
          </cell>
          <cell r="S76">
            <v>0.048</v>
          </cell>
          <cell r="T76">
            <v>0.386</v>
          </cell>
          <cell r="U76">
            <v>0.4</v>
          </cell>
          <cell r="V76">
            <v>58.8</v>
          </cell>
          <cell r="W76">
            <v>0.024</v>
          </cell>
          <cell r="X76">
            <v>0.386</v>
          </cell>
          <cell r="Y76">
            <v>0.125</v>
          </cell>
          <cell r="Z76">
            <v>0.047</v>
          </cell>
          <cell r="AA76">
            <v>0.155</v>
          </cell>
        </row>
        <row r="77">
          <cell r="D77">
            <v>52</v>
          </cell>
          <cell r="E77">
            <v>1.2</v>
          </cell>
          <cell r="F77">
            <v>6.5</v>
          </cell>
          <cell r="G77">
            <v>0.42</v>
          </cell>
          <cell r="H77">
            <v>0.69</v>
          </cell>
          <cell r="I77">
            <v>25</v>
          </cell>
          <cell r="J77">
            <v>21</v>
          </cell>
          <cell r="K77">
            <v>0.038</v>
          </cell>
          <cell r="L77">
            <v>12.3</v>
          </cell>
          <cell r="M77">
            <v>151</v>
          </cell>
          <cell r="N77">
            <v>0.87</v>
          </cell>
          <cell r="O77">
            <v>7.8</v>
          </cell>
          <cell r="P77">
            <v>2</v>
          </cell>
          <cell r="Q77">
            <v>22</v>
          </cell>
          <cell r="R77">
            <v>29</v>
          </cell>
          <cell r="S77">
            <v>0.09</v>
          </cell>
          <cell r="T77">
            <v>0.67</v>
          </cell>
          <cell r="U77">
            <v>0.2</v>
          </cell>
          <cell r="V77">
            <v>26.2</v>
          </cell>
          <cell r="W77">
            <v>0.032</v>
          </cell>
          <cell r="X77">
            <v>0.598</v>
          </cell>
          <cell r="Y77">
            <v>0.329</v>
          </cell>
          <cell r="Z77">
            <v>0.055</v>
          </cell>
          <cell r="AA77">
            <v>0.375</v>
          </cell>
        </row>
        <row r="78">
          <cell r="D78">
            <v>44</v>
          </cell>
          <cell r="E78">
            <v>0.88</v>
          </cell>
          <cell r="F78">
            <v>4.3</v>
          </cell>
          <cell r="G78">
            <v>0.12</v>
          </cell>
          <cell r="H78">
            <v>0.31</v>
          </cell>
          <cell r="I78">
            <v>25</v>
          </cell>
          <cell r="J78">
            <v>6</v>
          </cell>
          <cell r="K78">
            <v>0.03</v>
          </cell>
          <cell r="L78" t="str">
            <v>NA</v>
          </cell>
          <cell r="M78">
            <v>198</v>
          </cell>
          <cell r="N78">
            <v>0.37</v>
          </cell>
          <cell r="O78" t="str">
            <v>NA</v>
          </cell>
          <cell r="P78">
            <v>15</v>
          </cell>
          <cell r="Q78">
            <v>10</v>
          </cell>
          <cell r="R78">
            <v>27</v>
          </cell>
          <cell r="S78">
            <v>0.07</v>
          </cell>
          <cell r="T78">
            <v>0.144</v>
          </cell>
          <cell r="U78">
            <v>0.6</v>
          </cell>
          <cell r="V78">
            <v>27.7</v>
          </cell>
          <cell r="W78">
            <v>0.04</v>
          </cell>
          <cell r="X78">
            <v>0.3</v>
          </cell>
          <cell r="Y78">
            <v>0.286</v>
          </cell>
          <cell r="Z78">
            <v>0.08</v>
          </cell>
          <cell r="AA78">
            <v>0.317</v>
          </cell>
        </row>
        <row r="79">
          <cell r="D79">
            <v>59.5</v>
          </cell>
          <cell r="E79">
            <v>1.4</v>
          </cell>
          <cell r="F79">
            <v>4.3</v>
          </cell>
          <cell r="G79">
            <v>0.25</v>
          </cell>
          <cell r="H79">
            <v>1.27</v>
          </cell>
          <cell r="I79">
            <v>44</v>
          </cell>
          <cell r="J79">
            <v>8</v>
          </cell>
          <cell r="K79">
            <v>0.05</v>
          </cell>
          <cell r="L79">
            <v>7.6</v>
          </cell>
          <cell r="M79">
            <v>298.5</v>
          </cell>
          <cell r="N79">
            <v>0.55</v>
          </cell>
          <cell r="O79">
            <v>11</v>
          </cell>
          <cell r="P79">
            <v>7</v>
          </cell>
          <cell r="Q79">
            <v>18.5</v>
          </cell>
          <cell r="R79">
            <v>51.5</v>
          </cell>
          <cell r="S79">
            <v>0.0965</v>
          </cell>
          <cell r="T79">
            <v>0.221</v>
          </cell>
          <cell r="U79">
            <v>0.6</v>
          </cell>
          <cell r="V79">
            <v>111</v>
          </cell>
          <cell r="W79">
            <v>0.045</v>
          </cell>
          <cell r="X79">
            <v>0.2</v>
          </cell>
          <cell r="Y79">
            <v>0.231</v>
          </cell>
          <cell r="Z79">
            <v>0.068</v>
          </cell>
          <cell r="AA79">
            <v>0.1335</v>
          </cell>
        </row>
        <row r="80">
          <cell r="D80">
            <v>57</v>
          </cell>
          <cell r="E80">
            <v>0.74</v>
          </cell>
          <cell r="F80">
            <v>2.4</v>
          </cell>
          <cell r="G80">
            <v>0.16</v>
          </cell>
          <cell r="H80">
            <v>0.28</v>
          </cell>
          <cell r="I80">
            <v>6</v>
          </cell>
          <cell r="J80">
            <v>6</v>
          </cell>
          <cell r="K80">
            <v>0.041</v>
          </cell>
          <cell r="L80">
            <v>6</v>
          </cell>
          <cell r="M80">
            <v>77</v>
          </cell>
          <cell r="N80">
            <v>0.57</v>
          </cell>
          <cell r="O80">
            <v>19.3</v>
          </cell>
          <cell r="P80">
            <v>3</v>
          </cell>
          <cell r="Q80">
            <v>6</v>
          </cell>
          <cell r="R80">
            <v>12</v>
          </cell>
          <cell r="S80">
            <v>0.057</v>
          </cell>
          <cell r="T80">
            <v>0.336</v>
          </cell>
          <cell r="U80">
            <v>0.1</v>
          </cell>
          <cell r="V80">
            <v>9.7</v>
          </cell>
          <cell r="W80">
            <v>0.037</v>
          </cell>
          <cell r="X80">
            <v>0.418</v>
          </cell>
          <cell r="Y80">
            <v>0.124</v>
          </cell>
          <cell r="Z80">
            <v>0.052</v>
          </cell>
          <cell r="AA80">
            <v>0.146</v>
          </cell>
        </row>
        <row r="81">
          <cell r="D81">
            <v>46</v>
          </cell>
          <cell r="E81">
            <v>0.46</v>
          </cell>
          <cell r="F81">
            <v>3.6</v>
          </cell>
          <cell r="G81">
            <v>0.09</v>
          </cell>
          <cell r="H81">
            <v>0.23</v>
          </cell>
          <cell r="I81">
            <v>8</v>
          </cell>
          <cell r="J81">
            <v>1</v>
          </cell>
          <cell r="K81">
            <v>0.02</v>
          </cell>
          <cell r="L81">
            <v>5.5</v>
          </cell>
          <cell r="M81">
            <v>80</v>
          </cell>
          <cell r="N81">
            <v>1.32</v>
          </cell>
          <cell r="O81">
            <v>5</v>
          </cell>
          <cell r="P81">
            <v>3</v>
          </cell>
          <cell r="Q81">
            <v>6</v>
          </cell>
          <cell r="R81">
            <v>11</v>
          </cell>
          <cell r="S81">
            <v>0.056</v>
          </cell>
          <cell r="T81">
            <v>0.267</v>
          </cell>
          <cell r="U81">
            <v>0.1</v>
          </cell>
          <cell r="V81">
            <v>14</v>
          </cell>
          <cell r="W81">
            <v>0.012</v>
          </cell>
          <cell r="X81">
            <v>0.101</v>
          </cell>
          <cell r="Y81">
            <v>0.295</v>
          </cell>
          <cell r="Z81">
            <v>0.057</v>
          </cell>
          <cell r="AA81">
            <v>0.055</v>
          </cell>
        </row>
        <row r="82">
          <cell r="D82">
            <v>47.7777777777778</v>
          </cell>
          <cell r="E82">
            <v>0.851111111111111</v>
          </cell>
          <cell r="F82">
            <v>4.475</v>
          </cell>
          <cell r="G82">
            <v>0.218571428571429</v>
          </cell>
          <cell r="H82">
            <v>0.668888888888889</v>
          </cell>
          <cell r="I82">
            <v>23.1111111111111</v>
          </cell>
          <cell r="J82">
            <v>12.7142857142857</v>
          </cell>
          <cell r="K82">
            <v>0.0403333333333333</v>
          </cell>
          <cell r="L82">
            <v>8.86</v>
          </cell>
          <cell r="M82">
            <v>172</v>
          </cell>
          <cell r="N82">
            <v>0.815</v>
          </cell>
          <cell r="O82">
            <v>8.52</v>
          </cell>
          <cell r="P82">
            <v>12.2222222222222</v>
          </cell>
          <cell r="Q82">
            <v>13</v>
          </cell>
          <cell r="R82">
            <v>25.2222222222222</v>
          </cell>
          <cell r="S82">
            <v>0.0785714285714286</v>
          </cell>
          <cell r="T82">
            <v>0.4226</v>
          </cell>
          <cell r="U82">
            <v>0.414285714285714</v>
          </cell>
          <cell r="V82">
            <v>29.2333333333333</v>
          </cell>
          <cell r="W82">
            <v>0.0304444444444444</v>
          </cell>
          <cell r="X82">
            <v>0.446777777777778</v>
          </cell>
          <cell r="Y82">
            <v>0.241833333333333</v>
          </cell>
          <cell r="Z82">
            <v>0.0784285714285714</v>
          </cell>
          <cell r="AA82">
            <v>0.236125</v>
          </cell>
        </row>
        <row r="83">
          <cell r="D83">
            <v>63</v>
          </cell>
          <cell r="E83">
            <v>0.765</v>
          </cell>
          <cell r="F83">
            <v>2.4</v>
          </cell>
          <cell r="G83">
            <v>0.09</v>
          </cell>
          <cell r="H83">
            <v>0.31</v>
          </cell>
          <cell r="I83">
            <v>23.5</v>
          </cell>
          <cell r="J83">
            <v>2</v>
          </cell>
          <cell r="K83">
            <v>0.785</v>
          </cell>
          <cell r="L83">
            <v>5.6</v>
          </cell>
          <cell r="M83">
            <v>197</v>
          </cell>
          <cell r="N83">
            <v>0.19</v>
          </cell>
          <cell r="O83">
            <v>14.6</v>
          </cell>
          <cell r="P83">
            <v>3</v>
          </cell>
          <cell r="Q83">
            <v>10.5</v>
          </cell>
          <cell r="R83">
            <v>22</v>
          </cell>
          <cell r="S83">
            <v>0.123</v>
          </cell>
          <cell r="T83">
            <v>1.022</v>
          </cell>
          <cell r="U83">
            <v>0.1</v>
          </cell>
          <cell r="V83">
            <v>4.85</v>
          </cell>
          <cell r="W83">
            <v>0.069</v>
          </cell>
          <cell r="X83">
            <v>0.188</v>
          </cell>
          <cell r="Y83">
            <v>0.05</v>
          </cell>
          <cell r="Z83">
            <v>0.086</v>
          </cell>
          <cell r="AA83">
            <v>0.048</v>
          </cell>
        </row>
        <row r="84">
          <cell r="D84">
            <v>216.5</v>
          </cell>
          <cell r="E84">
            <v>2.64333333333333</v>
          </cell>
          <cell r="F84">
            <v>5.12</v>
          </cell>
          <cell r="G84">
            <v>0.313333333333333</v>
          </cell>
          <cell r="H84">
            <v>2.01</v>
          </cell>
          <cell r="I84">
            <v>50.8333333333333</v>
          </cell>
          <cell r="J84">
            <v>5.8</v>
          </cell>
          <cell r="K84">
            <v>0.123333333333333</v>
          </cell>
          <cell r="L84">
            <v>10.1</v>
          </cell>
          <cell r="M84">
            <v>634.833333333333</v>
          </cell>
          <cell r="N84">
            <v>0.29</v>
          </cell>
          <cell r="O84">
            <v>5.325</v>
          </cell>
          <cell r="P84">
            <v>3</v>
          </cell>
          <cell r="Q84">
            <v>29.1666666666667</v>
          </cell>
          <cell r="R84">
            <v>86.5</v>
          </cell>
          <cell r="S84">
            <v>0.274</v>
          </cell>
          <cell r="T84">
            <v>0.2975</v>
          </cell>
          <cell r="U84">
            <v>0.64</v>
          </cell>
          <cell r="V84">
            <v>39.6</v>
          </cell>
          <cell r="W84">
            <v>0.0793333333333333</v>
          </cell>
          <cell r="X84">
            <v>0.8395</v>
          </cell>
          <cell r="Y84">
            <v>0.131166666666667</v>
          </cell>
          <cell r="Z84">
            <v>0.186166666666667</v>
          </cell>
          <cell r="AA84">
            <v>0.129666666666667</v>
          </cell>
        </row>
        <row r="85">
          <cell r="D85">
            <v>60</v>
          </cell>
          <cell r="E85">
            <v>0.37</v>
          </cell>
          <cell r="F85">
            <v>0.2</v>
          </cell>
          <cell r="G85">
            <v>0.07</v>
          </cell>
          <cell r="H85">
            <v>0.25</v>
          </cell>
          <cell r="I85">
            <v>11</v>
          </cell>
          <cell r="J85">
            <v>0</v>
          </cell>
          <cell r="K85">
            <v>0.015</v>
          </cell>
          <cell r="L85">
            <v>3.2</v>
          </cell>
          <cell r="M85">
            <v>104</v>
          </cell>
          <cell r="N85">
            <v>0</v>
          </cell>
          <cell r="O85">
            <v>0.4</v>
          </cell>
          <cell r="P85">
            <v>0</v>
          </cell>
          <cell r="Q85">
            <v>10</v>
          </cell>
          <cell r="R85">
            <v>14</v>
          </cell>
          <cell r="S85">
            <v>0.018</v>
          </cell>
          <cell r="T85">
            <v>0.239</v>
          </cell>
          <cell r="U85">
            <v>0</v>
          </cell>
          <cell r="V85">
            <v>25</v>
          </cell>
          <cell r="W85">
            <v>0.017</v>
          </cell>
          <cell r="X85">
            <v>0.133</v>
          </cell>
          <cell r="Y85">
            <v>0.048</v>
          </cell>
          <cell r="Z85">
            <v>0.032</v>
          </cell>
          <cell r="AA85">
            <v>0.022</v>
          </cell>
        </row>
        <row r="86">
          <cell r="D86">
            <v>83</v>
          </cell>
          <cell r="E86">
            <v>0.07</v>
          </cell>
          <cell r="F86">
            <v>0</v>
          </cell>
          <cell r="G86">
            <v>0.13</v>
          </cell>
          <cell r="H86">
            <v>0.37</v>
          </cell>
          <cell r="I86">
            <v>8</v>
          </cell>
          <cell r="J86">
            <v>1</v>
          </cell>
          <cell r="K86">
            <v>0.023</v>
          </cell>
          <cell r="L86">
            <v>5</v>
          </cell>
          <cell r="M86">
            <v>99</v>
          </cell>
          <cell r="N86">
            <v>0</v>
          </cell>
          <cell r="O86">
            <v>0</v>
          </cell>
          <cell r="P86">
            <v>0</v>
          </cell>
          <cell r="Q86">
            <v>11</v>
          </cell>
          <cell r="R86">
            <v>20</v>
          </cell>
          <cell r="S86">
            <v>0.007</v>
          </cell>
          <cell r="T86">
            <v>0.124</v>
          </cell>
          <cell r="U86">
            <v>0.2</v>
          </cell>
          <cell r="V86">
            <v>0</v>
          </cell>
          <cell r="W86">
            <v>0.005</v>
          </cell>
          <cell r="X86">
            <v>0.166</v>
          </cell>
          <cell r="Y86">
            <v>0.037</v>
          </cell>
          <cell r="Z86">
            <v>0.054</v>
          </cell>
          <cell r="AA86">
            <v>0</v>
          </cell>
        </row>
        <row r="87">
          <cell r="D87">
            <v>121.5</v>
          </cell>
          <cell r="E87">
            <v>0.28</v>
          </cell>
          <cell r="F87">
            <v>0</v>
          </cell>
          <cell r="G87">
            <v>0.09</v>
          </cell>
          <cell r="H87">
            <v>0.22</v>
          </cell>
          <cell r="I87">
            <v>9</v>
          </cell>
          <cell r="J87">
            <v>0.5</v>
          </cell>
          <cell r="K87">
            <v>0.0165</v>
          </cell>
          <cell r="L87">
            <v>2.5</v>
          </cell>
          <cell r="M87">
            <v>75.5</v>
          </cell>
          <cell r="N87">
            <v>0</v>
          </cell>
          <cell r="O87">
            <v>0</v>
          </cell>
          <cell r="P87">
            <v>0</v>
          </cell>
          <cell r="Q87">
            <v>9.5</v>
          </cell>
          <cell r="R87">
            <v>13.5</v>
          </cell>
          <cell r="S87">
            <v>0.025</v>
          </cell>
          <cell r="T87">
            <v>0.125</v>
          </cell>
          <cell r="U87">
            <v>0.35</v>
          </cell>
          <cell r="V87">
            <v>0</v>
          </cell>
          <cell r="W87">
            <v>0.019</v>
          </cell>
          <cell r="X87">
            <v>0.1515</v>
          </cell>
          <cell r="Y87">
            <v>0.09</v>
          </cell>
          <cell r="Z87">
            <v>0.0185</v>
          </cell>
          <cell r="AA87">
            <v>0</v>
          </cell>
        </row>
        <row r="88">
          <cell r="D88">
            <v>30</v>
          </cell>
          <cell r="E88">
            <v>0.61</v>
          </cell>
          <cell r="F88">
            <v>0.4</v>
          </cell>
          <cell r="G88">
            <v>0.1</v>
          </cell>
          <cell r="H88">
            <v>0.24</v>
          </cell>
          <cell r="I88">
            <v>7</v>
          </cell>
          <cell r="J88">
            <v>3</v>
          </cell>
          <cell r="K88">
            <v>0.021</v>
          </cell>
          <cell r="L88">
            <v>4.1</v>
          </cell>
          <cell r="M88">
            <v>112</v>
          </cell>
          <cell r="N88">
            <v>0.05</v>
          </cell>
          <cell r="O88">
            <v>0.1</v>
          </cell>
          <cell r="P88">
            <v>28</v>
          </cell>
          <cell r="Q88">
            <v>10</v>
          </cell>
          <cell r="R88">
            <v>11</v>
          </cell>
          <cell r="S88">
            <v>0.042</v>
          </cell>
          <cell r="T88">
            <v>0.038</v>
          </cell>
          <cell r="U88">
            <v>0.4</v>
          </cell>
          <cell r="V88">
            <v>8.1</v>
          </cell>
          <cell r="W88">
            <v>0.033</v>
          </cell>
          <cell r="X88">
            <v>0.178</v>
          </cell>
          <cell r="Y88">
            <v>0.221</v>
          </cell>
          <cell r="Z88">
            <v>0.045</v>
          </cell>
          <cell r="AA88">
            <v>0.05</v>
          </cell>
        </row>
        <row r="89">
          <cell r="D89">
            <v>32.6666666666667</v>
          </cell>
          <cell r="E89">
            <v>0.83</v>
          </cell>
          <cell r="F89">
            <v>0.866666666666667</v>
          </cell>
          <cell r="G89">
            <v>0.113333333333333</v>
          </cell>
          <cell r="H89">
            <v>0.24</v>
          </cell>
          <cell r="I89">
            <v>8.66666666666667</v>
          </cell>
          <cell r="J89">
            <v>16</v>
          </cell>
          <cell r="K89">
            <v>0.0206666666666667</v>
          </cell>
          <cell r="L89">
            <v>7.6</v>
          </cell>
          <cell r="M89">
            <v>225.666666666667</v>
          </cell>
          <cell r="N89">
            <v>0.04</v>
          </cell>
          <cell r="O89">
            <v>2.63333333333333</v>
          </cell>
          <cell r="P89">
            <v>57.3333333333333</v>
          </cell>
          <cell r="Q89">
            <v>11</v>
          </cell>
          <cell r="R89">
            <v>10.3333333333333</v>
          </cell>
          <cell r="S89">
            <v>0.0416666666666667</v>
          </cell>
          <cell r="T89">
            <v>0.0343333333333333</v>
          </cell>
          <cell r="U89">
            <v>0.5</v>
          </cell>
          <cell r="V89">
            <v>25.5</v>
          </cell>
          <cell r="W89">
            <v>0.0313333333333333</v>
          </cell>
          <cell r="X89">
            <v>0.461333333333333</v>
          </cell>
          <cell r="Y89">
            <v>0.114666666666667</v>
          </cell>
          <cell r="Z89">
            <v>0.107666666666667</v>
          </cell>
          <cell r="AA89">
            <v>0.0596666666666667</v>
          </cell>
        </row>
        <row r="90">
          <cell r="D90">
            <v>74</v>
          </cell>
          <cell r="E90">
            <v>0.75</v>
          </cell>
          <cell r="F90">
            <v>2.9</v>
          </cell>
          <cell r="G90">
            <v>0.15</v>
          </cell>
          <cell r="H90">
            <v>0.37</v>
          </cell>
          <cell r="I90">
            <v>35</v>
          </cell>
          <cell r="J90">
            <v>6</v>
          </cell>
          <cell r="K90">
            <v>0.05</v>
          </cell>
          <cell r="L90">
            <v>4.7</v>
          </cell>
          <cell r="M90">
            <v>232</v>
          </cell>
          <cell r="N90">
            <v>0.11</v>
          </cell>
          <cell r="O90">
            <v>4.7</v>
          </cell>
          <cell r="P90">
            <v>7</v>
          </cell>
          <cell r="Q90">
            <v>17</v>
          </cell>
          <cell r="R90">
            <v>14</v>
          </cell>
          <cell r="S90">
            <v>0.07</v>
          </cell>
          <cell r="T90">
            <v>0.128</v>
          </cell>
          <cell r="U90">
            <v>0.2</v>
          </cell>
          <cell r="V90">
            <v>2</v>
          </cell>
          <cell r="W90">
            <v>0.06</v>
          </cell>
          <cell r="X90">
            <v>0.4</v>
          </cell>
          <cell r="Y90">
            <v>0.3</v>
          </cell>
          <cell r="Z90">
            <v>0.113</v>
          </cell>
          <cell r="AA90">
            <v>0.144</v>
          </cell>
        </row>
        <row r="91">
          <cell r="D91">
            <v>249</v>
          </cell>
          <cell r="E91">
            <v>3.3</v>
          </cell>
          <cell r="F91">
            <v>9.8</v>
          </cell>
          <cell r="G91">
            <v>0.55</v>
          </cell>
          <cell r="H91">
            <v>2.03</v>
          </cell>
          <cell r="I91">
            <v>162</v>
          </cell>
          <cell r="J91">
            <v>9</v>
          </cell>
          <cell r="K91">
            <v>0.082</v>
          </cell>
          <cell r="L91">
            <v>15.8</v>
          </cell>
          <cell r="M91">
            <v>680</v>
          </cell>
          <cell r="N91">
            <v>0.35</v>
          </cell>
          <cell r="O91">
            <v>15.6</v>
          </cell>
          <cell r="P91">
            <v>0</v>
          </cell>
          <cell r="Q91">
            <v>68</v>
          </cell>
          <cell r="R91">
            <v>67</v>
          </cell>
          <cell r="S91">
            <v>0.287</v>
          </cell>
          <cell r="T91">
            <v>0.51</v>
          </cell>
          <cell r="U91">
            <v>0.6</v>
          </cell>
          <cell r="V91">
            <v>1.2</v>
          </cell>
          <cell r="W91">
            <v>0.085</v>
          </cell>
          <cell r="X91">
            <v>0.619</v>
          </cell>
          <cell r="Y91">
            <v>0.434</v>
          </cell>
          <cell r="Z91">
            <v>0.106</v>
          </cell>
          <cell r="AA91">
            <v>0.345</v>
          </cell>
        </row>
        <row r="92">
          <cell r="D92">
            <v>60</v>
          </cell>
          <cell r="E92">
            <v>0.82</v>
          </cell>
          <cell r="F92">
            <v>1.6</v>
          </cell>
          <cell r="G92">
            <v>0.09</v>
          </cell>
          <cell r="H92">
            <v>0.16</v>
          </cell>
          <cell r="I92">
            <v>11</v>
          </cell>
          <cell r="J92">
            <v>43</v>
          </cell>
          <cell r="K92">
            <v>0.038</v>
          </cell>
          <cell r="L92">
            <v>7.6</v>
          </cell>
          <cell r="M92">
            <v>168</v>
          </cell>
          <cell r="N92">
            <v>0.9</v>
          </cell>
          <cell r="O92">
            <v>4.2</v>
          </cell>
          <cell r="P92">
            <v>54</v>
          </cell>
          <cell r="Q92">
            <v>10</v>
          </cell>
          <cell r="R92">
            <v>14</v>
          </cell>
          <cell r="S92">
            <v>0.111</v>
          </cell>
          <cell r="T92">
            <v>0.063</v>
          </cell>
          <cell r="U92">
            <v>0.6</v>
          </cell>
          <cell r="V92">
            <v>36.4</v>
          </cell>
          <cell r="W92">
            <v>0.028</v>
          </cell>
          <cell r="X92">
            <v>0.669</v>
          </cell>
          <cell r="Y92">
            <v>0.197</v>
          </cell>
          <cell r="Z92">
            <v>0.119</v>
          </cell>
          <cell r="AA92">
            <v>0.071</v>
          </cell>
        </row>
        <row r="93">
          <cell r="D93">
            <v>160</v>
          </cell>
          <cell r="E93">
            <v>2</v>
          </cell>
          <cell r="F93">
            <v>6.7</v>
          </cell>
          <cell r="G93">
            <v>0.64</v>
          </cell>
          <cell r="H93">
            <v>0.55</v>
          </cell>
          <cell r="I93">
            <v>12</v>
          </cell>
          <cell r="J93">
            <v>81</v>
          </cell>
          <cell r="K93">
            <v>0.13</v>
          </cell>
          <cell r="L93">
            <v>14.2</v>
          </cell>
          <cell r="M93">
            <v>485</v>
          </cell>
          <cell r="N93">
            <v>2.07</v>
          </cell>
          <cell r="O93">
            <v>21</v>
          </cell>
          <cell r="P93">
            <v>7</v>
          </cell>
          <cell r="Q93">
            <v>29</v>
          </cell>
          <cell r="R93">
            <v>52</v>
          </cell>
          <cell r="S93">
            <v>0.19</v>
          </cell>
          <cell r="T93">
            <v>0.142</v>
          </cell>
          <cell r="U93">
            <v>0.4</v>
          </cell>
          <cell r="V93">
            <v>10</v>
          </cell>
          <cell r="W93">
            <v>0.067</v>
          </cell>
          <cell r="X93">
            <v>1.738</v>
          </cell>
          <cell r="Y93">
            <v>1.389</v>
          </cell>
          <cell r="Z93">
            <v>0.257</v>
          </cell>
          <cell r="AA93">
            <v>1.816</v>
          </cell>
        </row>
        <row r="94">
          <cell r="D94">
            <v>50</v>
          </cell>
          <cell r="E94">
            <v>0.54</v>
          </cell>
          <cell r="F94">
            <v>1.4</v>
          </cell>
          <cell r="G94">
            <v>0.12</v>
          </cell>
          <cell r="H94">
            <v>0.29</v>
          </cell>
          <cell r="I94">
            <v>13</v>
          </cell>
          <cell r="J94">
            <v>18</v>
          </cell>
          <cell r="K94">
            <v>0.032</v>
          </cell>
          <cell r="L94">
            <v>5.5</v>
          </cell>
          <cell r="M94">
            <v>109</v>
          </cell>
          <cell r="N94">
            <v>0.02</v>
          </cell>
          <cell r="O94">
            <v>0.7</v>
          </cell>
          <cell r="P94">
            <v>3</v>
          </cell>
          <cell r="Q94">
            <v>12</v>
          </cell>
          <cell r="R94">
            <v>8</v>
          </cell>
          <cell r="S94">
            <v>0.11</v>
          </cell>
          <cell r="T94">
            <v>0.927</v>
          </cell>
          <cell r="U94">
            <v>0.1</v>
          </cell>
          <cell r="V94">
            <v>47.8</v>
          </cell>
          <cell r="W94">
            <v>0.079</v>
          </cell>
          <cell r="X94">
            <v>0.5</v>
          </cell>
          <cell r="Y94">
            <v>0.213</v>
          </cell>
          <cell r="Z94">
            <v>0.112</v>
          </cell>
          <cell r="AA94">
            <v>0.04</v>
          </cell>
        </row>
        <row r="95">
          <cell r="D95">
            <v>32</v>
          </cell>
          <cell r="E95">
            <v>0.43</v>
          </cell>
          <cell r="F95">
            <v>0.8</v>
          </cell>
          <cell r="G95">
            <v>0.12</v>
          </cell>
          <cell r="H95">
            <v>0.4</v>
          </cell>
          <cell r="I95">
            <v>15</v>
          </cell>
          <cell r="J95">
            <v>5</v>
          </cell>
          <cell r="K95">
            <v>0.026</v>
          </cell>
          <cell r="L95">
            <v>3.8</v>
          </cell>
          <cell r="M95">
            <v>127</v>
          </cell>
          <cell r="N95">
            <v>0.01</v>
          </cell>
          <cell r="O95">
            <v>0.3</v>
          </cell>
          <cell r="P95">
            <v>2</v>
          </cell>
          <cell r="Q95">
            <v>18</v>
          </cell>
          <cell r="R95">
            <v>4</v>
          </cell>
          <cell r="S95">
            <v>0.105</v>
          </cell>
          <cell r="T95">
            <v>1.121</v>
          </cell>
          <cell r="U95">
            <v>0.4</v>
          </cell>
          <cell r="V95">
            <v>7.7</v>
          </cell>
          <cell r="W95">
            <v>0.093</v>
          </cell>
          <cell r="X95">
            <v>0.298</v>
          </cell>
          <cell r="Y95">
            <v>0.1</v>
          </cell>
          <cell r="Z95">
            <v>0.074</v>
          </cell>
          <cell r="AA95">
            <v>0.031</v>
          </cell>
        </row>
        <row r="96">
          <cell r="D96">
            <v>53</v>
          </cell>
          <cell r="E96">
            <v>0.36</v>
          </cell>
          <cell r="F96">
            <v>0.2</v>
          </cell>
          <cell r="G96">
            <v>0.11</v>
          </cell>
          <cell r="H96">
            <v>0.31</v>
          </cell>
          <cell r="I96">
            <v>13</v>
          </cell>
          <cell r="J96">
            <v>18</v>
          </cell>
          <cell r="K96">
            <v>0.021</v>
          </cell>
          <cell r="L96">
            <v>3.3</v>
          </cell>
          <cell r="M96">
            <v>130</v>
          </cell>
          <cell r="N96">
            <v>0.02</v>
          </cell>
          <cell r="O96">
            <v>0.3</v>
          </cell>
          <cell r="P96">
            <v>0</v>
          </cell>
          <cell r="Q96">
            <v>12</v>
          </cell>
          <cell r="R96">
            <v>8</v>
          </cell>
          <cell r="S96">
            <v>0.069</v>
          </cell>
          <cell r="T96">
            <v>0.504</v>
          </cell>
          <cell r="U96">
            <v>0.1</v>
          </cell>
          <cell r="V96">
            <v>10</v>
          </cell>
          <cell r="W96">
            <v>0.058</v>
          </cell>
          <cell r="X96">
            <v>0.199</v>
          </cell>
          <cell r="Y96">
            <v>0.056</v>
          </cell>
          <cell r="Z96">
            <v>0.1</v>
          </cell>
          <cell r="AA96">
            <v>0.042</v>
          </cell>
        </row>
        <row r="97">
          <cell r="D97">
            <v>279.5</v>
          </cell>
          <cell r="E97">
            <v>2.13</v>
          </cell>
          <cell r="F97">
            <v>7.35</v>
          </cell>
          <cell r="G97">
            <v>0.365</v>
          </cell>
          <cell r="H97">
            <v>0.96</v>
          </cell>
          <cell r="I97">
            <v>51.5</v>
          </cell>
          <cell r="J97">
            <v>17</v>
          </cell>
          <cell r="K97">
            <v>0.063</v>
          </cell>
          <cell r="L97">
            <v>8.1</v>
          </cell>
          <cell r="M97">
            <v>676</v>
          </cell>
          <cell r="N97">
            <v>0.05</v>
          </cell>
          <cell r="O97">
            <v>2.7</v>
          </cell>
          <cell r="P97">
            <v>3.5</v>
          </cell>
          <cell r="Q97">
            <v>48.5</v>
          </cell>
          <cell r="R97">
            <v>62</v>
          </cell>
          <cell r="S97">
            <v>0.284</v>
          </cell>
          <cell r="T97">
            <v>0.279</v>
          </cell>
          <cell r="U97">
            <v>3</v>
          </cell>
          <cell r="V97">
            <v>0.2</v>
          </cell>
          <cell r="W97">
            <v>0.051</v>
          </cell>
          <cell r="X97">
            <v>1.442</v>
          </cell>
          <cell r="Y97">
            <v>0.697</v>
          </cell>
          <cell r="Z97">
            <v>0.207</v>
          </cell>
          <cell r="AA97">
            <v>0.019</v>
          </cell>
        </row>
        <row r="98">
          <cell r="D98">
            <v>179</v>
          </cell>
          <cell r="E98">
            <v>1.3</v>
          </cell>
          <cell r="F98">
            <v>0.7</v>
          </cell>
          <cell r="G98">
            <v>0.4</v>
          </cell>
          <cell r="H98">
            <v>0.9</v>
          </cell>
          <cell r="I98">
            <v>39</v>
          </cell>
          <cell r="J98">
            <v>37</v>
          </cell>
          <cell r="K98">
            <v>0.06</v>
          </cell>
          <cell r="L98">
            <v>11.6</v>
          </cell>
          <cell r="M98">
            <v>472</v>
          </cell>
          <cell r="N98">
            <v>0.03</v>
          </cell>
          <cell r="O98">
            <v>1</v>
          </cell>
          <cell r="P98">
            <v>3</v>
          </cell>
          <cell r="Q98">
            <v>35</v>
          </cell>
          <cell r="R98">
            <v>28</v>
          </cell>
          <cell r="S98">
            <v>0.313</v>
          </cell>
          <cell r="T98">
            <v>3.439</v>
          </cell>
          <cell r="U98">
            <v>0.4</v>
          </cell>
          <cell r="V98">
            <v>42</v>
          </cell>
          <cell r="W98">
            <v>0.23</v>
          </cell>
          <cell r="X98">
            <v>0.9</v>
          </cell>
          <cell r="Y98">
            <v>0.43</v>
          </cell>
          <cell r="Z98">
            <v>0.255</v>
          </cell>
          <cell r="AA98">
            <v>0.035</v>
          </cell>
        </row>
        <row r="99">
          <cell r="D99">
            <v>98.5</v>
          </cell>
          <cell r="E99">
            <v>0.69</v>
          </cell>
          <cell r="F99">
            <v>3.6</v>
          </cell>
          <cell r="G99">
            <v>0.11</v>
          </cell>
          <cell r="H99">
            <v>1.325</v>
          </cell>
          <cell r="I99">
            <v>17.5</v>
          </cell>
          <cell r="J99">
            <v>8</v>
          </cell>
          <cell r="K99">
            <v>0.02</v>
          </cell>
          <cell r="L99">
            <v>7.6</v>
          </cell>
          <cell r="M99">
            <v>235.5</v>
          </cell>
          <cell r="N99">
            <v>0.73</v>
          </cell>
          <cell r="O99">
            <v>2.6</v>
          </cell>
          <cell r="P99">
            <v>81</v>
          </cell>
          <cell r="Q99">
            <v>9</v>
          </cell>
          <cell r="R99">
            <v>21.5</v>
          </cell>
          <cell r="S99">
            <v>0.113</v>
          </cell>
          <cell r="T99">
            <v>0.355</v>
          </cell>
          <cell r="U99">
            <v>0.6</v>
          </cell>
          <cell r="V99">
            <v>36.75</v>
          </cell>
          <cell r="W99">
            <v>0.03</v>
          </cell>
          <cell r="X99">
            <v>0.1</v>
          </cell>
          <cell r="Y99" t="str">
            <v>NA</v>
          </cell>
          <cell r="Z99">
            <v>0.1</v>
          </cell>
          <cell r="AA99">
            <v>0.043</v>
          </cell>
        </row>
        <row r="100">
          <cell r="D100">
            <v>553</v>
          </cell>
          <cell r="E100">
            <v>18.22</v>
          </cell>
          <cell r="F100">
            <v>3.3</v>
          </cell>
          <cell r="G100">
            <v>5.78</v>
          </cell>
          <cell r="H100">
            <v>6.68</v>
          </cell>
          <cell r="I100">
            <v>37</v>
          </cell>
          <cell r="J100">
            <v>25</v>
          </cell>
          <cell r="K100">
            <v>0.058</v>
          </cell>
          <cell r="L100" t="str">
            <v>NA</v>
          </cell>
          <cell r="M100">
            <v>660</v>
          </cell>
          <cell r="N100">
            <v>0.9</v>
          </cell>
          <cell r="O100">
            <v>34.1</v>
          </cell>
          <cell r="P100">
            <v>0</v>
          </cell>
          <cell r="Q100">
            <v>292</v>
          </cell>
          <cell r="R100">
            <v>593</v>
          </cell>
          <cell r="S100">
            <v>2.195</v>
          </cell>
          <cell r="T100">
            <v>1.655</v>
          </cell>
          <cell r="U100">
            <v>19.9</v>
          </cell>
          <cell r="V100">
            <v>0.5</v>
          </cell>
          <cell r="W100">
            <v>0.423</v>
          </cell>
          <cell r="X100">
            <v>1.062</v>
          </cell>
          <cell r="Y100">
            <v>0.864</v>
          </cell>
          <cell r="Z100">
            <v>0.417</v>
          </cell>
          <cell r="AA100">
            <v>7.845</v>
          </cell>
        </row>
        <row r="101">
          <cell r="D101">
            <v>61</v>
          </cell>
          <cell r="E101">
            <v>1.14</v>
          </cell>
          <cell r="F101">
            <v>3</v>
          </cell>
          <cell r="G101">
            <v>0.14</v>
          </cell>
          <cell r="H101">
            <v>0.31</v>
          </cell>
          <cell r="I101">
            <v>34</v>
          </cell>
          <cell r="J101">
            <v>25</v>
          </cell>
          <cell r="K101">
            <v>0.025</v>
          </cell>
          <cell r="L101">
            <v>7.8</v>
          </cell>
          <cell r="M101">
            <v>312</v>
          </cell>
          <cell r="N101">
            <v>1.46</v>
          </cell>
          <cell r="O101">
            <v>40.3</v>
          </cell>
          <cell r="P101">
            <v>4</v>
          </cell>
          <cell r="Q101">
            <v>17</v>
          </cell>
          <cell r="R101">
            <v>34</v>
          </cell>
          <cell r="S101">
            <v>0.13</v>
          </cell>
          <cell r="T101">
            <v>0.098</v>
          </cell>
          <cell r="U101">
            <v>0.2</v>
          </cell>
          <cell r="V101">
            <v>92.7</v>
          </cell>
          <cell r="W101">
            <v>0.027</v>
          </cell>
          <cell r="X101">
            <v>0.341</v>
          </cell>
          <cell r="Y101">
            <v>0.183</v>
          </cell>
          <cell r="Z101">
            <v>0.063</v>
          </cell>
          <cell r="AA101">
            <v>0.287</v>
          </cell>
        </row>
        <row r="102">
          <cell r="D102">
            <v>43</v>
          </cell>
          <cell r="E102">
            <v>0.47</v>
          </cell>
          <cell r="F102">
            <v>1.7</v>
          </cell>
          <cell r="G102">
            <v>0.08</v>
          </cell>
          <cell r="H102">
            <v>0.25</v>
          </cell>
          <cell r="I102">
            <v>20</v>
          </cell>
          <cell r="J102">
            <v>37</v>
          </cell>
          <cell r="K102">
            <v>0.027</v>
          </cell>
          <cell r="L102">
            <v>6.1</v>
          </cell>
          <cell r="M102">
            <v>182</v>
          </cell>
          <cell r="N102">
            <v>0.3</v>
          </cell>
          <cell r="O102">
            <v>2.6</v>
          </cell>
          <cell r="P102">
            <v>47</v>
          </cell>
          <cell r="Q102">
            <v>21</v>
          </cell>
          <cell r="R102">
            <v>10</v>
          </cell>
          <cell r="S102">
            <v>0.045</v>
          </cell>
          <cell r="T102">
            <v>0.04</v>
          </cell>
          <cell r="U102">
            <v>0.6</v>
          </cell>
          <cell r="V102">
            <v>60.9</v>
          </cell>
          <cell r="W102">
            <v>0.023</v>
          </cell>
          <cell r="X102">
            <v>0.357</v>
          </cell>
          <cell r="Y102">
            <v>0.191</v>
          </cell>
          <cell r="Z102">
            <v>0.038</v>
          </cell>
          <cell r="AA102">
            <v>0.058</v>
          </cell>
        </row>
        <row r="103">
          <cell r="D103">
            <v>80.75</v>
          </cell>
          <cell r="E103">
            <v>1.33083333333333</v>
          </cell>
          <cell r="F103">
            <v>4.25833333333333</v>
          </cell>
          <cell r="G103">
            <v>0.136666666666667</v>
          </cell>
          <cell r="H103">
            <v>0.4675</v>
          </cell>
          <cell r="I103">
            <v>12.9166666666667</v>
          </cell>
          <cell r="J103">
            <v>19.9090909090909</v>
          </cell>
          <cell r="K103">
            <v>0.0746666666666667</v>
          </cell>
          <cell r="L103">
            <v>8.15</v>
          </cell>
          <cell r="M103">
            <v>320.333333333333</v>
          </cell>
          <cell r="N103">
            <v>0.514444444444445</v>
          </cell>
          <cell r="O103">
            <v>3.65</v>
          </cell>
          <cell r="P103">
            <v>13</v>
          </cell>
          <cell r="Q103">
            <v>17.9166666666667</v>
          </cell>
          <cell r="R103">
            <v>27.1666666666667</v>
          </cell>
          <cell r="S103">
            <v>0.118416666666667</v>
          </cell>
          <cell r="T103">
            <v>0.1115</v>
          </cell>
          <cell r="U103">
            <v>0.566666666666667</v>
          </cell>
          <cell r="V103">
            <v>43.7916666666667</v>
          </cell>
          <cell r="W103">
            <v>0.0721666666666667</v>
          </cell>
          <cell r="X103">
            <v>0.847166666666667</v>
          </cell>
          <cell r="Y103">
            <v>0.3211</v>
          </cell>
          <cell r="Z103">
            <v>0.196363636363636</v>
          </cell>
          <cell r="AA103">
            <v>0.176444444444444</v>
          </cell>
        </row>
        <row r="104">
          <cell r="D104">
            <v>107</v>
          </cell>
          <cell r="E104">
            <v>1.31285714285714</v>
          </cell>
          <cell r="F104">
            <v>7.2</v>
          </cell>
          <cell r="G104">
            <v>0.14</v>
          </cell>
          <cell r="H104">
            <v>0.975714285714286</v>
          </cell>
          <cell r="I104">
            <v>47.5714285714286</v>
          </cell>
          <cell r="J104">
            <v>14.8333333333333</v>
          </cell>
          <cell r="K104">
            <v>0.08</v>
          </cell>
          <cell r="L104">
            <v>8.825</v>
          </cell>
          <cell r="M104">
            <v>322.857142857143</v>
          </cell>
          <cell r="N104">
            <v>1.6525</v>
          </cell>
          <cell r="O104">
            <v>11.375</v>
          </cell>
          <cell r="P104">
            <v>46.7142857142857</v>
          </cell>
          <cell r="Q104">
            <v>30.1428571428571</v>
          </cell>
          <cell r="R104">
            <v>47.1428571428571</v>
          </cell>
          <cell r="S104">
            <v>0.097</v>
          </cell>
          <cell r="T104">
            <v>0.2852</v>
          </cell>
          <cell r="U104">
            <v>0.72</v>
          </cell>
          <cell r="V104">
            <v>88.1714285714286</v>
          </cell>
          <cell r="W104">
            <v>0.0901428571428572</v>
          </cell>
          <cell r="X104">
            <v>0.816285714285714</v>
          </cell>
          <cell r="Y104">
            <v>0.365</v>
          </cell>
          <cell r="Z104">
            <v>0.104</v>
          </cell>
          <cell r="AA104">
            <v>0.1216</v>
          </cell>
        </row>
        <row r="105">
          <cell r="D105">
            <v>276.25</v>
          </cell>
          <cell r="E105">
            <v>3.0575</v>
          </cell>
          <cell r="F105">
            <v>8.6</v>
          </cell>
          <cell r="G105">
            <v>0.41875</v>
          </cell>
          <cell r="H105">
            <v>2.47625</v>
          </cell>
          <cell r="I105">
            <v>35.875</v>
          </cell>
          <cell r="J105">
            <v>6</v>
          </cell>
          <cell r="K105">
            <v>0.249625</v>
          </cell>
          <cell r="L105">
            <v>16.0333333333333</v>
          </cell>
          <cell r="M105">
            <v>866.5</v>
          </cell>
          <cell r="N105">
            <v>0.265</v>
          </cell>
          <cell r="O105">
            <v>7.66666666666667</v>
          </cell>
          <cell r="P105">
            <v>23.1428571428571</v>
          </cell>
          <cell r="Q105">
            <v>44.875</v>
          </cell>
          <cell r="R105">
            <v>109.125</v>
          </cell>
          <cell r="S105">
            <v>0.458125</v>
          </cell>
          <cell r="T105">
            <v>0.454625</v>
          </cell>
          <cell r="U105">
            <v>1.31666666666667</v>
          </cell>
          <cell r="V105">
            <v>29.8</v>
          </cell>
          <cell r="W105">
            <v>0.0571428571428571</v>
          </cell>
          <cell r="X105">
            <v>1.921125</v>
          </cell>
          <cell r="Y105">
            <v>0.25175</v>
          </cell>
          <cell r="Z105">
            <v>0.181666666666667</v>
          </cell>
          <cell r="AA105">
            <v>0.247666666666667</v>
          </cell>
        </row>
        <row r="106">
          <cell r="D106">
            <v>51.6666666666667</v>
          </cell>
          <cell r="E106">
            <v>0.261666666666667</v>
          </cell>
          <cell r="F106">
            <v>0.35</v>
          </cell>
          <cell r="G106">
            <v>0.0966666666666667</v>
          </cell>
          <cell r="H106">
            <v>0.36</v>
          </cell>
          <cell r="I106">
            <v>8.5</v>
          </cell>
          <cell r="J106">
            <v>6.83333333333333</v>
          </cell>
          <cell r="K106">
            <v>0.03225</v>
          </cell>
          <cell r="L106">
            <v>2.89090909090909</v>
          </cell>
          <cell r="M106">
            <v>106.333333333333</v>
          </cell>
          <cell r="N106">
            <v>0.225833333333333</v>
          </cell>
          <cell r="O106">
            <v>2.79166666666667</v>
          </cell>
          <cell r="P106">
            <v>20.5</v>
          </cell>
          <cell r="Q106">
            <v>8.25</v>
          </cell>
          <cell r="R106">
            <v>7.83333333333333</v>
          </cell>
          <cell r="S106">
            <v>0.04875</v>
          </cell>
          <cell r="T106">
            <v>0.030875</v>
          </cell>
          <cell r="U106">
            <v>0.2</v>
          </cell>
          <cell r="V106">
            <v>141.9</v>
          </cell>
          <cell r="W106">
            <v>0.00633333333333333</v>
          </cell>
          <cell r="X106">
            <v>0.489583333333333</v>
          </cell>
          <cell r="Y106">
            <v>0.100777777777778</v>
          </cell>
          <cell r="Z106">
            <v>0.0213333333333333</v>
          </cell>
          <cell r="AA106">
            <v>0.0668181818181818</v>
          </cell>
        </row>
        <row r="107">
          <cell r="D107">
            <v>55.2105263157895</v>
          </cell>
          <cell r="E107">
            <v>0.726315789473684</v>
          </cell>
          <cell r="F107">
            <v>2.51944444444444</v>
          </cell>
          <cell r="G107">
            <v>0.152368421052632</v>
          </cell>
          <cell r="H107">
            <v>0.596052631578947</v>
          </cell>
          <cell r="I107">
            <v>14.8157894736842</v>
          </cell>
          <cell r="J107">
            <v>7.72222222222222</v>
          </cell>
          <cell r="K107">
            <v>0.030421052631579</v>
          </cell>
          <cell r="L107">
            <v>5.24230769230769</v>
          </cell>
          <cell r="M107">
            <v>179.763157894737</v>
          </cell>
          <cell r="N107">
            <v>0.427931034482759</v>
          </cell>
          <cell r="O107">
            <v>5.02068965517241</v>
          </cell>
          <cell r="P107">
            <v>27.4285714285714</v>
          </cell>
          <cell r="Q107">
            <v>11.1315789473684</v>
          </cell>
          <cell r="R107">
            <v>17.9736842105263</v>
          </cell>
          <cell r="S107">
            <v>0.0820277777777778</v>
          </cell>
          <cell r="T107">
            <v>0.288578947368421</v>
          </cell>
          <cell r="U107">
            <v>0.264516129032258</v>
          </cell>
          <cell r="V107">
            <v>11.2763157894737</v>
          </cell>
          <cell r="W107">
            <v>0.0268684210526316</v>
          </cell>
          <cell r="X107">
            <v>0.5355</v>
          </cell>
          <cell r="Y107">
            <v>0.135638888888889</v>
          </cell>
          <cell r="Z107">
            <v>0.0538947368421053</v>
          </cell>
          <cell r="AA107">
            <v>0.0761470588235294</v>
          </cell>
        </row>
        <row r="108">
          <cell r="D108">
            <v>55.44</v>
          </cell>
          <cell r="E108">
            <v>0.358</v>
          </cell>
          <cell r="F108">
            <v>1.744</v>
          </cell>
          <cell r="G108">
            <v>0.064</v>
          </cell>
          <cell r="H108">
            <v>0.2416</v>
          </cell>
          <cell r="I108">
            <v>6.2</v>
          </cell>
          <cell r="J108">
            <v>4.36</v>
          </cell>
          <cell r="K108">
            <v>0.0406</v>
          </cell>
          <cell r="L108">
            <v>4.35652173913044</v>
          </cell>
          <cell r="M108">
            <v>123.76</v>
          </cell>
          <cell r="N108">
            <v>0.4132</v>
          </cell>
          <cell r="O108">
            <v>3.25217391304348</v>
          </cell>
          <cell r="P108">
            <v>4.8</v>
          </cell>
          <cell r="Q108">
            <v>7.44</v>
          </cell>
          <cell r="R108">
            <v>11.52</v>
          </cell>
          <cell r="S108">
            <v>0.05616</v>
          </cell>
          <cell r="T108">
            <v>0.0537142857142857</v>
          </cell>
          <cell r="U108">
            <v>0.384</v>
          </cell>
          <cell r="V108">
            <v>27.284</v>
          </cell>
          <cell r="W108">
            <v>0.01472</v>
          </cell>
          <cell r="X108">
            <v>0.31916</v>
          </cell>
          <cell r="Y108">
            <v>0.111318181818182</v>
          </cell>
          <cell r="Z108">
            <v>0.0558</v>
          </cell>
          <cell r="AA108">
            <v>0.04372</v>
          </cell>
        </row>
      </sheetData>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 1"/>
    </sheetNames>
    <sheetDataSet>
      <sheetData sheetId="0">
        <row r="2">
          <cell r="A2">
            <v>15</v>
          </cell>
          <cell r="B2" t="str">
            <v>Wheat</v>
          </cell>
          <cell r="C2">
            <v>15</v>
          </cell>
          <cell r="D2">
            <v>341</v>
          </cell>
          <cell r="E2">
            <v>11.95</v>
          </cell>
          <cell r="F2">
            <v>2</v>
          </cell>
          <cell r="G2">
            <v>2.465</v>
          </cell>
          <cell r="H2">
            <v>4</v>
          </cell>
          <cell r="I2">
            <v>38.5</v>
          </cell>
          <cell r="J2">
            <v>40.5</v>
          </cell>
          <cell r="K2">
            <v>0.16</v>
          </cell>
          <cell r="L2">
            <v>31.2</v>
          </cell>
          <cell r="M2">
            <v>349</v>
          </cell>
          <cell r="N2">
            <v>0.904227240565099</v>
          </cell>
          <cell r="O2">
            <v>0.000105622147075484</v>
          </cell>
          <cell r="P2">
            <v>2.98541766221414</v>
          </cell>
          <cell r="Q2">
            <v>0</v>
          </cell>
        </row>
        <row r="3">
          <cell r="A3">
            <v>16</v>
          </cell>
          <cell r="B3" t="str">
            <v>Flour, wheat</v>
          </cell>
          <cell r="C3">
            <v>15</v>
          </cell>
          <cell r="D3">
            <v>348</v>
          </cell>
          <cell r="E3">
            <v>11.4</v>
          </cell>
          <cell r="F3">
            <v>0.4</v>
          </cell>
          <cell r="G3">
            <v>1.1</v>
          </cell>
          <cell r="H3">
            <v>2.2</v>
          </cell>
          <cell r="I3">
            <v>29.5</v>
          </cell>
          <cell r="J3">
            <v>25</v>
          </cell>
          <cell r="K3">
            <v>0.103333333</v>
          </cell>
          <cell r="L3">
            <v>10.4</v>
          </cell>
          <cell r="M3">
            <v>132.5</v>
          </cell>
          <cell r="N3">
            <v>0.71</v>
          </cell>
          <cell r="O3">
            <v>0</v>
          </cell>
          <cell r="P3">
            <v>1.9</v>
          </cell>
          <cell r="Q3">
            <v>0</v>
          </cell>
        </row>
        <row r="4">
          <cell r="A4">
            <v>17</v>
          </cell>
          <cell r="B4" t="str">
            <v>Bran, wheat</v>
          </cell>
          <cell r="C4">
            <v>15</v>
          </cell>
          <cell r="D4">
            <v>216</v>
          </cell>
          <cell r="E4">
            <v>15.55</v>
          </cell>
          <cell r="F4">
            <v>42.8</v>
          </cell>
          <cell r="G4">
            <v>7.27</v>
          </cell>
          <cell r="H4">
            <v>10.57</v>
          </cell>
          <cell r="I4">
            <v>73</v>
          </cell>
          <cell r="J4">
            <v>79</v>
          </cell>
          <cell r="K4">
            <v>0.577</v>
          </cell>
          <cell r="L4">
            <v>74.4</v>
          </cell>
          <cell r="M4">
            <v>1182</v>
          </cell>
          <cell r="N4">
            <v>1.49</v>
          </cell>
          <cell r="O4">
            <v>0</v>
          </cell>
          <cell r="P4">
            <v>1.9</v>
          </cell>
          <cell r="Q4">
            <v>0</v>
          </cell>
        </row>
        <row r="5">
          <cell r="A5">
            <v>18</v>
          </cell>
          <cell r="B5" t="str">
            <v>Macaroni</v>
          </cell>
          <cell r="C5">
            <v>15</v>
          </cell>
          <cell r="D5">
            <v>124</v>
          </cell>
          <cell r="E5">
            <v>5.33</v>
          </cell>
          <cell r="F5">
            <v>2.8</v>
          </cell>
          <cell r="G5">
            <v>0.81</v>
          </cell>
          <cell r="H5">
            <v>1.06</v>
          </cell>
          <cell r="I5">
            <v>15</v>
          </cell>
          <cell r="J5">
            <v>5</v>
          </cell>
          <cell r="K5">
            <v>0.045</v>
          </cell>
          <cell r="L5">
            <v>10.7</v>
          </cell>
          <cell r="M5">
            <v>44</v>
          </cell>
          <cell r="N5">
            <v>0.3</v>
          </cell>
          <cell r="O5">
            <v>0</v>
          </cell>
          <cell r="P5">
            <v>0.7</v>
          </cell>
          <cell r="Q5">
            <v>0</v>
          </cell>
        </row>
        <row r="6">
          <cell r="A6">
            <v>20</v>
          </cell>
          <cell r="B6" t="str">
            <v>Bread</v>
          </cell>
          <cell r="C6">
            <v>15</v>
          </cell>
          <cell r="D6">
            <v>313</v>
          </cell>
          <cell r="E6">
            <v>12.96</v>
          </cell>
          <cell r="F6">
            <v>4.7</v>
          </cell>
          <cell r="G6">
            <v>1.47</v>
          </cell>
          <cell r="H6">
            <v>4.09</v>
          </cell>
          <cell r="I6">
            <v>165</v>
          </cell>
          <cell r="J6">
            <v>86</v>
          </cell>
          <cell r="K6">
            <v>0.382</v>
          </cell>
          <cell r="L6">
            <v>22.1</v>
          </cell>
          <cell r="M6">
            <v>223</v>
          </cell>
          <cell r="N6">
            <v>0.24</v>
          </cell>
          <cell r="O6">
            <v>0</v>
          </cell>
          <cell r="P6">
            <v>5.7</v>
          </cell>
          <cell r="Q6">
            <v>0</v>
          </cell>
        </row>
        <row r="7">
          <cell r="A7">
            <v>21</v>
          </cell>
          <cell r="B7" t="str">
            <v>Bulgur</v>
          </cell>
          <cell r="C7">
            <v>15</v>
          </cell>
          <cell r="D7">
            <v>83</v>
          </cell>
          <cell r="E7">
            <v>3.08</v>
          </cell>
          <cell r="F7">
            <v>4.5</v>
          </cell>
          <cell r="G7">
            <v>0.57</v>
          </cell>
          <cell r="H7">
            <v>0.96</v>
          </cell>
          <cell r="I7">
            <v>10</v>
          </cell>
          <cell r="J7">
            <v>18</v>
          </cell>
          <cell r="K7">
            <v>0.028</v>
          </cell>
          <cell r="L7">
            <v>6.9</v>
          </cell>
          <cell r="M7">
            <v>68</v>
          </cell>
          <cell r="N7">
            <v>0.01</v>
          </cell>
          <cell r="O7">
            <v>0</v>
          </cell>
          <cell r="P7">
            <v>0.5</v>
          </cell>
          <cell r="Q7">
            <v>0</v>
          </cell>
        </row>
        <row r="8">
          <cell r="A8">
            <v>22</v>
          </cell>
          <cell r="B8" t="str">
            <v>Pastry</v>
          </cell>
          <cell r="C8">
            <v>15</v>
          </cell>
          <cell r="D8">
            <v>558</v>
          </cell>
          <cell r="E8">
            <v>7.4</v>
          </cell>
          <cell r="F8">
            <v>1.5</v>
          </cell>
          <cell r="G8">
            <v>0.54</v>
          </cell>
          <cell r="H8">
            <v>2.6</v>
          </cell>
          <cell r="I8">
            <v>10</v>
          </cell>
          <cell r="J8">
            <v>55</v>
          </cell>
          <cell r="K8">
            <v>0.258</v>
          </cell>
          <cell r="L8">
            <v>6.2</v>
          </cell>
          <cell r="M8">
            <v>62</v>
          </cell>
          <cell r="N8">
            <v>0.55</v>
          </cell>
          <cell r="O8">
            <v>0</v>
          </cell>
          <cell r="P8">
            <v>16.3</v>
          </cell>
          <cell r="Q8">
            <v>0</v>
          </cell>
        </row>
        <row r="9">
          <cell r="A9">
            <v>27</v>
          </cell>
          <cell r="B9" t="str">
            <v>Rice, paddy</v>
          </cell>
          <cell r="C9">
            <v>27</v>
          </cell>
          <cell r="D9">
            <v>353.4</v>
          </cell>
          <cell r="E9">
            <v>7.3</v>
          </cell>
          <cell r="F9">
            <v>0.7</v>
          </cell>
          <cell r="G9">
            <v>1.4</v>
          </cell>
          <cell r="H9">
            <v>1.6</v>
          </cell>
          <cell r="I9">
            <v>12</v>
          </cell>
          <cell r="J9">
            <v>20</v>
          </cell>
          <cell r="K9">
            <v>0.05</v>
          </cell>
          <cell r="L9">
            <v>0</v>
          </cell>
          <cell r="M9">
            <v>91.6</v>
          </cell>
          <cell r="N9">
            <v>0.04</v>
          </cell>
          <cell r="O9">
            <v>0</v>
          </cell>
          <cell r="P9">
            <v>0</v>
          </cell>
          <cell r="Q9">
            <v>0</v>
          </cell>
        </row>
        <row r="10">
          <cell r="A10">
            <v>30</v>
          </cell>
          <cell r="B10" t="str">
            <v>Rice – total  (Rice milled equivalent)</v>
          </cell>
          <cell r="C10">
            <v>27</v>
          </cell>
          <cell r="D10">
            <v>353.4</v>
          </cell>
          <cell r="E10">
            <v>7.3</v>
          </cell>
          <cell r="F10">
            <v>0.7</v>
          </cell>
          <cell r="G10">
            <v>1.4</v>
          </cell>
          <cell r="H10">
            <v>1.6</v>
          </cell>
          <cell r="I10">
            <v>12</v>
          </cell>
          <cell r="J10">
            <v>20</v>
          </cell>
          <cell r="K10">
            <v>0.05</v>
          </cell>
          <cell r="L10">
            <v>0</v>
          </cell>
          <cell r="M10">
            <v>91.6</v>
          </cell>
          <cell r="N10">
            <v>0.04</v>
          </cell>
          <cell r="O10">
            <v>0</v>
          </cell>
          <cell r="P10">
            <v>0</v>
          </cell>
          <cell r="Q10">
            <v>0</v>
          </cell>
        </row>
        <row r="11">
          <cell r="A11">
            <v>36</v>
          </cell>
          <cell r="B11" t="str">
            <v>Oil, rice bran</v>
          </cell>
          <cell r="C11">
            <v>27</v>
          </cell>
          <cell r="D11">
            <v>900</v>
          </cell>
          <cell r="E11">
            <v>0</v>
          </cell>
          <cell r="F11">
            <v>0</v>
          </cell>
          <cell r="G11">
            <v>0.285</v>
          </cell>
          <cell r="H11">
            <v>0.235</v>
          </cell>
          <cell r="I11">
            <v>1</v>
          </cell>
          <cell r="J11">
            <v>0</v>
          </cell>
          <cell r="K11">
            <v>0</v>
          </cell>
          <cell r="L11">
            <v>0</v>
          </cell>
          <cell r="M11">
            <v>0</v>
          </cell>
          <cell r="N11">
            <v>32.3</v>
          </cell>
          <cell r="O11">
            <v>0</v>
          </cell>
          <cell r="P11">
            <v>24.7</v>
          </cell>
          <cell r="Q11">
            <v>0</v>
          </cell>
        </row>
        <row r="12">
          <cell r="A12">
            <v>37</v>
          </cell>
          <cell r="B12" t="str">
            <v>Cake, rice bran</v>
          </cell>
          <cell r="C12">
            <v>27</v>
          </cell>
          <cell r="D12">
            <v>316</v>
          </cell>
          <cell r="E12">
            <v>13.35</v>
          </cell>
          <cell r="F12">
            <v>21</v>
          </cell>
          <cell r="G12">
            <v>6.04</v>
          </cell>
          <cell r="H12">
            <v>18.54</v>
          </cell>
          <cell r="I12">
            <v>57</v>
          </cell>
          <cell r="J12">
            <v>63</v>
          </cell>
          <cell r="K12">
            <v>0.284</v>
          </cell>
          <cell r="L12">
            <v>32.2</v>
          </cell>
          <cell r="M12">
            <v>1485</v>
          </cell>
          <cell r="N12">
            <v>4.92</v>
          </cell>
          <cell r="O12">
            <v>0</v>
          </cell>
          <cell r="P12">
            <v>1.9</v>
          </cell>
          <cell r="Q12">
            <v>0</v>
          </cell>
        </row>
        <row r="13">
          <cell r="A13">
            <v>39</v>
          </cell>
          <cell r="B13" t="str">
            <v>Beverages, fermented rice</v>
          </cell>
          <cell r="C13">
            <v>27</v>
          </cell>
          <cell r="D13">
            <v>47</v>
          </cell>
          <cell r="E13">
            <v>0.28</v>
          </cell>
          <cell r="F13">
            <v>0.3</v>
          </cell>
          <cell r="G13">
            <v>0.13</v>
          </cell>
          <cell r="H13">
            <v>0.2</v>
          </cell>
          <cell r="I13">
            <v>118</v>
          </cell>
          <cell r="J13">
            <v>2</v>
          </cell>
          <cell r="K13">
            <v>0.142</v>
          </cell>
          <cell r="L13">
            <v>2.1</v>
          </cell>
          <cell r="M13">
            <v>27</v>
          </cell>
          <cell r="N13">
            <v>0.47</v>
          </cell>
          <cell r="O13">
            <v>0.63</v>
          </cell>
          <cell r="P13">
            <v>0.2</v>
          </cell>
          <cell r="Q13">
            <v>63</v>
          </cell>
        </row>
        <row r="14">
          <cell r="A14">
            <v>41</v>
          </cell>
          <cell r="B14" t="str">
            <v>Cereals, breakfast</v>
          </cell>
          <cell r="C14">
            <v>15</v>
          </cell>
          <cell r="D14">
            <v>62</v>
          </cell>
          <cell r="E14">
            <v>2</v>
          </cell>
          <cell r="F14">
            <v>1.6</v>
          </cell>
          <cell r="G14">
            <v>0.48</v>
          </cell>
          <cell r="H14">
            <v>0.62</v>
          </cell>
          <cell r="I14">
            <v>7</v>
          </cell>
          <cell r="J14">
            <v>14</v>
          </cell>
          <cell r="K14">
            <v>0.05</v>
          </cell>
          <cell r="L14">
            <v>4.2</v>
          </cell>
          <cell r="M14">
            <v>71</v>
          </cell>
          <cell r="N14">
            <v>0.24</v>
          </cell>
          <cell r="O14">
            <v>0</v>
          </cell>
          <cell r="P14">
            <v>0.4</v>
          </cell>
          <cell r="Q14">
            <v>0</v>
          </cell>
        </row>
        <row r="15">
          <cell r="A15">
            <v>44</v>
          </cell>
          <cell r="B15" t="str">
            <v>Barley</v>
          </cell>
          <cell r="C15">
            <v>44</v>
          </cell>
          <cell r="D15">
            <v>342</v>
          </cell>
          <cell r="E15">
            <v>9.85</v>
          </cell>
          <cell r="F15">
            <v>5.2</v>
          </cell>
          <cell r="G15">
            <v>2.38</v>
          </cell>
          <cell r="H15">
            <v>4.5</v>
          </cell>
          <cell r="I15">
            <v>54.5</v>
          </cell>
          <cell r="J15">
            <v>21</v>
          </cell>
          <cell r="K15">
            <v>0.114</v>
          </cell>
          <cell r="L15">
            <v>37.8</v>
          </cell>
          <cell r="M15">
            <v>220</v>
          </cell>
          <cell r="N15">
            <v>0.57</v>
          </cell>
          <cell r="O15">
            <v>0</v>
          </cell>
          <cell r="P15">
            <v>2.2</v>
          </cell>
          <cell r="Q15">
            <v>0</v>
          </cell>
        </row>
        <row r="16">
          <cell r="A16">
            <v>46</v>
          </cell>
          <cell r="B16" t="str">
            <v>Barley, pearled</v>
          </cell>
          <cell r="C16">
            <v>44</v>
          </cell>
          <cell r="D16">
            <v>123</v>
          </cell>
          <cell r="E16">
            <v>2.26</v>
          </cell>
          <cell r="F16">
            <v>3.8</v>
          </cell>
          <cell r="G16">
            <v>0.82</v>
          </cell>
          <cell r="H16">
            <v>1.33</v>
          </cell>
          <cell r="I16">
            <v>11</v>
          </cell>
          <cell r="J16">
            <v>16</v>
          </cell>
          <cell r="K16">
            <v>0.062</v>
          </cell>
          <cell r="L16">
            <v>13.4</v>
          </cell>
          <cell r="M16">
            <v>93</v>
          </cell>
          <cell r="N16">
            <v>0.01</v>
          </cell>
          <cell r="O16">
            <v>0</v>
          </cell>
          <cell r="P16">
            <v>0.8</v>
          </cell>
          <cell r="Q16">
            <v>0</v>
          </cell>
        </row>
        <row r="17">
          <cell r="A17">
            <v>49</v>
          </cell>
          <cell r="B17" t="str">
            <v>Malt</v>
          </cell>
          <cell r="C17">
            <v>44</v>
          </cell>
          <cell r="D17">
            <v>361</v>
          </cell>
          <cell r="E17">
            <v>10.28</v>
          </cell>
          <cell r="F17">
            <v>7.1</v>
          </cell>
          <cell r="G17">
            <v>2.06</v>
          </cell>
          <cell r="H17">
            <v>4.71</v>
          </cell>
          <cell r="I17">
            <v>37</v>
          </cell>
          <cell r="J17">
            <v>38</v>
          </cell>
          <cell r="K17">
            <v>0.308</v>
          </cell>
          <cell r="L17">
            <v>0</v>
          </cell>
          <cell r="M17">
            <v>224</v>
          </cell>
          <cell r="N17">
            <v>0.57</v>
          </cell>
          <cell r="O17">
            <v>0</v>
          </cell>
          <cell r="P17">
            <v>2.2</v>
          </cell>
          <cell r="Q17">
            <v>1</v>
          </cell>
        </row>
        <row r="18">
          <cell r="A18">
            <v>51</v>
          </cell>
          <cell r="B18" t="str">
            <v>Beer of barley</v>
          </cell>
          <cell r="C18">
            <v>44</v>
          </cell>
          <cell r="D18">
            <v>33.5</v>
          </cell>
          <cell r="E18">
            <v>0.35</v>
          </cell>
          <cell r="F18">
            <v>0</v>
          </cell>
          <cell r="G18">
            <v>0.01</v>
          </cell>
          <cell r="H18">
            <v>0.1</v>
          </cell>
          <cell r="I18">
            <v>4</v>
          </cell>
          <cell r="J18">
            <v>5.5</v>
          </cell>
          <cell r="K18">
            <v>0.03</v>
          </cell>
          <cell r="L18">
            <v>10.1</v>
          </cell>
          <cell r="M18">
            <v>27.95</v>
          </cell>
          <cell r="N18">
            <v>0</v>
          </cell>
          <cell r="O18">
            <v>0.01</v>
          </cell>
          <cell r="P18">
            <v>0</v>
          </cell>
          <cell r="Q18">
            <v>0</v>
          </cell>
        </row>
        <row r="19">
          <cell r="A19">
            <v>56</v>
          </cell>
          <cell r="B19" t="str">
            <v>Maize</v>
          </cell>
          <cell r="C19">
            <v>56</v>
          </cell>
          <cell r="D19">
            <v>353.65</v>
          </cell>
          <cell r="E19">
            <v>8.6</v>
          </cell>
          <cell r="F19">
            <v>3</v>
          </cell>
          <cell r="G19">
            <v>1.7</v>
          </cell>
          <cell r="H19">
            <v>2.755</v>
          </cell>
          <cell r="I19">
            <v>10</v>
          </cell>
          <cell r="J19">
            <v>25.41175807</v>
          </cell>
          <cell r="K19">
            <v>0.12</v>
          </cell>
          <cell r="L19">
            <v>0</v>
          </cell>
          <cell r="M19">
            <v>287</v>
          </cell>
          <cell r="N19">
            <v>0.49</v>
          </cell>
          <cell r="O19">
            <v>0</v>
          </cell>
          <cell r="P19">
            <v>0.3</v>
          </cell>
          <cell r="Q19">
            <v>1.3333333335</v>
          </cell>
        </row>
        <row r="20">
          <cell r="A20">
            <v>57</v>
          </cell>
          <cell r="B20" t="str">
            <v>Germ, maize</v>
          </cell>
          <cell r="C20">
            <v>56</v>
          </cell>
          <cell r="D20">
            <v>381</v>
          </cell>
          <cell r="E20">
            <v>0.26</v>
          </cell>
          <cell r="F20">
            <v>0.9</v>
          </cell>
          <cell r="G20">
            <v>0.06</v>
          </cell>
          <cell r="H20">
            <v>0.47</v>
          </cell>
          <cell r="I20">
            <v>2</v>
          </cell>
          <cell r="J20">
            <v>0</v>
          </cell>
          <cell r="K20">
            <v>0</v>
          </cell>
          <cell r="L20">
            <v>0.4</v>
          </cell>
          <cell r="M20">
            <v>3</v>
          </cell>
          <cell r="N20">
            <v>0</v>
          </cell>
          <cell r="O20">
            <v>0</v>
          </cell>
          <cell r="P20">
            <v>0</v>
          </cell>
          <cell r="Q20">
            <v>0</v>
          </cell>
        </row>
        <row r="21">
          <cell r="A21">
            <v>58</v>
          </cell>
          <cell r="B21" t="str">
            <v>Flour, maize</v>
          </cell>
          <cell r="C21">
            <v>56</v>
          </cell>
          <cell r="D21">
            <v>353</v>
          </cell>
          <cell r="E21">
            <v>8.7</v>
          </cell>
          <cell r="F21">
            <v>3.4</v>
          </cell>
          <cell r="G21">
            <v>1.475</v>
          </cell>
          <cell r="H21">
            <v>2.9</v>
          </cell>
          <cell r="I21">
            <v>17.5</v>
          </cell>
          <cell r="J21">
            <v>10</v>
          </cell>
          <cell r="K21">
            <v>0.095</v>
          </cell>
          <cell r="L21">
            <v>0</v>
          </cell>
          <cell r="M21">
            <v>180</v>
          </cell>
          <cell r="N21">
            <v>0.42</v>
          </cell>
          <cell r="O21">
            <v>0</v>
          </cell>
          <cell r="P21">
            <v>0.3</v>
          </cell>
          <cell r="Q21">
            <v>0.0416666665</v>
          </cell>
        </row>
        <row r="22">
          <cell r="A22">
            <v>59</v>
          </cell>
          <cell r="B22" t="str">
            <v>Bran, maize</v>
          </cell>
          <cell r="C22">
            <v>56</v>
          </cell>
          <cell r="D22">
            <v>224</v>
          </cell>
          <cell r="E22">
            <v>8.36</v>
          </cell>
          <cell r="F22">
            <v>79</v>
          </cell>
          <cell r="G22">
            <v>1.56</v>
          </cell>
          <cell r="H22">
            <v>2.79</v>
          </cell>
          <cell r="I22">
            <v>42</v>
          </cell>
          <cell r="J22">
            <v>4</v>
          </cell>
          <cell r="K22">
            <v>0.1</v>
          </cell>
          <cell r="L22">
            <v>18.1</v>
          </cell>
          <cell r="M22">
            <v>44</v>
          </cell>
          <cell r="N22">
            <v>0.42</v>
          </cell>
          <cell r="O22">
            <v>0</v>
          </cell>
          <cell r="P22">
            <v>0.3</v>
          </cell>
          <cell r="Q22">
            <v>4</v>
          </cell>
        </row>
        <row r="23">
          <cell r="A23">
            <v>60</v>
          </cell>
          <cell r="B23" t="str">
            <v>Oil, maize</v>
          </cell>
          <cell r="C23">
            <v>56</v>
          </cell>
          <cell r="D23">
            <v>900</v>
          </cell>
          <cell r="E23">
            <v>0</v>
          </cell>
          <cell r="F23">
            <v>0</v>
          </cell>
          <cell r="G23">
            <v>0</v>
          </cell>
          <cell r="H23">
            <v>0</v>
          </cell>
          <cell r="I23">
            <v>0</v>
          </cell>
          <cell r="J23">
            <v>0</v>
          </cell>
          <cell r="K23">
            <v>0</v>
          </cell>
          <cell r="L23">
            <v>0.2</v>
          </cell>
          <cell r="M23">
            <v>0</v>
          </cell>
          <cell r="N23">
            <v>14.3</v>
          </cell>
          <cell r="O23">
            <v>0</v>
          </cell>
          <cell r="P23">
            <v>1.9</v>
          </cell>
          <cell r="Q23">
            <v>0</v>
          </cell>
        </row>
        <row r="24">
          <cell r="A24">
            <v>61</v>
          </cell>
          <cell r="B24" t="str">
            <v>Cake, maize</v>
          </cell>
          <cell r="C24">
            <v>56</v>
          </cell>
          <cell r="D24">
            <v>381</v>
          </cell>
          <cell r="E24">
            <v>0.26</v>
          </cell>
          <cell r="F24">
            <v>0.9</v>
          </cell>
          <cell r="G24">
            <v>0.06</v>
          </cell>
          <cell r="H24">
            <v>0.47</v>
          </cell>
          <cell r="I24">
            <v>2</v>
          </cell>
          <cell r="J24">
            <v>0</v>
          </cell>
          <cell r="K24">
            <v>0</v>
          </cell>
          <cell r="L24">
            <v>0.4</v>
          </cell>
          <cell r="M24">
            <v>3</v>
          </cell>
          <cell r="N24">
            <v>0</v>
          </cell>
          <cell r="O24">
            <v>0</v>
          </cell>
          <cell r="P24">
            <v>0</v>
          </cell>
          <cell r="Q24">
            <v>0</v>
          </cell>
        </row>
        <row r="25">
          <cell r="A25">
            <v>71</v>
          </cell>
          <cell r="B25" t="str">
            <v>Rye</v>
          </cell>
          <cell r="C25">
            <v>71</v>
          </cell>
          <cell r="D25">
            <v>338</v>
          </cell>
          <cell r="E25">
            <v>10.42</v>
          </cell>
          <cell r="F25">
            <v>2</v>
          </cell>
          <cell r="G25">
            <v>2.65</v>
          </cell>
          <cell r="H25">
            <v>2.7</v>
          </cell>
          <cell r="I25">
            <v>27</v>
          </cell>
          <cell r="J25">
            <v>38</v>
          </cell>
          <cell r="K25">
            <v>0.235</v>
          </cell>
          <cell r="L25">
            <v>30.4</v>
          </cell>
          <cell r="M25">
            <v>203</v>
          </cell>
          <cell r="N25">
            <v>0.850000000000001</v>
          </cell>
          <cell r="O25">
            <v>0</v>
          </cell>
          <cell r="P25">
            <v>5.89999999999999</v>
          </cell>
          <cell r="Q25">
            <v>0</v>
          </cell>
        </row>
        <row r="26">
          <cell r="A26">
            <v>75</v>
          </cell>
          <cell r="B26" t="str">
            <v>Oats</v>
          </cell>
          <cell r="C26">
            <v>75</v>
          </cell>
          <cell r="D26">
            <v>374</v>
          </cell>
          <cell r="E26">
            <v>13.45</v>
          </cell>
          <cell r="F26">
            <v>2.65</v>
          </cell>
          <cell r="G26">
            <v>3.52</v>
          </cell>
          <cell r="H26">
            <v>4.46</v>
          </cell>
          <cell r="I26">
            <v>53</v>
          </cell>
          <cell r="J26">
            <v>45</v>
          </cell>
          <cell r="K26">
            <v>0.1295</v>
          </cell>
          <cell r="L26">
            <v>0</v>
          </cell>
          <cell r="M26">
            <v>410</v>
          </cell>
          <cell r="N26">
            <v>0</v>
          </cell>
          <cell r="O26">
            <v>0</v>
          </cell>
          <cell r="P26">
            <v>0</v>
          </cell>
          <cell r="Q26">
            <v>0</v>
          </cell>
        </row>
        <row r="27">
          <cell r="A27">
            <v>76</v>
          </cell>
          <cell r="B27" t="str">
            <v>Oats rolled</v>
          </cell>
          <cell r="C27">
            <v>75</v>
          </cell>
          <cell r="D27">
            <v>374</v>
          </cell>
          <cell r="E27">
            <v>13.45</v>
          </cell>
          <cell r="F27">
            <v>2.65</v>
          </cell>
          <cell r="G27">
            <v>3.52</v>
          </cell>
          <cell r="H27">
            <v>4.46</v>
          </cell>
          <cell r="I27">
            <v>53</v>
          </cell>
          <cell r="J27">
            <v>45</v>
          </cell>
          <cell r="K27">
            <v>0.1295</v>
          </cell>
          <cell r="L27">
            <v>0</v>
          </cell>
          <cell r="M27">
            <v>410</v>
          </cell>
          <cell r="N27">
            <v>0</v>
          </cell>
          <cell r="O27">
            <v>0</v>
          </cell>
          <cell r="P27">
            <v>0</v>
          </cell>
          <cell r="Q27">
            <v>0</v>
          </cell>
        </row>
        <row r="28">
          <cell r="A28">
            <v>79</v>
          </cell>
          <cell r="B28" t="str">
            <v>Millet</v>
          </cell>
          <cell r="C28">
            <v>79</v>
          </cell>
          <cell r="D28">
            <v>341</v>
          </cell>
          <cell r="E28">
            <v>9.6</v>
          </cell>
          <cell r="F28">
            <v>6.15</v>
          </cell>
          <cell r="G28">
            <v>2.07</v>
          </cell>
          <cell r="H28">
            <v>7.5</v>
          </cell>
          <cell r="I28">
            <v>22.5</v>
          </cell>
          <cell r="J28">
            <v>29.2876506</v>
          </cell>
          <cell r="K28">
            <v>0.123579167</v>
          </cell>
          <cell r="L28">
            <v>748</v>
          </cell>
          <cell r="M28">
            <v>250</v>
          </cell>
          <cell r="N28">
            <v>0.02</v>
          </cell>
          <cell r="O28">
            <v>0</v>
          </cell>
          <cell r="P28">
            <v>0.3</v>
          </cell>
          <cell r="Q28">
            <v>0</v>
          </cell>
        </row>
        <row r="29">
          <cell r="A29">
            <v>81</v>
          </cell>
          <cell r="B29" t="str">
            <v>Bran, millet</v>
          </cell>
          <cell r="C29">
            <v>79</v>
          </cell>
          <cell r="D29">
            <v>119</v>
          </cell>
          <cell r="E29">
            <v>3.51</v>
          </cell>
          <cell r="F29">
            <v>1.3</v>
          </cell>
          <cell r="G29">
            <v>0.91</v>
          </cell>
          <cell r="H29">
            <v>0.63</v>
          </cell>
          <cell r="I29">
            <v>3</v>
          </cell>
          <cell r="J29">
            <v>19</v>
          </cell>
          <cell r="K29">
            <v>0.082</v>
          </cell>
          <cell r="L29">
            <v>11.2</v>
          </cell>
          <cell r="M29">
            <v>62</v>
          </cell>
          <cell r="N29">
            <v>0.02</v>
          </cell>
          <cell r="O29">
            <v>0</v>
          </cell>
          <cell r="P29">
            <v>0.3</v>
          </cell>
          <cell r="Q29">
            <v>0</v>
          </cell>
        </row>
        <row r="30">
          <cell r="A30">
            <v>83</v>
          </cell>
          <cell r="B30" t="str">
            <v>Sorghum</v>
          </cell>
          <cell r="C30">
            <v>83</v>
          </cell>
          <cell r="D30">
            <v>348.5</v>
          </cell>
          <cell r="E30">
            <v>10.7</v>
          </cell>
          <cell r="F30">
            <v>2</v>
          </cell>
          <cell r="G30">
            <v>1.8785166665</v>
          </cell>
          <cell r="H30">
            <v>4.5</v>
          </cell>
          <cell r="I30">
            <v>23</v>
          </cell>
          <cell r="J30">
            <v>29.28663746</v>
          </cell>
          <cell r="K30">
            <v>0.12</v>
          </cell>
          <cell r="L30">
            <v>0</v>
          </cell>
          <cell r="M30">
            <v>363</v>
          </cell>
          <cell r="N30">
            <v>0.5</v>
          </cell>
          <cell r="O30">
            <v>0</v>
          </cell>
          <cell r="P30">
            <v>0</v>
          </cell>
          <cell r="Q30">
            <v>0.4166666665</v>
          </cell>
        </row>
        <row r="31">
          <cell r="A31">
            <v>85</v>
          </cell>
          <cell r="B31" t="str">
            <v>Bran, sorghum</v>
          </cell>
          <cell r="C31">
            <v>83</v>
          </cell>
          <cell r="D31">
            <v>357</v>
          </cell>
          <cell r="E31">
            <v>9.53</v>
          </cell>
          <cell r="F31">
            <v>1.9</v>
          </cell>
          <cell r="G31">
            <v>0.47</v>
          </cell>
          <cell r="H31">
            <v>0.97</v>
          </cell>
          <cell r="I31">
            <v>6</v>
          </cell>
          <cell r="J31">
            <v>0</v>
          </cell>
          <cell r="K31">
            <v>0.005</v>
          </cell>
          <cell r="L31">
            <v>0</v>
          </cell>
          <cell r="M31">
            <v>145</v>
          </cell>
          <cell r="N31">
            <v>0</v>
          </cell>
          <cell r="O31">
            <v>0</v>
          </cell>
          <cell r="P31">
            <v>0</v>
          </cell>
          <cell r="Q31">
            <v>0</v>
          </cell>
        </row>
        <row r="32">
          <cell r="A32">
            <v>89</v>
          </cell>
          <cell r="B32" t="str">
            <v>Buckwheat</v>
          </cell>
          <cell r="C32">
            <v>89</v>
          </cell>
          <cell r="D32">
            <v>330</v>
          </cell>
          <cell r="E32">
            <v>10</v>
          </cell>
          <cell r="F32">
            <v>9.3</v>
          </cell>
          <cell r="G32">
            <v>2.4</v>
          </cell>
          <cell r="H32">
            <v>5.3</v>
          </cell>
          <cell r="I32">
            <v>43</v>
          </cell>
          <cell r="J32">
            <v>30</v>
          </cell>
          <cell r="K32">
            <v>0.275</v>
          </cell>
          <cell r="L32">
            <v>0</v>
          </cell>
          <cell r="M32">
            <v>411</v>
          </cell>
          <cell r="N32">
            <v>0</v>
          </cell>
          <cell r="O32">
            <v>0</v>
          </cell>
          <cell r="P32">
            <v>0</v>
          </cell>
          <cell r="Q32">
            <v>1.5</v>
          </cell>
        </row>
        <row r="33">
          <cell r="A33">
            <v>91</v>
          </cell>
          <cell r="B33" t="str">
            <v>Bran, buckwheat</v>
          </cell>
          <cell r="C33">
            <v>89</v>
          </cell>
          <cell r="D33">
            <v>343</v>
          </cell>
          <cell r="E33">
            <v>13.25</v>
          </cell>
          <cell r="F33">
            <v>10</v>
          </cell>
          <cell r="G33">
            <v>2.4</v>
          </cell>
          <cell r="H33">
            <v>2.2</v>
          </cell>
          <cell r="I33">
            <v>18</v>
          </cell>
          <cell r="J33">
            <v>30</v>
          </cell>
          <cell r="K33">
            <v>0.425</v>
          </cell>
          <cell r="L33">
            <v>0</v>
          </cell>
          <cell r="M33">
            <v>460</v>
          </cell>
          <cell r="N33">
            <v>0</v>
          </cell>
          <cell r="O33">
            <v>0</v>
          </cell>
          <cell r="P33">
            <v>0</v>
          </cell>
          <cell r="Q33">
            <v>0</v>
          </cell>
        </row>
        <row r="34">
          <cell r="A34">
            <v>94</v>
          </cell>
          <cell r="B34" t="str">
            <v>Fonio</v>
          </cell>
          <cell r="C34">
            <v>94</v>
          </cell>
          <cell r="D34">
            <v>348</v>
          </cell>
          <cell r="E34">
            <v>7.4</v>
          </cell>
          <cell r="F34">
            <v>2.240451736</v>
          </cell>
          <cell r="G34">
            <v>2.017767206</v>
          </cell>
          <cell r="H34">
            <v>8.5</v>
          </cell>
          <cell r="I34">
            <v>40</v>
          </cell>
          <cell r="J34">
            <v>29</v>
          </cell>
          <cell r="K34">
            <v>0.1</v>
          </cell>
          <cell r="L34">
            <v>0</v>
          </cell>
          <cell r="M34">
            <v>336.9676707</v>
          </cell>
          <cell r="N34">
            <v>0.02</v>
          </cell>
          <cell r="O34">
            <v>0</v>
          </cell>
          <cell r="P34">
            <v>0.3</v>
          </cell>
          <cell r="Q34">
            <v>0</v>
          </cell>
        </row>
        <row r="35">
          <cell r="A35">
            <v>97</v>
          </cell>
          <cell r="B35" t="str">
            <v>Triticale</v>
          </cell>
          <cell r="C35">
            <v>97</v>
          </cell>
          <cell r="D35">
            <v>336</v>
          </cell>
          <cell r="E35">
            <v>13.05</v>
          </cell>
          <cell r="F35">
            <v>0</v>
          </cell>
          <cell r="G35">
            <v>3.45</v>
          </cell>
          <cell r="H35">
            <v>2.57</v>
          </cell>
          <cell r="I35">
            <v>37</v>
          </cell>
          <cell r="J35">
            <v>73</v>
          </cell>
          <cell r="K35">
            <v>0.134</v>
          </cell>
          <cell r="L35">
            <v>0</v>
          </cell>
          <cell r="M35">
            <v>332</v>
          </cell>
          <cell r="N35">
            <v>0.9</v>
          </cell>
          <cell r="O35">
            <v>0</v>
          </cell>
          <cell r="P35">
            <v>0</v>
          </cell>
          <cell r="Q35">
            <v>0</v>
          </cell>
        </row>
        <row r="36">
          <cell r="A36">
            <v>101</v>
          </cell>
          <cell r="B36" t="str">
            <v>Canary seed</v>
          </cell>
          <cell r="C36">
            <v>101</v>
          </cell>
          <cell r="D36">
            <v>368.75</v>
          </cell>
          <cell r="E36">
            <v>11.75</v>
          </cell>
          <cell r="F36">
            <v>7</v>
          </cell>
          <cell r="G36">
            <v>3.1</v>
          </cell>
          <cell r="H36">
            <v>5.2</v>
          </cell>
          <cell r="I36">
            <v>78</v>
          </cell>
          <cell r="J36">
            <v>184</v>
          </cell>
          <cell r="K36">
            <v>0.24</v>
          </cell>
          <cell r="L36">
            <v>70.2</v>
          </cell>
          <cell r="M36">
            <v>478.5</v>
          </cell>
          <cell r="N36">
            <v>0.63</v>
          </cell>
          <cell r="O36">
            <v>0</v>
          </cell>
          <cell r="P36">
            <v>0</v>
          </cell>
          <cell r="Q36">
            <v>0</v>
          </cell>
        </row>
        <row r="37">
          <cell r="A37">
            <v>103</v>
          </cell>
          <cell r="B37" t="str">
            <v>Grain, mixed</v>
          </cell>
          <cell r="C37">
            <v>103</v>
          </cell>
          <cell r="D37">
            <v>342</v>
          </cell>
          <cell r="E37">
            <v>11.02</v>
          </cell>
          <cell r="F37">
            <v>12.2</v>
          </cell>
          <cell r="G37">
            <v>2.65</v>
          </cell>
          <cell r="H37">
            <v>3.21</v>
          </cell>
          <cell r="I37">
            <v>27</v>
          </cell>
          <cell r="J37">
            <v>38</v>
          </cell>
          <cell r="K37">
            <v>0.115</v>
          </cell>
          <cell r="L37">
            <v>31.2</v>
          </cell>
          <cell r="M37">
            <v>363</v>
          </cell>
          <cell r="N37">
            <v>0</v>
          </cell>
          <cell r="O37">
            <v>0</v>
          </cell>
          <cell r="P37">
            <v>0</v>
          </cell>
          <cell r="Q37">
            <v>0</v>
          </cell>
        </row>
        <row r="38">
          <cell r="A38">
            <v>104</v>
          </cell>
          <cell r="B38" t="str">
            <v>Flour, mixed grain</v>
          </cell>
          <cell r="C38">
            <v>103</v>
          </cell>
          <cell r="D38">
            <v>340</v>
          </cell>
          <cell r="E38">
            <v>13.21</v>
          </cell>
          <cell r="F38">
            <v>10.7</v>
          </cell>
          <cell r="G38">
            <v>2.6</v>
          </cell>
          <cell r="H38">
            <v>3.6</v>
          </cell>
          <cell r="I38">
            <v>34</v>
          </cell>
          <cell r="J38">
            <v>44</v>
          </cell>
          <cell r="K38">
            <v>0.165</v>
          </cell>
          <cell r="L38">
            <v>31.2</v>
          </cell>
          <cell r="M38">
            <v>363</v>
          </cell>
          <cell r="N38">
            <v>0.71</v>
          </cell>
          <cell r="O38">
            <v>0</v>
          </cell>
          <cell r="P38">
            <v>1.9</v>
          </cell>
          <cell r="Q38">
            <v>0</v>
          </cell>
        </row>
        <row r="39">
          <cell r="A39">
            <v>108</v>
          </cell>
          <cell r="B39" t="str">
            <v>Cereals, nes</v>
          </cell>
          <cell r="C39">
            <v>108</v>
          </cell>
          <cell r="D39">
            <v>344.5</v>
          </cell>
          <cell r="E39">
            <v>13.8</v>
          </cell>
          <cell r="F39">
            <v>2.6</v>
          </cell>
          <cell r="G39">
            <v>3.9</v>
          </cell>
          <cell r="H39">
            <v>13</v>
          </cell>
          <cell r="I39">
            <v>141</v>
          </cell>
          <cell r="J39">
            <v>0</v>
          </cell>
          <cell r="K39">
            <v>0.15</v>
          </cell>
          <cell r="L39">
            <v>13.1</v>
          </cell>
          <cell r="M39">
            <v>427</v>
          </cell>
          <cell r="N39">
            <v>0.82</v>
          </cell>
          <cell r="O39">
            <v>0</v>
          </cell>
          <cell r="P39">
            <v>1.9</v>
          </cell>
          <cell r="Q39">
            <v>0</v>
          </cell>
        </row>
        <row r="40">
          <cell r="A40">
            <v>110</v>
          </cell>
          <cell r="B40" t="str">
            <v>Wafers</v>
          </cell>
          <cell r="C40">
            <v>15</v>
          </cell>
          <cell r="D40">
            <v>208</v>
          </cell>
          <cell r="E40">
            <v>8.5</v>
          </cell>
          <cell r="F40">
            <v>2.8</v>
          </cell>
          <cell r="G40">
            <v>1.04</v>
          </cell>
          <cell r="H40">
            <v>3.11</v>
          </cell>
          <cell r="I40">
            <v>250</v>
          </cell>
          <cell r="J40">
            <v>29</v>
          </cell>
          <cell r="K40">
            <v>0.529</v>
          </cell>
          <cell r="L40">
            <v>0</v>
          </cell>
          <cell r="M40">
            <v>279</v>
          </cell>
          <cell r="N40">
            <v>0</v>
          </cell>
          <cell r="O40">
            <v>0.29</v>
          </cell>
          <cell r="P40">
            <v>0</v>
          </cell>
          <cell r="Q40">
            <v>64</v>
          </cell>
        </row>
        <row r="41">
          <cell r="A41">
            <v>111</v>
          </cell>
          <cell r="B41" t="str">
            <v>Flour, cereals</v>
          </cell>
          <cell r="C41">
            <v>15</v>
          </cell>
          <cell r="D41">
            <v>348</v>
          </cell>
          <cell r="E41">
            <v>11.4</v>
          </cell>
          <cell r="F41">
            <v>0.4</v>
          </cell>
          <cell r="G41">
            <v>1.1</v>
          </cell>
          <cell r="H41">
            <v>2.2</v>
          </cell>
          <cell r="I41">
            <v>29.5</v>
          </cell>
          <cell r="J41">
            <v>25</v>
          </cell>
          <cell r="K41">
            <v>0.103333333</v>
          </cell>
          <cell r="L41">
            <v>10.4</v>
          </cell>
          <cell r="M41">
            <v>132.5</v>
          </cell>
          <cell r="N41">
            <v>0.71</v>
          </cell>
          <cell r="O41">
            <v>0</v>
          </cell>
          <cell r="P41">
            <v>1.9</v>
          </cell>
          <cell r="Q41">
            <v>0</v>
          </cell>
        </row>
        <row r="42">
          <cell r="A42">
            <v>113</v>
          </cell>
          <cell r="B42" t="str">
            <v>Cereal preparations, nes</v>
          </cell>
          <cell r="C42">
            <v>15</v>
          </cell>
          <cell r="D42">
            <v>62</v>
          </cell>
          <cell r="E42">
            <v>2</v>
          </cell>
          <cell r="F42">
            <v>1.6</v>
          </cell>
          <cell r="G42">
            <v>0.48</v>
          </cell>
          <cell r="H42">
            <v>0.62</v>
          </cell>
          <cell r="I42">
            <v>7</v>
          </cell>
          <cell r="J42">
            <v>14</v>
          </cell>
          <cell r="K42">
            <v>0.05</v>
          </cell>
          <cell r="L42">
            <v>4.2</v>
          </cell>
          <cell r="M42">
            <v>71</v>
          </cell>
          <cell r="N42">
            <v>0.24</v>
          </cell>
          <cell r="O42">
            <v>0</v>
          </cell>
          <cell r="P42">
            <v>0.4</v>
          </cell>
          <cell r="Q42">
            <v>0</v>
          </cell>
        </row>
        <row r="43">
          <cell r="A43">
            <v>114</v>
          </cell>
          <cell r="B43" t="str">
            <v>Mixes and doughs</v>
          </cell>
          <cell r="C43">
            <v>15</v>
          </cell>
          <cell r="D43">
            <v>361</v>
          </cell>
          <cell r="E43">
            <v>11.98</v>
          </cell>
          <cell r="F43">
            <v>2.4</v>
          </cell>
          <cell r="G43">
            <v>0.85</v>
          </cell>
          <cell r="H43">
            <v>4.41</v>
          </cell>
          <cell r="I43">
            <v>15</v>
          </cell>
          <cell r="J43">
            <v>183</v>
          </cell>
          <cell r="K43">
            <v>0.512</v>
          </cell>
          <cell r="L43">
            <v>10.4</v>
          </cell>
          <cell r="M43">
            <v>100</v>
          </cell>
          <cell r="N43">
            <v>0.4</v>
          </cell>
          <cell r="O43">
            <v>0</v>
          </cell>
          <cell r="P43">
            <v>0.3</v>
          </cell>
          <cell r="Q43">
            <v>0</v>
          </cell>
        </row>
        <row r="44">
          <cell r="A44">
            <v>115</v>
          </cell>
          <cell r="B44" t="str">
            <v>Food preparations, flour, malt extract</v>
          </cell>
          <cell r="C44">
            <v>15</v>
          </cell>
          <cell r="D44">
            <v>124</v>
          </cell>
          <cell r="E44">
            <v>4.37</v>
          </cell>
          <cell r="F44">
            <v>0</v>
          </cell>
          <cell r="G44">
            <v>0.37</v>
          </cell>
          <cell r="H44">
            <v>1.13</v>
          </cell>
          <cell r="I44">
            <v>6</v>
          </cell>
          <cell r="J44">
            <v>43</v>
          </cell>
          <cell r="K44">
            <v>0.148</v>
          </cell>
          <cell r="L44">
            <v>0</v>
          </cell>
          <cell r="M44">
            <v>19</v>
          </cell>
          <cell r="N44">
            <v>0</v>
          </cell>
          <cell r="O44">
            <v>0</v>
          </cell>
          <cell r="P44">
            <v>0</v>
          </cell>
          <cell r="Q44">
            <v>0</v>
          </cell>
        </row>
        <row r="45">
          <cell r="A45">
            <v>116</v>
          </cell>
          <cell r="B45" t="str">
            <v>Potatoes</v>
          </cell>
          <cell r="C45">
            <v>116</v>
          </cell>
          <cell r="D45">
            <v>79.5</v>
          </cell>
          <cell r="E45">
            <v>2</v>
          </cell>
          <cell r="F45">
            <v>1.6</v>
          </cell>
          <cell r="G45">
            <v>0.3375</v>
          </cell>
          <cell r="H45">
            <v>1</v>
          </cell>
          <cell r="I45">
            <v>8</v>
          </cell>
          <cell r="J45">
            <v>17.5</v>
          </cell>
          <cell r="K45">
            <v>0.06</v>
          </cell>
          <cell r="L45">
            <v>14.5</v>
          </cell>
          <cell r="M45">
            <v>412</v>
          </cell>
          <cell r="N45">
            <v>0.00844451291968602</v>
          </cell>
          <cell r="O45">
            <v>0</v>
          </cell>
          <cell r="P45">
            <v>0</v>
          </cell>
          <cell r="Q45">
            <v>0</v>
          </cell>
        </row>
        <row r="46">
          <cell r="A46">
            <v>117</v>
          </cell>
          <cell r="B46" t="str">
            <v>Flour, potatoes</v>
          </cell>
          <cell r="C46">
            <v>116</v>
          </cell>
          <cell r="D46">
            <v>357</v>
          </cell>
          <cell r="E46">
            <v>6.9</v>
          </cell>
          <cell r="F46">
            <v>5.9</v>
          </cell>
          <cell r="G46">
            <v>0.54</v>
          </cell>
          <cell r="H46">
            <v>1.38</v>
          </cell>
          <cell r="I46">
            <v>65</v>
          </cell>
          <cell r="J46">
            <v>25</v>
          </cell>
          <cell r="K46">
            <v>0.051</v>
          </cell>
          <cell r="L46">
            <v>39.5</v>
          </cell>
          <cell r="M46">
            <v>1001</v>
          </cell>
          <cell r="N46">
            <v>0.25</v>
          </cell>
          <cell r="O46">
            <v>0</v>
          </cell>
          <cell r="P46">
            <v>0</v>
          </cell>
          <cell r="Q46">
            <v>0</v>
          </cell>
        </row>
        <row r="47">
          <cell r="A47">
            <v>118</v>
          </cell>
          <cell r="B47" t="str">
            <v>Potatoes, frozen</v>
          </cell>
          <cell r="C47">
            <v>116</v>
          </cell>
          <cell r="D47">
            <v>79.5</v>
          </cell>
          <cell r="E47">
            <v>2</v>
          </cell>
          <cell r="F47">
            <v>1.6</v>
          </cell>
          <cell r="G47">
            <v>0.3375</v>
          </cell>
          <cell r="H47">
            <v>1</v>
          </cell>
          <cell r="I47">
            <v>8</v>
          </cell>
          <cell r="J47">
            <v>17.5</v>
          </cell>
          <cell r="K47">
            <v>0.06</v>
          </cell>
          <cell r="L47">
            <v>14.5</v>
          </cell>
          <cell r="M47">
            <v>412</v>
          </cell>
          <cell r="N47">
            <v>0.00844451291968602</v>
          </cell>
          <cell r="O47">
            <v>0</v>
          </cell>
          <cell r="P47">
            <v>0</v>
          </cell>
          <cell r="Q47">
            <v>0</v>
          </cell>
        </row>
        <row r="48">
          <cell r="A48">
            <v>120</v>
          </cell>
          <cell r="B48" t="str">
            <v>Potato offals</v>
          </cell>
          <cell r="C48">
            <v>116</v>
          </cell>
          <cell r="D48">
            <v>79.5</v>
          </cell>
          <cell r="E48">
            <v>2</v>
          </cell>
          <cell r="F48">
            <v>1.6</v>
          </cell>
          <cell r="G48">
            <v>0.3375</v>
          </cell>
          <cell r="H48">
            <v>1</v>
          </cell>
          <cell r="I48">
            <v>8</v>
          </cell>
          <cell r="J48">
            <v>17.5</v>
          </cell>
          <cell r="K48">
            <v>0.06</v>
          </cell>
          <cell r="L48">
            <v>14.5</v>
          </cell>
          <cell r="M48">
            <v>412</v>
          </cell>
          <cell r="N48">
            <v>0.00844451291968602</v>
          </cell>
          <cell r="O48">
            <v>0</v>
          </cell>
          <cell r="P48">
            <v>0</v>
          </cell>
          <cell r="Q48">
            <v>0</v>
          </cell>
        </row>
        <row r="49">
          <cell r="A49">
            <v>122</v>
          </cell>
          <cell r="B49" t="str">
            <v>Sweet potatoes</v>
          </cell>
          <cell r="C49">
            <v>122</v>
          </cell>
          <cell r="D49">
            <v>112</v>
          </cell>
          <cell r="E49">
            <v>1.425000002</v>
          </cell>
          <cell r="F49">
            <v>2.7</v>
          </cell>
          <cell r="G49">
            <v>0.25</v>
          </cell>
          <cell r="H49">
            <v>1.1</v>
          </cell>
          <cell r="I49">
            <v>33</v>
          </cell>
          <cell r="J49">
            <v>52</v>
          </cell>
          <cell r="K49">
            <v>0.04</v>
          </cell>
          <cell r="L49">
            <v>12.3</v>
          </cell>
          <cell r="M49">
            <v>330</v>
          </cell>
          <cell r="N49">
            <v>0.71</v>
          </cell>
          <cell r="O49">
            <v>0</v>
          </cell>
          <cell r="P49">
            <v>2.3</v>
          </cell>
          <cell r="Q49">
            <v>95.29166665</v>
          </cell>
        </row>
        <row r="50">
          <cell r="A50">
            <v>125</v>
          </cell>
          <cell r="B50" t="str">
            <v>Cassava</v>
          </cell>
          <cell r="C50">
            <v>125</v>
          </cell>
          <cell r="D50">
            <v>147.5</v>
          </cell>
          <cell r="E50">
            <v>1.150000007</v>
          </cell>
          <cell r="F50">
            <v>1.7</v>
          </cell>
          <cell r="G50">
            <v>0.34</v>
          </cell>
          <cell r="H50">
            <v>1</v>
          </cell>
          <cell r="I50">
            <v>33.5</v>
          </cell>
          <cell r="J50">
            <v>25.5</v>
          </cell>
          <cell r="K50">
            <v>0.049</v>
          </cell>
          <cell r="L50">
            <v>23.7</v>
          </cell>
          <cell r="M50">
            <v>271</v>
          </cell>
          <cell r="N50">
            <v>0.19</v>
          </cell>
          <cell r="O50">
            <v>0</v>
          </cell>
          <cell r="P50">
            <v>1.9</v>
          </cell>
          <cell r="Q50">
            <v>6</v>
          </cell>
        </row>
        <row r="51">
          <cell r="A51">
            <v>128</v>
          </cell>
          <cell r="B51" t="str">
            <v>Cassava dried</v>
          </cell>
          <cell r="C51">
            <v>125</v>
          </cell>
          <cell r="D51">
            <v>147.5</v>
          </cell>
          <cell r="E51">
            <v>1.150000007</v>
          </cell>
          <cell r="F51">
            <v>1.7</v>
          </cell>
          <cell r="G51">
            <v>0.34</v>
          </cell>
          <cell r="H51">
            <v>1</v>
          </cell>
          <cell r="I51">
            <v>33.5</v>
          </cell>
          <cell r="J51">
            <v>25.5</v>
          </cell>
          <cell r="K51">
            <v>0.049</v>
          </cell>
          <cell r="L51">
            <v>23.7</v>
          </cell>
          <cell r="M51">
            <v>271</v>
          </cell>
          <cell r="N51">
            <v>0.19</v>
          </cell>
          <cell r="O51">
            <v>0</v>
          </cell>
          <cell r="P51">
            <v>1.9</v>
          </cell>
          <cell r="Q51">
            <v>6</v>
          </cell>
        </row>
        <row r="52">
          <cell r="A52">
            <v>129</v>
          </cell>
          <cell r="B52" t="str">
            <v>Starch, cassava</v>
          </cell>
          <cell r="C52">
            <v>125</v>
          </cell>
          <cell r="D52">
            <v>147.5</v>
          </cell>
          <cell r="E52">
            <v>1.150000007</v>
          </cell>
          <cell r="F52">
            <v>1.7</v>
          </cell>
          <cell r="G52">
            <v>0.34</v>
          </cell>
          <cell r="H52">
            <v>1</v>
          </cell>
          <cell r="I52">
            <v>33.5</v>
          </cell>
          <cell r="J52">
            <v>25.5</v>
          </cell>
          <cell r="K52">
            <v>0.049</v>
          </cell>
          <cell r="L52">
            <v>23.7</v>
          </cell>
          <cell r="M52">
            <v>271</v>
          </cell>
          <cell r="N52">
            <v>0.19</v>
          </cell>
          <cell r="O52">
            <v>0</v>
          </cell>
          <cell r="P52">
            <v>1.9</v>
          </cell>
          <cell r="Q52">
            <v>6</v>
          </cell>
        </row>
        <row r="53">
          <cell r="A53">
            <v>137</v>
          </cell>
          <cell r="B53" t="str">
            <v>Yams</v>
          </cell>
          <cell r="C53">
            <v>137</v>
          </cell>
          <cell r="D53">
            <v>112</v>
          </cell>
          <cell r="E53">
            <v>1.9</v>
          </cell>
          <cell r="F53">
            <v>1</v>
          </cell>
          <cell r="G53">
            <v>0.325</v>
          </cell>
          <cell r="H53">
            <v>0.8</v>
          </cell>
          <cell r="I53">
            <v>26.903834375</v>
          </cell>
          <cell r="J53">
            <v>26</v>
          </cell>
          <cell r="K53">
            <v>0.03</v>
          </cell>
          <cell r="L53">
            <v>16.5</v>
          </cell>
          <cell r="M53">
            <v>816</v>
          </cell>
          <cell r="N53">
            <v>0.34</v>
          </cell>
          <cell r="O53">
            <v>0</v>
          </cell>
          <cell r="P53">
            <v>2.3</v>
          </cell>
          <cell r="Q53">
            <v>0.833333333</v>
          </cell>
        </row>
        <row r="54">
          <cell r="A54">
            <v>149</v>
          </cell>
          <cell r="B54" t="str">
            <v>Roots and tubers, nes</v>
          </cell>
          <cell r="C54">
            <v>149</v>
          </cell>
          <cell r="D54">
            <v>95</v>
          </cell>
          <cell r="E54">
            <v>1.5</v>
          </cell>
          <cell r="F54">
            <v>1.2</v>
          </cell>
          <cell r="G54">
            <v>0.28</v>
          </cell>
          <cell r="H54">
            <v>1.25</v>
          </cell>
          <cell r="I54">
            <v>23</v>
          </cell>
          <cell r="J54">
            <v>14</v>
          </cell>
          <cell r="K54">
            <v>0.0595</v>
          </cell>
          <cell r="L54">
            <v>21.8</v>
          </cell>
          <cell r="M54">
            <v>423.5</v>
          </cell>
          <cell r="N54">
            <v>0.71</v>
          </cell>
          <cell r="O54">
            <v>0</v>
          </cell>
          <cell r="P54">
            <v>2.3</v>
          </cell>
          <cell r="Q54">
            <v>2</v>
          </cell>
        </row>
        <row r="55">
          <cell r="A55">
            <v>150</v>
          </cell>
          <cell r="B55" t="str">
            <v>Flour, roots and tubers nes</v>
          </cell>
          <cell r="C55">
            <v>149</v>
          </cell>
          <cell r="D55">
            <v>347</v>
          </cell>
          <cell r="E55">
            <v>1.05</v>
          </cell>
          <cell r="F55">
            <v>1.6</v>
          </cell>
          <cell r="G55">
            <v>0.18</v>
          </cell>
          <cell r="H55">
            <v>1.75</v>
          </cell>
          <cell r="I55">
            <v>34.5</v>
          </cell>
          <cell r="J55">
            <v>25</v>
          </cell>
          <cell r="K55">
            <v>0.065499999</v>
          </cell>
          <cell r="L55">
            <v>39.5</v>
          </cell>
          <cell r="M55">
            <v>20</v>
          </cell>
          <cell r="N55">
            <v>0.25</v>
          </cell>
          <cell r="O55">
            <v>0</v>
          </cell>
          <cell r="P55">
            <v>0</v>
          </cell>
          <cell r="Q55">
            <v>0</v>
          </cell>
        </row>
        <row r="56">
          <cell r="A56">
            <v>157</v>
          </cell>
          <cell r="B56" t="str">
            <v>Sugar beet</v>
          </cell>
          <cell r="C56">
            <v>162</v>
          </cell>
          <cell r="D56">
            <v>44</v>
          </cell>
          <cell r="E56">
            <v>1.68</v>
          </cell>
          <cell r="F56">
            <v>2</v>
          </cell>
          <cell r="G56">
            <v>0.35</v>
          </cell>
          <cell r="H56">
            <v>0.79</v>
          </cell>
          <cell r="I56">
            <v>16</v>
          </cell>
          <cell r="J56">
            <v>80</v>
          </cell>
          <cell r="K56">
            <v>0.04</v>
          </cell>
          <cell r="L56">
            <v>6.3</v>
          </cell>
          <cell r="M56">
            <v>305</v>
          </cell>
          <cell r="N56">
            <v>0.04</v>
          </cell>
          <cell r="O56">
            <v>0</v>
          </cell>
          <cell r="P56">
            <v>0.2</v>
          </cell>
          <cell r="Q56">
            <v>2</v>
          </cell>
        </row>
        <row r="57">
          <cell r="A57">
            <v>160</v>
          </cell>
          <cell r="B57" t="str">
            <v>Maple sugar and syrups</v>
          </cell>
          <cell r="C57">
            <v>161</v>
          </cell>
          <cell r="D57">
            <v>260</v>
          </cell>
          <cell r="E57">
            <v>0.04</v>
          </cell>
          <cell r="F57">
            <v>0</v>
          </cell>
          <cell r="G57">
            <v>1.47</v>
          </cell>
          <cell r="H57">
            <v>0.11</v>
          </cell>
          <cell r="I57">
            <v>102</v>
          </cell>
          <cell r="J57">
            <v>0</v>
          </cell>
          <cell r="K57">
            <v>1.27</v>
          </cell>
          <cell r="L57">
            <v>1.6</v>
          </cell>
          <cell r="M57">
            <v>212</v>
          </cell>
          <cell r="N57">
            <v>0</v>
          </cell>
          <cell r="O57">
            <v>0</v>
          </cell>
          <cell r="P57">
            <v>0</v>
          </cell>
          <cell r="Q57">
            <v>0</v>
          </cell>
        </row>
        <row r="58">
          <cell r="A58">
            <v>161</v>
          </cell>
          <cell r="B58" t="str">
            <v>Sugar crops, nes</v>
          </cell>
          <cell r="C58">
            <v>161</v>
          </cell>
          <cell r="D58">
            <v>387</v>
          </cell>
          <cell r="E58">
            <v>0</v>
          </cell>
          <cell r="F58">
            <v>1.55</v>
          </cell>
          <cell r="G58">
            <v>0.02</v>
          </cell>
          <cell r="H58">
            <v>0.37</v>
          </cell>
          <cell r="I58">
            <v>8</v>
          </cell>
          <cell r="J58">
            <v>0</v>
          </cell>
          <cell r="K58">
            <v>0.0145</v>
          </cell>
          <cell r="L58">
            <v>0</v>
          </cell>
          <cell r="M58">
            <v>15.5</v>
          </cell>
          <cell r="N58">
            <v>0</v>
          </cell>
          <cell r="O58">
            <v>0</v>
          </cell>
          <cell r="P58">
            <v>0</v>
          </cell>
          <cell r="Q58">
            <v>0</v>
          </cell>
        </row>
        <row r="59">
          <cell r="A59">
            <v>162</v>
          </cell>
          <cell r="B59" t="str">
            <v>Sugar Raw Centrifugal</v>
          </cell>
          <cell r="C59">
            <v>162</v>
          </cell>
          <cell r="D59">
            <v>397.2</v>
          </cell>
          <cell r="E59">
            <v>0</v>
          </cell>
          <cell r="F59">
            <v>0</v>
          </cell>
          <cell r="G59">
            <v>0.02</v>
          </cell>
          <cell r="H59">
            <v>0.2</v>
          </cell>
          <cell r="I59">
            <v>6</v>
          </cell>
          <cell r="J59">
            <v>0</v>
          </cell>
          <cell r="K59">
            <v>0.0195</v>
          </cell>
          <cell r="L59">
            <v>0</v>
          </cell>
          <cell r="M59">
            <v>3</v>
          </cell>
          <cell r="N59">
            <v>0</v>
          </cell>
          <cell r="O59">
            <v>0</v>
          </cell>
          <cell r="P59">
            <v>0</v>
          </cell>
          <cell r="Q59">
            <v>0</v>
          </cell>
        </row>
        <row r="60">
          <cell r="A60">
            <v>163</v>
          </cell>
          <cell r="B60" t="str">
            <v>Sugar non-centrifugal</v>
          </cell>
          <cell r="C60">
            <v>162</v>
          </cell>
          <cell r="D60">
            <v>371</v>
          </cell>
          <cell r="E60">
            <v>0.35</v>
          </cell>
          <cell r="F60">
            <v>0</v>
          </cell>
          <cell r="G60">
            <v>0.02</v>
          </cell>
          <cell r="H60">
            <v>2.4</v>
          </cell>
          <cell r="I60">
            <v>80</v>
          </cell>
          <cell r="J60">
            <v>0</v>
          </cell>
          <cell r="K60">
            <v>0.045</v>
          </cell>
          <cell r="L60">
            <v>0</v>
          </cell>
          <cell r="M60">
            <v>29</v>
          </cell>
          <cell r="N60">
            <v>0</v>
          </cell>
          <cell r="O60">
            <v>0</v>
          </cell>
          <cell r="P60">
            <v>0</v>
          </cell>
          <cell r="Q60">
            <v>0</v>
          </cell>
        </row>
        <row r="61">
          <cell r="A61">
            <v>164</v>
          </cell>
          <cell r="B61" t="str">
            <v>Sugar refined</v>
          </cell>
          <cell r="C61">
            <v>162</v>
          </cell>
          <cell r="D61">
            <v>397.2</v>
          </cell>
          <cell r="E61">
            <v>0</v>
          </cell>
          <cell r="F61">
            <v>0</v>
          </cell>
          <cell r="G61">
            <v>0.02</v>
          </cell>
          <cell r="H61">
            <v>0.2</v>
          </cell>
          <cell r="I61">
            <v>6</v>
          </cell>
          <cell r="J61">
            <v>0</v>
          </cell>
          <cell r="K61">
            <v>0.0195</v>
          </cell>
          <cell r="L61">
            <v>0</v>
          </cell>
          <cell r="M61">
            <v>3</v>
          </cell>
          <cell r="N61">
            <v>0</v>
          </cell>
          <cell r="O61">
            <v>0</v>
          </cell>
          <cell r="P61">
            <v>0</v>
          </cell>
          <cell r="Q61">
            <v>0</v>
          </cell>
        </row>
        <row r="62">
          <cell r="A62">
            <v>165</v>
          </cell>
          <cell r="B62" t="str">
            <v>Molasses</v>
          </cell>
          <cell r="C62">
            <v>162</v>
          </cell>
          <cell r="D62">
            <v>290</v>
          </cell>
          <cell r="E62">
            <v>0</v>
          </cell>
          <cell r="F62">
            <v>0</v>
          </cell>
          <cell r="G62">
            <v>0.29</v>
          </cell>
          <cell r="H62">
            <v>4.72</v>
          </cell>
          <cell r="I62">
            <v>205</v>
          </cell>
          <cell r="J62">
            <v>0</v>
          </cell>
          <cell r="K62">
            <v>0.002</v>
          </cell>
          <cell r="L62">
            <v>13.3</v>
          </cell>
          <cell r="M62">
            <v>1464</v>
          </cell>
          <cell r="N62">
            <v>0</v>
          </cell>
          <cell r="O62">
            <v>0</v>
          </cell>
          <cell r="P62">
            <v>0</v>
          </cell>
          <cell r="Q62">
            <v>0</v>
          </cell>
        </row>
        <row r="63">
          <cell r="A63">
            <v>166</v>
          </cell>
          <cell r="B63" t="str">
            <v>Fructose and syrup, other</v>
          </cell>
          <cell r="C63">
            <v>15</v>
          </cell>
          <cell r="D63">
            <v>310</v>
          </cell>
          <cell r="E63">
            <v>0.09</v>
          </cell>
          <cell r="F63">
            <v>0.2</v>
          </cell>
          <cell r="G63">
            <v>0.01</v>
          </cell>
          <cell r="H63">
            <v>0.09</v>
          </cell>
          <cell r="I63">
            <v>1</v>
          </cell>
          <cell r="J63">
            <v>30</v>
          </cell>
          <cell r="K63">
            <v>0.165</v>
          </cell>
          <cell r="L63">
            <v>13.3</v>
          </cell>
          <cell r="M63">
            <v>4</v>
          </cell>
          <cell r="N63">
            <v>0.98</v>
          </cell>
          <cell r="O63">
            <v>0</v>
          </cell>
          <cell r="P63">
            <v>22.5</v>
          </cell>
          <cell r="Q63">
            <v>8</v>
          </cell>
        </row>
        <row r="64">
          <cell r="A64">
            <v>167</v>
          </cell>
          <cell r="B64" t="str">
            <v>Sugar, nes</v>
          </cell>
          <cell r="C64">
            <v>162</v>
          </cell>
          <cell r="D64">
            <v>397.2</v>
          </cell>
          <cell r="E64">
            <v>0</v>
          </cell>
          <cell r="F64">
            <v>0</v>
          </cell>
          <cell r="G64">
            <v>0.02</v>
          </cell>
          <cell r="H64">
            <v>0.2</v>
          </cell>
          <cell r="I64">
            <v>6</v>
          </cell>
          <cell r="J64">
            <v>0</v>
          </cell>
          <cell r="K64">
            <v>0.0195</v>
          </cell>
          <cell r="L64">
            <v>0</v>
          </cell>
          <cell r="M64">
            <v>3</v>
          </cell>
          <cell r="N64">
            <v>0</v>
          </cell>
          <cell r="O64">
            <v>0</v>
          </cell>
          <cell r="P64">
            <v>0</v>
          </cell>
          <cell r="Q64">
            <v>0</v>
          </cell>
        </row>
        <row r="65">
          <cell r="A65">
            <v>168</v>
          </cell>
          <cell r="B65" t="str">
            <v>Sugar confectionery</v>
          </cell>
          <cell r="C65">
            <v>162</v>
          </cell>
          <cell r="D65">
            <v>360</v>
          </cell>
          <cell r="E65">
            <v>0</v>
          </cell>
          <cell r="F65">
            <v>2.4</v>
          </cell>
          <cell r="G65">
            <v>0</v>
          </cell>
          <cell r="H65">
            <v>0</v>
          </cell>
          <cell r="I65">
            <v>0</v>
          </cell>
          <cell r="J65">
            <v>0</v>
          </cell>
          <cell r="K65">
            <v>0</v>
          </cell>
          <cell r="L65">
            <v>0</v>
          </cell>
          <cell r="M65">
            <v>2</v>
          </cell>
          <cell r="N65">
            <v>0</v>
          </cell>
          <cell r="O65">
            <v>0</v>
          </cell>
          <cell r="P65">
            <v>0</v>
          </cell>
          <cell r="Q65">
            <v>0</v>
          </cell>
        </row>
        <row r="66">
          <cell r="A66">
            <v>169</v>
          </cell>
          <cell r="B66" t="str">
            <v>Beet pulp</v>
          </cell>
          <cell r="C66">
            <v>162</v>
          </cell>
          <cell r="D66">
            <v>336</v>
          </cell>
          <cell r="E66">
            <v>0</v>
          </cell>
          <cell r="F66">
            <v>0</v>
          </cell>
          <cell r="G66">
            <v>0</v>
          </cell>
          <cell r="H66">
            <v>0</v>
          </cell>
          <cell r="I66">
            <v>0</v>
          </cell>
          <cell r="J66">
            <v>0</v>
          </cell>
          <cell r="K66">
            <v>0</v>
          </cell>
          <cell r="L66">
            <v>0</v>
          </cell>
          <cell r="M66">
            <v>4</v>
          </cell>
          <cell r="N66">
            <v>0</v>
          </cell>
          <cell r="O66">
            <v>0</v>
          </cell>
          <cell r="P66">
            <v>0</v>
          </cell>
          <cell r="Q66">
            <v>0</v>
          </cell>
        </row>
        <row r="67">
          <cell r="A67">
            <v>171</v>
          </cell>
          <cell r="B67" t="str">
            <v>Sugar flavoured</v>
          </cell>
          <cell r="C67">
            <v>162</v>
          </cell>
          <cell r="D67">
            <v>336</v>
          </cell>
          <cell r="E67">
            <v>0</v>
          </cell>
          <cell r="F67">
            <v>0</v>
          </cell>
          <cell r="G67">
            <v>0</v>
          </cell>
          <cell r="H67">
            <v>0</v>
          </cell>
          <cell r="I67">
            <v>0</v>
          </cell>
          <cell r="J67">
            <v>0</v>
          </cell>
          <cell r="K67">
            <v>0</v>
          </cell>
          <cell r="L67">
            <v>0</v>
          </cell>
          <cell r="M67">
            <v>4</v>
          </cell>
          <cell r="N67">
            <v>0</v>
          </cell>
          <cell r="O67">
            <v>0</v>
          </cell>
          <cell r="P67">
            <v>0</v>
          </cell>
          <cell r="Q67">
            <v>0</v>
          </cell>
        </row>
        <row r="68">
          <cell r="A68">
            <v>172</v>
          </cell>
          <cell r="B68" t="str">
            <v>Glucose and dextrose</v>
          </cell>
          <cell r="C68">
            <v>15</v>
          </cell>
          <cell r="D68">
            <v>336</v>
          </cell>
          <cell r="E68">
            <v>0</v>
          </cell>
          <cell r="F68">
            <v>0</v>
          </cell>
          <cell r="G68">
            <v>0</v>
          </cell>
          <cell r="H68">
            <v>0</v>
          </cell>
          <cell r="I68">
            <v>0</v>
          </cell>
          <cell r="J68">
            <v>0</v>
          </cell>
          <cell r="K68">
            <v>0</v>
          </cell>
          <cell r="L68">
            <v>0</v>
          </cell>
          <cell r="M68">
            <v>4</v>
          </cell>
          <cell r="N68">
            <v>0</v>
          </cell>
          <cell r="O68">
            <v>0</v>
          </cell>
          <cell r="P68">
            <v>0</v>
          </cell>
          <cell r="Q68">
            <v>0</v>
          </cell>
        </row>
        <row r="69">
          <cell r="A69">
            <v>173</v>
          </cell>
          <cell r="B69" t="str">
            <v>Lactose</v>
          </cell>
          <cell r="C69">
            <v>1780</v>
          </cell>
          <cell r="D69">
            <v>336</v>
          </cell>
          <cell r="E69">
            <v>0</v>
          </cell>
          <cell r="F69">
            <v>0</v>
          </cell>
          <cell r="G69">
            <v>0</v>
          </cell>
          <cell r="H69">
            <v>0</v>
          </cell>
          <cell r="I69">
            <v>0</v>
          </cell>
          <cell r="J69">
            <v>0</v>
          </cell>
          <cell r="K69">
            <v>0</v>
          </cell>
          <cell r="L69">
            <v>0</v>
          </cell>
          <cell r="M69">
            <v>4</v>
          </cell>
          <cell r="N69">
            <v>0</v>
          </cell>
          <cell r="O69">
            <v>0</v>
          </cell>
          <cell r="P69">
            <v>0</v>
          </cell>
          <cell r="Q69">
            <v>0</v>
          </cell>
        </row>
        <row r="70">
          <cell r="A70">
            <v>176</v>
          </cell>
          <cell r="B70" t="str">
            <v>Beans, dry</v>
          </cell>
          <cell r="C70">
            <v>176</v>
          </cell>
          <cell r="D70">
            <v>335</v>
          </cell>
          <cell r="E70">
            <v>21.5</v>
          </cell>
          <cell r="F70">
            <v>12.7</v>
          </cell>
          <cell r="G70">
            <v>2.83</v>
          </cell>
          <cell r="H70">
            <v>6.4</v>
          </cell>
          <cell r="I70">
            <v>130.5</v>
          </cell>
          <cell r="J70">
            <v>395</v>
          </cell>
          <cell r="K70">
            <v>0.2</v>
          </cell>
          <cell r="L70">
            <v>92.05</v>
          </cell>
          <cell r="M70">
            <v>1196</v>
          </cell>
          <cell r="N70">
            <v>0.03</v>
          </cell>
          <cell r="O70">
            <v>0</v>
          </cell>
          <cell r="P70">
            <v>8.4</v>
          </cell>
          <cell r="Q70">
            <v>0</v>
          </cell>
        </row>
        <row r="71">
          <cell r="A71">
            <v>181</v>
          </cell>
          <cell r="B71" t="str">
            <v>Broad beans, horse beans, dry</v>
          </cell>
          <cell r="C71">
            <v>181</v>
          </cell>
          <cell r="D71">
            <v>342.5</v>
          </cell>
          <cell r="E71">
            <v>23.9</v>
          </cell>
          <cell r="F71">
            <v>25</v>
          </cell>
          <cell r="G71">
            <v>3.14</v>
          </cell>
          <cell r="H71">
            <v>6.7</v>
          </cell>
          <cell r="I71">
            <v>93</v>
          </cell>
          <cell r="J71">
            <v>423</v>
          </cell>
          <cell r="K71">
            <v>0.3</v>
          </cell>
          <cell r="L71">
            <v>95.8</v>
          </cell>
          <cell r="M71">
            <v>1062</v>
          </cell>
          <cell r="N71">
            <v>0.02</v>
          </cell>
          <cell r="O71">
            <v>0</v>
          </cell>
          <cell r="P71">
            <v>2.9</v>
          </cell>
          <cell r="Q71">
            <v>0</v>
          </cell>
        </row>
        <row r="72">
          <cell r="A72">
            <v>187</v>
          </cell>
          <cell r="B72" t="str">
            <v>Peas, dry</v>
          </cell>
          <cell r="C72">
            <v>187</v>
          </cell>
          <cell r="D72">
            <v>336.99</v>
          </cell>
          <cell r="E72">
            <v>22.4</v>
          </cell>
          <cell r="F72">
            <v>6.5</v>
          </cell>
          <cell r="G72">
            <v>3.28</v>
          </cell>
          <cell r="H72">
            <v>5.5</v>
          </cell>
          <cell r="I72">
            <v>73.5</v>
          </cell>
          <cell r="J72">
            <v>140.75</v>
          </cell>
          <cell r="K72">
            <v>0.185</v>
          </cell>
          <cell r="L72">
            <v>165.25</v>
          </cell>
          <cell r="M72">
            <v>981</v>
          </cell>
          <cell r="N72">
            <v>0.14</v>
          </cell>
          <cell r="O72">
            <v>0</v>
          </cell>
          <cell r="P72">
            <v>25.9</v>
          </cell>
          <cell r="Q72">
            <v>3</v>
          </cell>
        </row>
        <row r="73">
          <cell r="A73">
            <v>191</v>
          </cell>
          <cell r="B73" t="str">
            <v>Chick peas</v>
          </cell>
          <cell r="C73">
            <v>191</v>
          </cell>
          <cell r="D73">
            <v>358.5</v>
          </cell>
          <cell r="E73">
            <v>19.6</v>
          </cell>
          <cell r="F73">
            <v>6.7</v>
          </cell>
          <cell r="G73">
            <v>3.095</v>
          </cell>
          <cell r="H73">
            <v>7.1</v>
          </cell>
          <cell r="I73">
            <v>137</v>
          </cell>
          <cell r="J73">
            <v>371.5</v>
          </cell>
          <cell r="K73">
            <v>0.16</v>
          </cell>
          <cell r="L73">
            <v>146.65</v>
          </cell>
          <cell r="M73">
            <v>821.5</v>
          </cell>
          <cell r="N73">
            <v>0.35</v>
          </cell>
          <cell r="O73">
            <v>0</v>
          </cell>
          <cell r="P73">
            <v>4</v>
          </cell>
          <cell r="Q73">
            <v>2</v>
          </cell>
        </row>
        <row r="74">
          <cell r="A74">
            <v>201</v>
          </cell>
          <cell r="B74" t="str">
            <v>Lentils</v>
          </cell>
          <cell r="C74">
            <v>201</v>
          </cell>
          <cell r="D74">
            <v>341</v>
          </cell>
          <cell r="E74">
            <v>23.75</v>
          </cell>
          <cell r="F74">
            <v>7.3</v>
          </cell>
          <cell r="G74">
            <v>3</v>
          </cell>
          <cell r="H74">
            <v>7</v>
          </cell>
          <cell r="I74">
            <v>67.5</v>
          </cell>
          <cell r="J74">
            <v>295</v>
          </cell>
          <cell r="K74">
            <v>0.2205</v>
          </cell>
          <cell r="L74">
            <v>197.7</v>
          </cell>
          <cell r="M74">
            <v>855</v>
          </cell>
          <cell r="N74">
            <v>0.11</v>
          </cell>
          <cell r="O74">
            <v>0</v>
          </cell>
          <cell r="P74">
            <v>1.7</v>
          </cell>
          <cell r="Q74">
            <v>3.5</v>
          </cell>
        </row>
        <row r="75">
          <cell r="A75">
            <v>203</v>
          </cell>
          <cell r="B75" t="str">
            <v>Bambara beans</v>
          </cell>
          <cell r="C75">
            <v>203</v>
          </cell>
          <cell r="D75">
            <v>372.5</v>
          </cell>
          <cell r="E75">
            <v>19.39</v>
          </cell>
          <cell r="F75">
            <v>4.8</v>
          </cell>
          <cell r="G75">
            <v>2.8660500025</v>
          </cell>
          <cell r="H75">
            <v>3.3</v>
          </cell>
          <cell r="I75">
            <v>55.865</v>
          </cell>
          <cell r="J75">
            <v>0</v>
          </cell>
          <cell r="K75">
            <v>0.122751079</v>
          </cell>
          <cell r="L75">
            <v>0</v>
          </cell>
          <cell r="M75">
            <v>1240</v>
          </cell>
          <cell r="N75">
            <v>8.33</v>
          </cell>
          <cell r="O75">
            <v>0</v>
          </cell>
          <cell r="P75">
            <v>0</v>
          </cell>
          <cell r="Q75">
            <v>1.25</v>
          </cell>
        </row>
        <row r="76">
          <cell r="A76">
            <v>205</v>
          </cell>
          <cell r="B76" t="str">
            <v>Vetches</v>
          </cell>
          <cell r="C76">
            <v>205</v>
          </cell>
          <cell r="D76">
            <v>203</v>
          </cell>
          <cell r="E76">
            <v>15.7</v>
          </cell>
          <cell r="F76">
            <v>2</v>
          </cell>
          <cell r="G76">
            <v>0</v>
          </cell>
          <cell r="H76">
            <v>9.3</v>
          </cell>
          <cell r="I76">
            <v>203.5</v>
          </cell>
          <cell r="J76">
            <v>0</v>
          </cell>
          <cell r="K76">
            <v>0.1</v>
          </cell>
          <cell r="L76">
            <v>0</v>
          </cell>
          <cell r="M76">
            <v>0</v>
          </cell>
          <cell r="N76">
            <v>0.431447958188791</v>
          </cell>
          <cell r="O76">
            <v>0</v>
          </cell>
          <cell r="P76">
            <v>2.84940450141925</v>
          </cell>
          <cell r="Q76">
            <v>0</v>
          </cell>
        </row>
        <row r="77">
          <cell r="A77">
            <v>211</v>
          </cell>
          <cell r="B77" t="str">
            <v>Pulses, nes</v>
          </cell>
          <cell r="C77">
            <v>211</v>
          </cell>
          <cell r="D77">
            <v>349</v>
          </cell>
          <cell r="E77">
            <v>23.875</v>
          </cell>
          <cell r="F77">
            <v>7.4</v>
          </cell>
          <cell r="G77">
            <v>3.99</v>
          </cell>
          <cell r="H77">
            <v>7</v>
          </cell>
          <cell r="I77">
            <v>158</v>
          </cell>
          <cell r="J77">
            <v>342</v>
          </cell>
          <cell r="K77">
            <v>0.18</v>
          </cell>
          <cell r="L77">
            <v>352</v>
          </cell>
          <cell r="M77">
            <v>1157</v>
          </cell>
          <cell r="N77">
            <v>0.75</v>
          </cell>
          <cell r="O77">
            <v>0</v>
          </cell>
          <cell r="P77">
            <v>3</v>
          </cell>
          <cell r="Q77">
            <v>1</v>
          </cell>
        </row>
        <row r="78">
          <cell r="A78">
            <v>212</v>
          </cell>
          <cell r="B78" t="str">
            <v>Flour, pulses</v>
          </cell>
          <cell r="C78">
            <v>176</v>
          </cell>
          <cell r="D78">
            <v>424</v>
          </cell>
          <cell r="E78">
            <v>27.65</v>
          </cell>
          <cell r="F78">
            <v>10.2</v>
          </cell>
          <cell r="G78">
            <v>2.975</v>
          </cell>
          <cell r="H78">
            <v>9.15</v>
          </cell>
          <cell r="I78">
            <v>100</v>
          </cell>
          <cell r="J78">
            <v>345</v>
          </cell>
          <cell r="K78">
            <v>0.24</v>
          </cell>
          <cell r="L78">
            <v>190.6</v>
          </cell>
          <cell r="M78">
            <v>1062</v>
          </cell>
          <cell r="N78">
            <v>0.83</v>
          </cell>
          <cell r="O78">
            <v>0</v>
          </cell>
          <cell r="P78">
            <v>9.1</v>
          </cell>
          <cell r="Q78">
            <v>2</v>
          </cell>
        </row>
        <row r="79">
          <cell r="A79">
            <v>216</v>
          </cell>
          <cell r="B79" t="str">
            <v>Brazil nuts, with shell</v>
          </cell>
          <cell r="C79">
            <v>216</v>
          </cell>
          <cell r="D79">
            <v>653.5</v>
          </cell>
          <cell r="E79">
            <v>14.8</v>
          </cell>
          <cell r="F79">
            <v>7.5</v>
          </cell>
          <cell r="G79">
            <v>4.06</v>
          </cell>
          <cell r="H79">
            <v>2.265</v>
          </cell>
          <cell r="I79">
            <v>165</v>
          </cell>
          <cell r="J79">
            <v>22</v>
          </cell>
          <cell r="K79">
            <v>0.1</v>
          </cell>
          <cell r="L79">
            <v>28.8</v>
          </cell>
          <cell r="M79">
            <v>659</v>
          </cell>
          <cell r="N79">
            <v>5.65</v>
          </cell>
          <cell r="O79">
            <v>0</v>
          </cell>
          <cell r="P79">
            <v>0</v>
          </cell>
          <cell r="Q79">
            <v>0</v>
          </cell>
        </row>
        <row r="80">
          <cell r="A80">
            <v>217</v>
          </cell>
          <cell r="B80" t="str">
            <v>Cashew nuts, with shell</v>
          </cell>
          <cell r="C80">
            <v>217</v>
          </cell>
          <cell r="D80">
            <v>572</v>
          </cell>
          <cell r="E80">
            <v>18.22</v>
          </cell>
          <cell r="F80">
            <v>3.1</v>
          </cell>
          <cell r="G80">
            <v>5.185</v>
          </cell>
          <cell r="H80">
            <v>6</v>
          </cell>
          <cell r="I80">
            <v>38</v>
          </cell>
          <cell r="J80">
            <v>35.5</v>
          </cell>
          <cell r="K80">
            <v>0.18</v>
          </cell>
          <cell r="L80">
            <v>0</v>
          </cell>
          <cell r="M80">
            <v>650.5</v>
          </cell>
          <cell r="N80">
            <v>0.9</v>
          </cell>
          <cell r="O80">
            <v>0</v>
          </cell>
          <cell r="P80">
            <v>34.1</v>
          </cell>
          <cell r="Q80">
            <v>4</v>
          </cell>
        </row>
        <row r="81">
          <cell r="A81">
            <v>220</v>
          </cell>
          <cell r="B81" t="str">
            <v>Chestnut</v>
          </cell>
          <cell r="C81">
            <v>220</v>
          </cell>
          <cell r="D81">
            <v>224</v>
          </cell>
          <cell r="E81">
            <v>4.7</v>
          </cell>
          <cell r="F81">
            <v>12.3</v>
          </cell>
          <cell r="G81">
            <v>0.46</v>
          </cell>
          <cell r="H81">
            <v>1.5</v>
          </cell>
          <cell r="I81">
            <v>28</v>
          </cell>
          <cell r="J81">
            <v>109</v>
          </cell>
          <cell r="K81">
            <v>0.17</v>
          </cell>
          <cell r="L81">
            <v>0</v>
          </cell>
          <cell r="M81">
            <v>653.5</v>
          </cell>
          <cell r="N81">
            <v>0</v>
          </cell>
          <cell r="O81">
            <v>0</v>
          </cell>
          <cell r="P81">
            <v>0</v>
          </cell>
          <cell r="Q81">
            <v>16</v>
          </cell>
        </row>
        <row r="82">
          <cell r="A82">
            <v>221</v>
          </cell>
          <cell r="B82" t="str">
            <v>Almonds, with shell</v>
          </cell>
          <cell r="C82">
            <v>221</v>
          </cell>
          <cell r="D82">
            <v>592</v>
          </cell>
          <cell r="E82">
            <v>21.825</v>
          </cell>
          <cell r="F82">
            <v>7.25</v>
          </cell>
          <cell r="G82">
            <v>3.59</v>
          </cell>
          <cell r="H82">
            <v>3.055</v>
          </cell>
          <cell r="I82">
            <v>247</v>
          </cell>
          <cell r="J82">
            <v>44</v>
          </cell>
          <cell r="K82">
            <v>0.56</v>
          </cell>
          <cell r="L82">
            <v>52.1</v>
          </cell>
          <cell r="M82">
            <v>773</v>
          </cell>
          <cell r="N82">
            <v>25.63</v>
          </cell>
          <cell r="O82">
            <v>0</v>
          </cell>
          <cell r="P82">
            <v>0</v>
          </cell>
          <cell r="Q82">
            <v>0</v>
          </cell>
        </row>
        <row r="83">
          <cell r="A83">
            <v>222</v>
          </cell>
          <cell r="B83" t="str">
            <v>Walnuts, with shell</v>
          </cell>
          <cell r="C83">
            <v>222</v>
          </cell>
          <cell r="D83">
            <v>646</v>
          </cell>
          <cell r="E83">
            <v>15.23</v>
          </cell>
          <cell r="F83">
            <v>6.7</v>
          </cell>
          <cell r="G83">
            <v>3.09</v>
          </cell>
          <cell r="H83">
            <v>2.955</v>
          </cell>
          <cell r="I83">
            <v>91</v>
          </cell>
          <cell r="J83">
            <v>64.5</v>
          </cell>
          <cell r="K83">
            <v>0.14</v>
          </cell>
          <cell r="L83">
            <v>35.65</v>
          </cell>
          <cell r="M83">
            <v>486.5</v>
          </cell>
          <cell r="N83">
            <v>0.7</v>
          </cell>
          <cell r="O83">
            <v>0</v>
          </cell>
          <cell r="P83">
            <v>2.7</v>
          </cell>
          <cell r="Q83">
            <v>4.3</v>
          </cell>
        </row>
        <row r="84">
          <cell r="A84">
            <v>223</v>
          </cell>
          <cell r="B84" t="str">
            <v>Pistachios</v>
          </cell>
          <cell r="C84">
            <v>223</v>
          </cell>
          <cell r="D84">
            <v>612</v>
          </cell>
          <cell r="E84">
            <v>20.135</v>
          </cell>
          <cell r="F84">
            <v>8.2</v>
          </cell>
          <cell r="G84">
            <v>2.655</v>
          </cell>
          <cell r="H84">
            <v>5.85</v>
          </cell>
          <cell r="I84">
            <v>119.5</v>
          </cell>
          <cell r="J84">
            <v>51</v>
          </cell>
          <cell r="K84">
            <v>0.1</v>
          </cell>
          <cell r="L84">
            <v>0</v>
          </cell>
          <cell r="M84">
            <v>998.5</v>
          </cell>
          <cell r="N84">
            <v>2.3</v>
          </cell>
          <cell r="O84">
            <v>0</v>
          </cell>
          <cell r="P84">
            <v>0</v>
          </cell>
          <cell r="Q84">
            <v>79.5</v>
          </cell>
        </row>
        <row r="85">
          <cell r="A85">
            <v>224</v>
          </cell>
          <cell r="B85" t="str">
            <v>Kola nuts</v>
          </cell>
          <cell r="C85">
            <v>224</v>
          </cell>
          <cell r="D85">
            <v>154.5</v>
          </cell>
          <cell r="E85">
            <v>2.5460666745</v>
          </cell>
          <cell r="F85">
            <v>1.4</v>
          </cell>
          <cell r="G85">
            <v>0</v>
          </cell>
          <cell r="H85">
            <v>2</v>
          </cell>
          <cell r="I85">
            <v>51</v>
          </cell>
          <cell r="J85">
            <v>0</v>
          </cell>
          <cell r="K85">
            <v>0.0275</v>
          </cell>
          <cell r="L85">
            <v>0</v>
          </cell>
          <cell r="M85">
            <v>0</v>
          </cell>
          <cell r="N85">
            <v>0</v>
          </cell>
          <cell r="O85">
            <v>0</v>
          </cell>
          <cell r="P85">
            <v>0</v>
          </cell>
          <cell r="Q85">
            <v>1.0416666665</v>
          </cell>
        </row>
        <row r="86">
          <cell r="A86">
            <v>225</v>
          </cell>
          <cell r="B86" t="str">
            <v>Hazelnuts, with shell</v>
          </cell>
          <cell r="C86">
            <v>225</v>
          </cell>
          <cell r="D86">
            <v>588</v>
          </cell>
          <cell r="E86">
            <v>14.325</v>
          </cell>
          <cell r="F86">
            <v>7.65</v>
          </cell>
          <cell r="G86">
            <v>4.14</v>
          </cell>
          <cell r="H86">
            <v>4.4</v>
          </cell>
          <cell r="I86">
            <v>184</v>
          </cell>
          <cell r="J86">
            <v>113</v>
          </cell>
          <cell r="K86">
            <v>0.285</v>
          </cell>
          <cell r="L86">
            <v>45.6</v>
          </cell>
          <cell r="M86">
            <v>680</v>
          </cell>
          <cell r="N86">
            <v>15.03</v>
          </cell>
          <cell r="O86">
            <v>0</v>
          </cell>
          <cell r="P86">
            <v>14.2</v>
          </cell>
          <cell r="Q86">
            <v>8</v>
          </cell>
        </row>
        <row r="87">
          <cell r="A87">
            <v>229</v>
          </cell>
          <cell r="B87" t="str">
            <v>Brazil nuts, shelled</v>
          </cell>
          <cell r="C87">
            <v>216</v>
          </cell>
          <cell r="D87">
            <v>653.5</v>
          </cell>
          <cell r="E87">
            <v>14.8</v>
          </cell>
          <cell r="F87">
            <v>7.5</v>
          </cell>
          <cell r="G87">
            <v>4.06</v>
          </cell>
          <cell r="H87">
            <v>2.265</v>
          </cell>
          <cell r="I87">
            <v>165</v>
          </cell>
          <cell r="J87">
            <v>22</v>
          </cell>
          <cell r="K87">
            <v>0.1</v>
          </cell>
          <cell r="L87">
            <v>28.8</v>
          </cell>
          <cell r="M87">
            <v>659</v>
          </cell>
          <cell r="N87">
            <v>5.65</v>
          </cell>
          <cell r="O87">
            <v>0</v>
          </cell>
          <cell r="P87">
            <v>0</v>
          </cell>
          <cell r="Q87">
            <v>0</v>
          </cell>
        </row>
        <row r="88">
          <cell r="A88">
            <v>230</v>
          </cell>
          <cell r="B88" t="str">
            <v>Cashew nuts, shelled</v>
          </cell>
          <cell r="C88">
            <v>217</v>
          </cell>
          <cell r="D88">
            <v>572</v>
          </cell>
          <cell r="E88">
            <v>18.22</v>
          </cell>
          <cell r="F88">
            <v>3.1</v>
          </cell>
          <cell r="G88">
            <v>5.185</v>
          </cell>
          <cell r="H88">
            <v>6</v>
          </cell>
          <cell r="I88">
            <v>38</v>
          </cell>
          <cell r="J88">
            <v>35.5</v>
          </cell>
          <cell r="K88">
            <v>0.18</v>
          </cell>
          <cell r="L88">
            <v>0</v>
          </cell>
          <cell r="M88">
            <v>650.5</v>
          </cell>
          <cell r="N88">
            <v>0.9</v>
          </cell>
          <cell r="O88">
            <v>0</v>
          </cell>
          <cell r="P88">
            <v>34.1</v>
          </cell>
          <cell r="Q88">
            <v>4</v>
          </cell>
        </row>
        <row r="89">
          <cell r="A89">
            <v>231</v>
          </cell>
          <cell r="B89" t="str">
            <v>Almonds shelled</v>
          </cell>
          <cell r="C89">
            <v>221</v>
          </cell>
          <cell r="D89">
            <v>592</v>
          </cell>
          <cell r="E89">
            <v>21.825</v>
          </cell>
          <cell r="F89">
            <v>7.25</v>
          </cell>
          <cell r="G89">
            <v>3.59</v>
          </cell>
          <cell r="H89">
            <v>3.055</v>
          </cell>
          <cell r="I89">
            <v>247</v>
          </cell>
          <cell r="J89">
            <v>44</v>
          </cell>
          <cell r="K89">
            <v>0.56</v>
          </cell>
          <cell r="L89">
            <v>52.1</v>
          </cell>
          <cell r="M89">
            <v>773</v>
          </cell>
          <cell r="N89">
            <v>25.63</v>
          </cell>
          <cell r="O89">
            <v>0</v>
          </cell>
          <cell r="P89">
            <v>0</v>
          </cell>
          <cell r="Q89">
            <v>0</v>
          </cell>
        </row>
        <row r="90">
          <cell r="A90">
            <v>232</v>
          </cell>
          <cell r="B90" t="str">
            <v>Walnuts, shelled</v>
          </cell>
          <cell r="C90">
            <v>222</v>
          </cell>
          <cell r="D90">
            <v>646</v>
          </cell>
          <cell r="E90">
            <v>15.23</v>
          </cell>
          <cell r="F90">
            <v>6.7</v>
          </cell>
          <cell r="G90">
            <v>3.09</v>
          </cell>
          <cell r="H90">
            <v>2.955</v>
          </cell>
          <cell r="I90">
            <v>91</v>
          </cell>
          <cell r="J90">
            <v>64.5</v>
          </cell>
          <cell r="K90">
            <v>0.14</v>
          </cell>
          <cell r="L90">
            <v>35.65</v>
          </cell>
          <cell r="M90">
            <v>486.5</v>
          </cell>
          <cell r="N90">
            <v>0.7</v>
          </cell>
          <cell r="O90">
            <v>0</v>
          </cell>
          <cell r="P90">
            <v>2.7</v>
          </cell>
          <cell r="Q90">
            <v>4.3</v>
          </cell>
        </row>
        <row r="91">
          <cell r="A91">
            <v>233</v>
          </cell>
          <cell r="B91" t="str">
            <v>Hazelnuts, shelled</v>
          </cell>
          <cell r="C91">
            <v>225</v>
          </cell>
          <cell r="D91">
            <v>588</v>
          </cell>
          <cell r="E91">
            <v>14.325</v>
          </cell>
          <cell r="F91">
            <v>7.65</v>
          </cell>
          <cell r="G91">
            <v>4.14</v>
          </cell>
          <cell r="H91">
            <v>4.4</v>
          </cell>
          <cell r="I91">
            <v>184</v>
          </cell>
          <cell r="J91">
            <v>113</v>
          </cell>
          <cell r="K91">
            <v>0.285</v>
          </cell>
          <cell r="L91">
            <v>45.6</v>
          </cell>
          <cell r="M91">
            <v>680</v>
          </cell>
          <cell r="N91">
            <v>15.03</v>
          </cell>
          <cell r="O91">
            <v>0</v>
          </cell>
          <cell r="P91">
            <v>14.2</v>
          </cell>
          <cell r="Q91">
            <v>8</v>
          </cell>
        </row>
        <row r="92">
          <cell r="A92">
            <v>234</v>
          </cell>
          <cell r="B92" t="str">
            <v>Nuts, nes</v>
          </cell>
          <cell r="C92">
            <v>234</v>
          </cell>
          <cell r="D92">
            <v>596</v>
          </cell>
          <cell r="E92">
            <v>13.4</v>
          </cell>
          <cell r="F92">
            <v>2.7</v>
          </cell>
          <cell r="G92">
            <v>3.75</v>
          </cell>
          <cell r="H92">
            <v>3.61</v>
          </cell>
          <cell r="I92">
            <v>111</v>
          </cell>
          <cell r="J92">
            <v>28</v>
          </cell>
          <cell r="K92">
            <v>0.12</v>
          </cell>
          <cell r="L92">
            <v>48.15</v>
          </cell>
          <cell r="M92">
            <v>458.5</v>
          </cell>
          <cell r="N92">
            <v>1.4</v>
          </cell>
          <cell r="O92">
            <v>0</v>
          </cell>
          <cell r="P92">
            <v>3.5</v>
          </cell>
          <cell r="Q92">
            <v>2</v>
          </cell>
        </row>
        <row r="93">
          <cell r="A93">
            <v>235</v>
          </cell>
          <cell r="B93" t="str">
            <v>Nuts, prepared (exc. groundnuts)</v>
          </cell>
          <cell r="C93">
            <v>234</v>
          </cell>
          <cell r="D93">
            <v>592</v>
          </cell>
          <cell r="E93">
            <v>15.17</v>
          </cell>
          <cell r="F93">
            <v>9.4</v>
          </cell>
          <cell r="G93">
            <v>3.02</v>
          </cell>
          <cell r="H93">
            <v>3.04</v>
          </cell>
          <cell r="I93">
            <v>70</v>
          </cell>
          <cell r="J93">
            <v>52</v>
          </cell>
          <cell r="K93">
            <v>0.187</v>
          </cell>
          <cell r="L93">
            <v>52.1</v>
          </cell>
          <cell r="M93">
            <v>594.5</v>
          </cell>
          <cell r="N93">
            <v>0.92</v>
          </cell>
          <cell r="O93">
            <v>0</v>
          </cell>
          <cell r="P93">
            <v>34.7</v>
          </cell>
          <cell r="Q93">
            <v>1</v>
          </cell>
        </row>
        <row r="94">
          <cell r="A94">
            <v>236</v>
          </cell>
          <cell r="B94" t="str">
            <v>Soybeans</v>
          </cell>
          <cell r="C94">
            <v>236</v>
          </cell>
          <cell r="D94">
            <v>401</v>
          </cell>
          <cell r="E94">
            <v>34.6</v>
          </cell>
          <cell r="F94">
            <v>9.3</v>
          </cell>
          <cell r="G94">
            <v>4.09</v>
          </cell>
          <cell r="H94">
            <v>8.25</v>
          </cell>
          <cell r="I94">
            <v>226</v>
          </cell>
          <cell r="J94">
            <v>375</v>
          </cell>
          <cell r="K94">
            <v>0.2725</v>
          </cell>
          <cell r="L94">
            <v>115.9</v>
          </cell>
          <cell r="M94">
            <v>1770</v>
          </cell>
          <cell r="N94">
            <v>0.274670570086443</v>
          </cell>
          <cell r="O94">
            <v>0</v>
          </cell>
          <cell r="P94">
            <v>15.0676427018849</v>
          </cell>
          <cell r="Q94">
            <v>4.7916666665</v>
          </cell>
        </row>
        <row r="95">
          <cell r="A95">
            <v>237</v>
          </cell>
          <cell r="B95" t="str">
            <v>Oil, soybean</v>
          </cell>
          <cell r="C95">
            <v>236</v>
          </cell>
          <cell r="D95">
            <v>900</v>
          </cell>
          <cell r="E95">
            <v>0</v>
          </cell>
          <cell r="F95">
            <v>0</v>
          </cell>
          <cell r="G95">
            <v>0.01</v>
          </cell>
          <cell r="H95">
            <v>0.05</v>
          </cell>
          <cell r="I95">
            <v>0</v>
          </cell>
          <cell r="J95">
            <v>0</v>
          </cell>
          <cell r="K95">
            <v>0</v>
          </cell>
          <cell r="L95">
            <v>0.2</v>
          </cell>
          <cell r="M95">
            <v>0</v>
          </cell>
          <cell r="N95">
            <v>8.18</v>
          </cell>
          <cell r="O95">
            <v>0</v>
          </cell>
          <cell r="P95">
            <v>183.9</v>
          </cell>
          <cell r="Q95">
            <v>0</v>
          </cell>
        </row>
        <row r="96">
          <cell r="A96">
            <v>238</v>
          </cell>
          <cell r="B96" t="str">
            <v>Cake, soybeans</v>
          </cell>
          <cell r="C96">
            <v>236</v>
          </cell>
          <cell r="D96">
            <v>339</v>
          </cell>
          <cell r="E96">
            <v>44.95</v>
          </cell>
          <cell r="F96">
            <v>0</v>
          </cell>
          <cell r="G96">
            <v>5.06</v>
          </cell>
          <cell r="H96">
            <v>13.7</v>
          </cell>
          <cell r="I96">
            <v>244</v>
          </cell>
          <cell r="J96">
            <v>303</v>
          </cell>
          <cell r="K96">
            <v>0.251</v>
          </cell>
          <cell r="L96">
            <v>0</v>
          </cell>
          <cell r="M96">
            <v>2490</v>
          </cell>
          <cell r="N96">
            <v>0</v>
          </cell>
          <cell r="O96">
            <v>0</v>
          </cell>
          <cell r="P96">
            <v>0</v>
          </cell>
          <cell r="Q96">
            <v>2</v>
          </cell>
        </row>
        <row r="97">
          <cell r="A97">
            <v>239</v>
          </cell>
          <cell r="B97" t="str">
            <v>Soya sauce</v>
          </cell>
          <cell r="C97">
            <v>236</v>
          </cell>
          <cell r="D97">
            <v>60</v>
          </cell>
          <cell r="E97">
            <v>10.51</v>
          </cell>
          <cell r="F97">
            <v>0.8</v>
          </cell>
          <cell r="G97">
            <v>0.43</v>
          </cell>
          <cell r="H97">
            <v>2.38</v>
          </cell>
          <cell r="I97">
            <v>20</v>
          </cell>
          <cell r="J97">
            <v>18</v>
          </cell>
          <cell r="K97">
            <v>0.152</v>
          </cell>
          <cell r="L97">
            <v>38.4</v>
          </cell>
          <cell r="M97">
            <v>212</v>
          </cell>
          <cell r="N97">
            <v>0</v>
          </cell>
          <cell r="O97">
            <v>0</v>
          </cell>
          <cell r="P97">
            <v>0</v>
          </cell>
          <cell r="Q97">
            <v>0</v>
          </cell>
        </row>
        <row r="98">
          <cell r="A98">
            <v>240</v>
          </cell>
          <cell r="B98" t="str">
            <v>Soya paste</v>
          </cell>
          <cell r="C98">
            <v>236</v>
          </cell>
          <cell r="D98">
            <v>441</v>
          </cell>
          <cell r="E98">
            <v>34.8</v>
          </cell>
          <cell r="F98">
            <v>9.7</v>
          </cell>
          <cell r="G98">
            <v>3.58</v>
          </cell>
          <cell r="H98">
            <v>5.82</v>
          </cell>
          <cell r="I98">
            <v>188</v>
          </cell>
          <cell r="J98">
            <v>227</v>
          </cell>
          <cell r="K98">
            <v>0.941</v>
          </cell>
          <cell r="L98">
            <v>0</v>
          </cell>
          <cell r="M98">
            <v>2041</v>
          </cell>
          <cell r="N98">
            <v>1.98</v>
          </cell>
          <cell r="O98">
            <v>0</v>
          </cell>
          <cell r="P98">
            <v>71</v>
          </cell>
          <cell r="Q98">
            <v>6</v>
          </cell>
        </row>
        <row r="99">
          <cell r="A99">
            <v>242</v>
          </cell>
          <cell r="B99" t="str">
            <v>Groundnuts, with shell</v>
          </cell>
          <cell r="C99">
            <v>242</v>
          </cell>
          <cell r="D99">
            <v>567</v>
          </cell>
          <cell r="E99">
            <v>24.1</v>
          </cell>
          <cell r="F99">
            <v>8.476981079</v>
          </cell>
          <cell r="G99">
            <v>2.52</v>
          </cell>
          <cell r="H99">
            <v>3.725</v>
          </cell>
          <cell r="I99">
            <v>55</v>
          </cell>
          <cell r="J99">
            <v>110</v>
          </cell>
          <cell r="K99">
            <v>0.136</v>
          </cell>
          <cell r="L99">
            <v>138.25</v>
          </cell>
          <cell r="M99">
            <v>720.1574649</v>
          </cell>
          <cell r="N99">
            <v>8.33</v>
          </cell>
          <cell r="O99">
            <v>0</v>
          </cell>
          <cell r="P99">
            <v>0</v>
          </cell>
          <cell r="Q99">
            <v>0</v>
          </cell>
        </row>
        <row r="100">
          <cell r="A100">
            <v>243</v>
          </cell>
          <cell r="B100" t="str">
            <v>Groundnuts, shelled</v>
          </cell>
          <cell r="C100">
            <v>242</v>
          </cell>
          <cell r="D100">
            <v>567</v>
          </cell>
          <cell r="E100">
            <v>24.1</v>
          </cell>
          <cell r="F100">
            <v>8.476981079</v>
          </cell>
          <cell r="G100">
            <v>2.52</v>
          </cell>
          <cell r="H100">
            <v>3.725</v>
          </cell>
          <cell r="I100">
            <v>55</v>
          </cell>
          <cell r="J100">
            <v>110</v>
          </cell>
          <cell r="K100">
            <v>0.136</v>
          </cell>
          <cell r="L100">
            <v>138.25</v>
          </cell>
          <cell r="M100">
            <v>720.1574649</v>
          </cell>
          <cell r="N100">
            <v>8.33</v>
          </cell>
          <cell r="O100">
            <v>0</v>
          </cell>
          <cell r="P100">
            <v>0</v>
          </cell>
          <cell r="Q100">
            <v>0</v>
          </cell>
        </row>
        <row r="101">
          <cell r="A101">
            <v>244</v>
          </cell>
          <cell r="B101" t="str">
            <v>Oil, groundnut</v>
          </cell>
          <cell r="C101">
            <v>242</v>
          </cell>
          <cell r="D101">
            <v>900</v>
          </cell>
          <cell r="E101">
            <v>0</v>
          </cell>
          <cell r="F101">
            <v>0</v>
          </cell>
          <cell r="G101">
            <v>0.005</v>
          </cell>
          <cell r="H101">
            <v>0.03</v>
          </cell>
          <cell r="I101">
            <v>0</v>
          </cell>
          <cell r="J101">
            <v>0</v>
          </cell>
          <cell r="K101">
            <v>0</v>
          </cell>
          <cell r="L101">
            <v>0.1</v>
          </cell>
          <cell r="M101">
            <v>0</v>
          </cell>
          <cell r="N101">
            <v>15.69</v>
          </cell>
          <cell r="O101">
            <v>0</v>
          </cell>
          <cell r="P101">
            <v>0.7</v>
          </cell>
          <cell r="Q101">
            <v>0</v>
          </cell>
        </row>
        <row r="102">
          <cell r="A102">
            <v>245</v>
          </cell>
          <cell r="B102" t="str">
            <v>Cake, groundnuts</v>
          </cell>
          <cell r="C102">
            <v>242</v>
          </cell>
          <cell r="D102">
            <v>599</v>
          </cell>
          <cell r="E102">
            <v>28.03</v>
          </cell>
          <cell r="F102">
            <v>9.4</v>
          </cell>
          <cell r="G102">
            <v>3.28</v>
          </cell>
          <cell r="H102">
            <v>1.52</v>
          </cell>
          <cell r="I102">
            <v>61</v>
          </cell>
          <cell r="J102">
            <v>120</v>
          </cell>
          <cell r="K102">
            <v>0.089</v>
          </cell>
          <cell r="L102">
            <v>55.3</v>
          </cell>
          <cell r="M102">
            <v>726</v>
          </cell>
          <cell r="N102">
            <v>6.94</v>
          </cell>
          <cell r="O102">
            <v>0</v>
          </cell>
          <cell r="P102">
            <v>0</v>
          </cell>
          <cell r="Q102">
            <v>0</v>
          </cell>
        </row>
        <row r="103">
          <cell r="A103">
            <v>247</v>
          </cell>
          <cell r="B103" t="str">
            <v>Peanut butter</v>
          </cell>
          <cell r="C103">
            <v>242</v>
          </cell>
          <cell r="D103">
            <v>598</v>
          </cell>
          <cell r="E103">
            <v>22.21</v>
          </cell>
          <cell r="F103">
            <v>5</v>
          </cell>
          <cell r="G103">
            <v>2.51</v>
          </cell>
          <cell r="H103">
            <v>1.74</v>
          </cell>
          <cell r="I103">
            <v>49</v>
          </cell>
          <cell r="J103">
            <v>87</v>
          </cell>
          <cell r="K103">
            <v>0.192</v>
          </cell>
          <cell r="L103">
            <v>63</v>
          </cell>
          <cell r="M103">
            <v>558</v>
          </cell>
          <cell r="N103">
            <v>9.1</v>
          </cell>
          <cell r="O103">
            <v>0</v>
          </cell>
          <cell r="P103">
            <v>0.3</v>
          </cell>
          <cell r="Q103">
            <v>0</v>
          </cell>
        </row>
        <row r="104">
          <cell r="A104">
            <v>249</v>
          </cell>
          <cell r="B104" t="str">
            <v>Coconuts</v>
          </cell>
          <cell r="C104">
            <v>249</v>
          </cell>
          <cell r="D104">
            <v>358</v>
          </cell>
          <cell r="E104">
            <v>3.5</v>
          </cell>
          <cell r="F104">
            <v>6.55</v>
          </cell>
          <cell r="G104">
            <v>0.92</v>
          </cell>
          <cell r="H104">
            <v>2.427272727</v>
          </cell>
          <cell r="I104">
            <v>16.72727273</v>
          </cell>
          <cell r="J104">
            <v>19.25</v>
          </cell>
          <cell r="K104">
            <v>0.022</v>
          </cell>
          <cell r="L104">
            <v>12.1</v>
          </cell>
          <cell r="M104">
            <v>318.5</v>
          </cell>
          <cell r="N104">
            <v>0.24</v>
          </cell>
          <cell r="O104">
            <v>0</v>
          </cell>
          <cell r="P104">
            <v>0.2</v>
          </cell>
          <cell r="Q104">
            <v>0</v>
          </cell>
        </row>
        <row r="105">
          <cell r="A105">
            <v>250</v>
          </cell>
          <cell r="B105" t="str">
            <v>Coconuts, desiccated</v>
          </cell>
          <cell r="C105">
            <v>249</v>
          </cell>
          <cell r="D105">
            <v>684</v>
          </cell>
          <cell r="E105">
            <v>5.3</v>
          </cell>
          <cell r="F105">
            <v>0</v>
          </cell>
          <cell r="G105">
            <v>2.04</v>
          </cell>
          <cell r="H105">
            <v>3.36</v>
          </cell>
          <cell r="I105">
            <v>26</v>
          </cell>
          <cell r="J105">
            <v>9</v>
          </cell>
          <cell r="K105">
            <v>0.101</v>
          </cell>
          <cell r="L105">
            <v>0</v>
          </cell>
          <cell r="M105">
            <v>551</v>
          </cell>
          <cell r="N105">
            <v>0</v>
          </cell>
          <cell r="O105">
            <v>0</v>
          </cell>
          <cell r="P105">
            <v>0</v>
          </cell>
          <cell r="Q105">
            <v>0</v>
          </cell>
        </row>
        <row r="106">
          <cell r="A106">
            <v>251</v>
          </cell>
          <cell r="B106" t="str">
            <v>Copra</v>
          </cell>
          <cell r="C106">
            <v>249</v>
          </cell>
          <cell r="D106">
            <v>358</v>
          </cell>
          <cell r="E106">
            <v>3.5</v>
          </cell>
          <cell r="F106">
            <v>6.55</v>
          </cell>
          <cell r="G106">
            <v>0.92</v>
          </cell>
          <cell r="H106">
            <v>2.427272727</v>
          </cell>
          <cell r="I106">
            <v>16.72727273</v>
          </cell>
          <cell r="J106">
            <v>19.25</v>
          </cell>
          <cell r="K106">
            <v>0.022</v>
          </cell>
          <cell r="L106">
            <v>12.1</v>
          </cell>
          <cell r="M106">
            <v>318.5</v>
          </cell>
          <cell r="N106">
            <v>0.24</v>
          </cell>
          <cell r="O106">
            <v>0</v>
          </cell>
          <cell r="P106">
            <v>0.2</v>
          </cell>
          <cell r="Q106">
            <v>0</v>
          </cell>
        </row>
        <row r="107">
          <cell r="A107">
            <v>252</v>
          </cell>
          <cell r="B107" t="str">
            <v>Oil, coconut (copra)</v>
          </cell>
          <cell r="C107">
            <v>249</v>
          </cell>
          <cell r="D107">
            <v>899.5</v>
          </cell>
          <cell r="E107">
            <v>0</v>
          </cell>
          <cell r="F107">
            <v>0</v>
          </cell>
          <cell r="G107">
            <v>0</v>
          </cell>
          <cell r="H107">
            <v>0.04</v>
          </cell>
          <cell r="I107">
            <v>0</v>
          </cell>
          <cell r="J107">
            <v>0</v>
          </cell>
          <cell r="K107">
            <v>0</v>
          </cell>
          <cell r="L107">
            <v>0.3</v>
          </cell>
          <cell r="M107">
            <v>0</v>
          </cell>
          <cell r="N107">
            <v>0.09</v>
          </cell>
          <cell r="O107">
            <v>0</v>
          </cell>
          <cell r="P107">
            <v>0.5</v>
          </cell>
          <cell r="Q107">
            <v>0</v>
          </cell>
        </row>
        <row r="108">
          <cell r="A108">
            <v>253</v>
          </cell>
          <cell r="B108" t="str">
            <v>Cake, copra</v>
          </cell>
          <cell r="C108">
            <v>249</v>
          </cell>
          <cell r="D108">
            <v>660</v>
          </cell>
          <cell r="E108">
            <v>6.88</v>
          </cell>
          <cell r="F108">
            <v>16.3</v>
          </cell>
          <cell r="G108">
            <v>2.01</v>
          </cell>
          <cell r="H108">
            <v>3.32</v>
          </cell>
          <cell r="I108">
            <v>26</v>
          </cell>
          <cell r="J108">
            <v>9</v>
          </cell>
          <cell r="K108">
            <v>0.1</v>
          </cell>
          <cell r="L108">
            <v>22.1</v>
          </cell>
          <cell r="M108">
            <v>543</v>
          </cell>
          <cell r="N108">
            <v>0.44</v>
          </cell>
          <cell r="O108">
            <v>0</v>
          </cell>
          <cell r="P108">
            <v>0.3</v>
          </cell>
          <cell r="Q108">
            <v>0</v>
          </cell>
        </row>
        <row r="109">
          <cell r="A109">
            <v>254</v>
          </cell>
          <cell r="B109" t="str">
            <v>Oil, palm fruit</v>
          </cell>
          <cell r="C109">
            <v>254</v>
          </cell>
          <cell r="D109">
            <v>900</v>
          </cell>
          <cell r="E109">
            <v>0</v>
          </cell>
          <cell r="F109">
            <v>0</v>
          </cell>
          <cell r="G109">
            <v>0</v>
          </cell>
          <cell r="H109">
            <v>0.01</v>
          </cell>
          <cell r="I109">
            <v>0</v>
          </cell>
          <cell r="J109">
            <v>0</v>
          </cell>
          <cell r="K109">
            <v>0</v>
          </cell>
          <cell r="L109">
            <v>0.3</v>
          </cell>
          <cell r="M109">
            <v>0</v>
          </cell>
          <cell r="N109">
            <v>15.94</v>
          </cell>
          <cell r="O109">
            <v>0</v>
          </cell>
          <cell r="P109">
            <v>8</v>
          </cell>
          <cell r="Q109">
            <v>6010</v>
          </cell>
        </row>
        <row r="110">
          <cell r="A110">
            <v>256</v>
          </cell>
          <cell r="B110" t="str">
            <v>Palm kernels</v>
          </cell>
          <cell r="C110">
            <v>254</v>
          </cell>
          <cell r="D110">
            <v>609</v>
          </cell>
          <cell r="E110">
            <v>6.1</v>
          </cell>
          <cell r="F110">
            <v>0</v>
          </cell>
          <cell r="G110">
            <v>2.3738</v>
          </cell>
          <cell r="H110">
            <v>9</v>
          </cell>
          <cell r="I110">
            <v>91</v>
          </cell>
          <cell r="J110">
            <v>0</v>
          </cell>
          <cell r="K110">
            <v>0</v>
          </cell>
          <cell r="L110">
            <v>0</v>
          </cell>
          <cell r="M110">
            <v>270.4345</v>
          </cell>
          <cell r="N110">
            <v>15.94</v>
          </cell>
          <cell r="O110">
            <v>0</v>
          </cell>
          <cell r="P110">
            <v>8</v>
          </cell>
          <cell r="Q110">
            <v>0</v>
          </cell>
        </row>
        <row r="111">
          <cell r="A111">
            <v>257</v>
          </cell>
          <cell r="B111" t="str">
            <v>Oil, palm</v>
          </cell>
          <cell r="C111">
            <v>254</v>
          </cell>
          <cell r="D111">
            <v>900</v>
          </cell>
          <cell r="E111">
            <v>0</v>
          </cell>
          <cell r="F111">
            <v>0</v>
          </cell>
          <cell r="G111">
            <v>0</v>
          </cell>
          <cell r="H111">
            <v>0.01</v>
          </cell>
          <cell r="I111">
            <v>0</v>
          </cell>
          <cell r="J111">
            <v>0</v>
          </cell>
          <cell r="K111">
            <v>0</v>
          </cell>
          <cell r="L111">
            <v>0.3</v>
          </cell>
          <cell r="M111">
            <v>0</v>
          </cell>
          <cell r="N111">
            <v>15.94</v>
          </cell>
          <cell r="O111">
            <v>0</v>
          </cell>
          <cell r="P111">
            <v>8</v>
          </cell>
          <cell r="Q111">
            <v>6010</v>
          </cell>
        </row>
        <row r="112">
          <cell r="A112">
            <v>258</v>
          </cell>
          <cell r="B112" t="str">
            <v>Oil, palm kernel</v>
          </cell>
          <cell r="C112">
            <v>254</v>
          </cell>
          <cell r="D112">
            <v>881</v>
          </cell>
          <cell r="E112">
            <v>0</v>
          </cell>
          <cell r="F112">
            <v>0</v>
          </cell>
          <cell r="G112">
            <v>0</v>
          </cell>
          <cell r="H112">
            <v>0</v>
          </cell>
          <cell r="I112">
            <v>0</v>
          </cell>
          <cell r="J112">
            <v>0</v>
          </cell>
          <cell r="K112">
            <v>0</v>
          </cell>
          <cell r="L112">
            <v>0.2</v>
          </cell>
          <cell r="M112">
            <v>0</v>
          </cell>
          <cell r="N112">
            <v>3.81</v>
          </cell>
          <cell r="O112">
            <v>0</v>
          </cell>
          <cell r="P112">
            <v>24.7</v>
          </cell>
          <cell r="Q112">
            <v>0</v>
          </cell>
        </row>
        <row r="113">
          <cell r="A113">
            <v>259</v>
          </cell>
          <cell r="B113" t="str">
            <v>Cake, palm kernel</v>
          </cell>
          <cell r="C113">
            <v>254</v>
          </cell>
          <cell r="D113">
            <v>862</v>
          </cell>
          <cell r="E113">
            <v>0</v>
          </cell>
          <cell r="F113">
            <v>0</v>
          </cell>
          <cell r="G113">
            <v>0</v>
          </cell>
          <cell r="H113">
            <v>0</v>
          </cell>
          <cell r="I113">
            <v>0</v>
          </cell>
          <cell r="J113">
            <v>0</v>
          </cell>
          <cell r="K113">
            <v>0</v>
          </cell>
          <cell r="L113">
            <v>0.2</v>
          </cell>
          <cell r="M113">
            <v>0</v>
          </cell>
          <cell r="N113">
            <v>3.81</v>
          </cell>
          <cell r="O113">
            <v>0</v>
          </cell>
          <cell r="P113">
            <v>24.7</v>
          </cell>
          <cell r="Q113">
            <v>0</v>
          </cell>
        </row>
        <row r="114">
          <cell r="A114">
            <v>260</v>
          </cell>
          <cell r="B114" t="str">
            <v>Olives</v>
          </cell>
          <cell r="C114">
            <v>260</v>
          </cell>
          <cell r="D114">
            <v>98</v>
          </cell>
          <cell r="E114">
            <v>0.905</v>
          </cell>
          <cell r="F114">
            <v>2.85</v>
          </cell>
          <cell r="G114">
            <v>0.22</v>
          </cell>
          <cell r="H114">
            <v>2.85</v>
          </cell>
          <cell r="I114">
            <v>87</v>
          </cell>
          <cell r="J114">
            <v>0</v>
          </cell>
          <cell r="K114">
            <v>0.005</v>
          </cell>
          <cell r="L114">
            <v>8.45</v>
          </cell>
          <cell r="M114">
            <v>8.5</v>
          </cell>
          <cell r="N114">
            <v>3.37587649338238</v>
          </cell>
          <cell r="O114">
            <v>0</v>
          </cell>
          <cell r="P114">
            <v>1.4</v>
          </cell>
          <cell r="Q114">
            <v>20</v>
          </cell>
        </row>
        <row r="115">
          <cell r="A115">
            <v>261</v>
          </cell>
          <cell r="B115" t="str">
            <v>Oil, olive, virgin</v>
          </cell>
          <cell r="C115">
            <v>260</v>
          </cell>
          <cell r="D115">
            <v>900</v>
          </cell>
          <cell r="E115">
            <v>0</v>
          </cell>
          <cell r="F115">
            <v>0</v>
          </cell>
          <cell r="G115">
            <v>0</v>
          </cell>
          <cell r="H115">
            <v>0.4</v>
          </cell>
          <cell r="I115">
            <v>1</v>
          </cell>
          <cell r="J115">
            <v>0</v>
          </cell>
          <cell r="K115">
            <v>0</v>
          </cell>
          <cell r="L115">
            <v>0.3</v>
          </cell>
          <cell r="M115">
            <v>1</v>
          </cell>
          <cell r="N115">
            <v>14.35</v>
          </cell>
          <cell r="O115">
            <v>0</v>
          </cell>
          <cell r="P115">
            <v>60.2000000000001</v>
          </cell>
          <cell r="Q115">
            <v>0</v>
          </cell>
        </row>
        <row r="116">
          <cell r="A116">
            <v>262</v>
          </cell>
          <cell r="B116" t="str">
            <v>Olives preserved</v>
          </cell>
          <cell r="C116">
            <v>260</v>
          </cell>
          <cell r="D116">
            <v>98</v>
          </cell>
          <cell r="E116">
            <v>0.905</v>
          </cell>
          <cell r="F116">
            <v>2.85</v>
          </cell>
          <cell r="G116">
            <v>0.22</v>
          </cell>
          <cell r="H116">
            <v>2.85</v>
          </cell>
          <cell r="I116">
            <v>87</v>
          </cell>
          <cell r="J116">
            <v>0</v>
          </cell>
          <cell r="K116">
            <v>0.005</v>
          </cell>
          <cell r="L116">
            <v>8.45</v>
          </cell>
          <cell r="M116">
            <v>8.5</v>
          </cell>
          <cell r="N116">
            <v>3.37587649338238</v>
          </cell>
          <cell r="O116">
            <v>0</v>
          </cell>
          <cell r="P116">
            <v>1.4</v>
          </cell>
          <cell r="Q116">
            <v>20</v>
          </cell>
        </row>
        <row r="117">
          <cell r="A117">
            <v>263</v>
          </cell>
          <cell r="B117" t="str">
            <v>Karite nuts (sheanuts)</v>
          </cell>
          <cell r="C117">
            <v>263</v>
          </cell>
          <cell r="D117">
            <v>884</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A118">
            <v>264</v>
          </cell>
          <cell r="B118" t="str">
            <v>Butter of karite nuts</v>
          </cell>
          <cell r="C118">
            <v>263</v>
          </cell>
          <cell r="D118">
            <v>884</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A119">
            <v>265</v>
          </cell>
          <cell r="B119" t="str">
            <v>Castor oil seed</v>
          </cell>
          <cell r="C119">
            <v>265</v>
          </cell>
          <cell r="D119">
            <v>884</v>
          </cell>
          <cell r="E119">
            <v>0</v>
          </cell>
          <cell r="F119">
            <v>0</v>
          </cell>
          <cell r="G119">
            <v>0</v>
          </cell>
          <cell r="H119">
            <v>0</v>
          </cell>
          <cell r="I119">
            <v>0</v>
          </cell>
          <cell r="J119">
            <v>0</v>
          </cell>
          <cell r="K119">
            <v>0</v>
          </cell>
          <cell r="L119">
            <v>0</v>
          </cell>
          <cell r="M119">
            <v>0</v>
          </cell>
          <cell r="N119">
            <v>0</v>
          </cell>
          <cell r="O119">
            <v>0</v>
          </cell>
          <cell r="P119">
            <v>0</v>
          </cell>
          <cell r="Q119">
            <v>0</v>
          </cell>
        </row>
        <row r="120">
          <cell r="A120">
            <v>266</v>
          </cell>
          <cell r="B120" t="str">
            <v>Oil, castor beans</v>
          </cell>
          <cell r="C120">
            <v>265</v>
          </cell>
          <cell r="D120">
            <v>884</v>
          </cell>
          <cell r="E120">
            <v>0</v>
          </cell>
          <cell r="F120">
            <v>0</v>
          </cell>
          <cell r="G120">
            <v>0</v>
          </cell>
          <cell r="H120">
            <v>0</v>
          </cell>
          <cell r="I120">
            <v>0</v>
          </cell>
          <cell r="J120">
            <v>0</v>
          </cell>
          <cell r="K120">
            <v>0</v>
          </cell>
          <cell r="L120">
            <v>0</v>
          </cell>
          <cell r="M120">
            <v>0</v>
          </cell>
          <cell r="N120">
            <v>0</v>
          </cell>
          <cell r="O120">
            <v>0</v>
          </cell>
          <cell r="P120">
            <v>0</v>
          </cell>
          <cell r="Q120">
            <v>0</v>
          </cell>
        </row>
        <row r="121">
          <cell r="A121">
            <v>267</v>
          </cell>
          <cell r="B121" t="str">
            <v>Sunflower seed</v>
          </cell>
          <cell r="C121">
            <v>267</v>
          </cell>
          <cell r="D121">
            <v>584</v>
          </cell>
          <cell r="E121">
            <v>19.55</v>
          </cell>
          <cell r="F121">
            <v>8.6</v>
          </cell>
          <cell r="G121">
            <v>2.75</v>
          </cell>
          <cell r="H121">
            <v>5.125</v>
          </cell>
          <cell r="I121">
            <v>110</v>
          </cell>
          <cell r="J121">
            <v>227</v>
          </cell>
          <cell r="K121">
            <v>0.195</v>
          </cell>
          <cell r="L121">
            <v>55.1</v>
          </cell>
          <cell r="M121">
            <v>782.5</v>
          </cell>
          <cell r="N121">
            <v>35.17</v>
          </cell>
          <cell r="O121">
            <v>0</v>
          </cell>
          <cell r="P121">
            <v>0</v>
          </cell>
          <cell r="Q121">
            <v>4</v>
          </cell>
        </row>
        <row r="122">
          <cell r="A122">
            <v>268</v>
          </cell>
          <cell r="B122" t="str">
            <v>Oil, sunflower</v>
          </cell>
          <cell r="C122">
            <v>267</v>
          </cell>
          <cell r="D122">
            <v>900</v>
          </cell>
          <cell r="E122">
            <v>0</v>
          </cell>
          <cell r="F122">
            <v>0</v>
          </cell>
          <cell r="G122">
            <v>0</v>
          </cell>
          <cell r="H122">
            <v>0.03</v>
          </cell>
          <cell r="I122">
            <v>0</v>
          </cell>
          <cell r="J122">
            <v>0</v>
          </cell>
          <cell r="K122">
            <v>0</v>
          </cell>
          <cell r="L122">
            <v>0</v>
          </cell>
          <cell r="M122">
            <v>0</v>
          </cell>
          <cell r="N122">
            <v>41.08</v>
          </cell>
          <cell r="O122">
            <v>0</v>
          </cell>
          <cell r="P122">
            <v>5.4</v>
          </cell>
          <cell r="Q122">
            <v>0</v>
          </cell>
        </row>
        <row r="123">
          <cell r="A123">
            <v>269</v>
          </cell>
          <cell r="B123" t="str">
            <v>Cake, sunflower</v>
          </cell>
          <cell r="C123">
            <v>267</v>
          </cell>
          <cell r="D123">
            <v>884</v>
          </cell>
          <cell r="E123">
            <v>0</v>
          </cell>
          <cell r="F123">
            <v>0</v>
          </cell>
          <cell r="G123">
            <v>0</v>
          </cell>
          <cell r="H123">
            <v>0.03</v>
          </cell>
          <cell r="I123">
            <v>0</v>
          </cell>
          <cell r="J123">
            <v>0</v>
          </cell>
          <cell r="K123">
            <v>0</v>
          </cell>
          <cell r="L123">
            <v>0</v>
          </cell>
          <cell r="M123">
            <v>0</v>
          </cell>
          <cell r="N123">
            <v>41.08</v>
          </cell>
          <cell r="O123">
            <v>0</v>
          </cell>
          <cell r="P123">
            <v>5.4</v>
          </cell>
          <cell r="Q123">
            <v>0</v>
          </cell>
        </row>
        <row r="124">
          <cell r="A124">
            <v>270</v>
          </cell>
          <cell r="B124" t="str">
            <v>Rapeseed</v>
          </cell>
          <cell r="C124">
            <v>270</v>
          </cell>
          <cell r="D124">
            <v>524.5</v>
          </cell>
          <cell r="E124">
            <v>23.04</v>
          </cell>
          <cell r="F124">
            <v>7.1</v>
          </cell>
          <cell r="G124">
            <v>5.54</v>
          </cell>
          <cell r="H124">
            <v>8.605</v>
          </cell>
          <cell r="I124">
            <v>378</v>
          </cell>
          <cell r="J124">
            <v>162</v>
          </cell>
          <cell r="K124">
            <v>0.1305</v>
          </cell>
          <cell r="L124">
            <v>166.85</v>
          </cell>
          <cell r="M124">
            <v>738</v>
          </cell>
          <cell r="N124">
            <v>0</v>
          </cell>
          <cell r="O124">
            <v>0</v>
          </cell>
          <cell r="P124">
            <v>0</v>
          </cell>
          <cell r="Q124">
            <v>2</v>
          </cell>
        </row>
        <row r="125">
          <cell r="A125">
            <v>271</v>
          </cell>
          <cell r="B125" t="str">
            <v>Oil, rapeseed</v>
          </cell>
          <cell r="C125">
            <v>270</v>
          </cell>
          <cell r="D125">
            <v>900</v>
          </cell>
          <cell r="E125">
            <v>0</v>
          </cell>
          <cell r="F125">
            <v>0</v>
          </cell>
          <cell r="G125">
            <v>0</v>
          </cell>
          <cell r="H125">
            <v>0</v>
          </cell>
          <cell r="I125">
            <v>0</v>
          </cell>
          <cell r="J125">
            <v>0</v>
          </cell>
          <cell r="K125">
            <v>0</v>
          </cell>
          <cell r="L125">
            <v>0.2</v>
          </cell>
          <cell r="M125">
            <v>0</v>
          </cell>
          <cell r="N125">
            <v>0</v>
          </cell>
          <cell r="O125">
            <v>0</v>
          </cell>
          <cell r="P125">
            <v>0</v>
          </cell>
          <cell r="Q125">
            <v>0</v>
          </cell>
        </row>
        <row r="126">
          <cell r="A126">
            <v>272</v>
          </cell>
          <cell r="B126" t="str">
            <v>Cake, rapeseed</v>
          </cell>
          <cell r="C126">
            <v>270</v>
          </cell>
          <cell r="D126">
            <v>884</v>
          </cell>
          <cell r="E126">
            <v>0</v>
          </cell>
          <cell r="F126">
            <v>0</v>
          </cell>
          <cell r="G126">
            <v>0</v>
          </cell>
          <cell r="H126">
            <v>0</v>
          </cell>
          <cell r="I126">
            <v>0</v>
          </cell>
          <cell r="J126">
            <v>0</v>
          </cell>
          <cell r="K126">
            <v>0</v>
          </cell>
          <cell r="L126">
            <v>0</v>
          </cell>
          <cell r="M126">
            <v>0</v>
          </cell>
          <cell r="N126">
            <v>0</v>
          </cell>
          <cell r="O126">
            <v>0</v>
          </cell>
          <cell r="P126">
            <v>0</v>
          </cell>
          <cell r="Q126">
            <v>0</v>
          </cell>
        </row>
        <row r="127">
          <cell r="A127">
            <v>274</v>
          </cell>
          <cell r="B127" t="str">
            <v>Oil, olive residues</v>
          </cell>
          <cell r="C127">
            <v>260</v>
          </cell>
          <cell r="D127">
            <v>884</v>
          </cell>
          <cell r="E127">
            <v>0</v>
          </cell>
          <cell r="F127">
            <v>0</v>
          </cell>
          <cell r="G127">
            <v>0</v>
          </cell>
          <cell r="H127">
            <v>0.56</v>
          </cell>
          <cell r="I127">
            <v>1</v>
          </cell>
          <cell r="J127">
            <v>0</v>
          </cell>
          <cell r="K127">
            <v>0</v>
          </cell>
          <cell r="L127">
            <v>0.3</v>
          </cell>
          <cell r="M127">
            <v>1</v>
          </cell>
          <cell r="N127">
            <v>14.35</v>
          </cell>
          <cell r="O127">
            <v>0</v>
          </cell>
          <cell r="P127">
            <v>60.2</v>
          </cell>
          <cell r="Q127">
            <v>0</v>
          </cell>
        </row>
        <row r="128">
          <cell r="A128">
            <v>280</v>
          </cell>
          <cell r="B128" t="str">
            <v>Safflower seed</v>
          </cell>
          <cell r="C128">
            <v>280</v>
          </cell>
          <cell r="D128">
            <v>517</v>
          </cell>
          <cell r="E128">
            <v>16.18</v>
          </cell>
          <cell r="F128">
            <v>0</v>
          </cell>
          <cell r="G128">
            <v>5.05</v>
          </cell>
          <cell r="H128">
            <v>4.9</v>
          </cell>
          <cell r="I128">
            <v>78</v>
          </cell>
          <cell r="J128">
            <v>160</v>
          </cell>
          <cell r="K128">
            <v>0.415</v>
          </cell>
          <cell r="L128">
            <v>0</v>
          </cell>
          <cell r="M128">
            <v>687</v>
          </cell>
          <cell r="N128">
            <v>0</v>
          </cell>
          <cell r="O128">
            <v>0</v>
          </cell>
          <cell r="P128">
            <v>0</v>
          </cell>
          <cell r="Q128">
            <v>3</v>
          </cell>
        </row>
        <row r="129">
          <cell r="A129">
            <v>281</v>
          </cell>
          <cell r="B129" t="str">
            <v>Oil, safflower</v>
          </cell>
          <cell r="C129">
            <v>280</v>
          </cell>
          <cell r="D129">
            <v>884</v>
          </cell>
          <cell r="E129">
            <v>0</v>
          </cell>
          <cell r="F129">
            <v>0</v>
          </cell>
          <cell r="G129">
            <v>0</v>
          </cell>
          <cell r="H129">
            <v>0</v>
          </cell>
          <cell r="I129">
            <v>0</v>
          </cell>
          <cell r="J129">
            <v>0</v>
          </cell>
          <cell r="K129">
            <v>0</v>
          </cell>
          <cell r="L129">
            <v>0.2</v>
          </cell>
          <cell r="M129">
            <v>0</v>
          </cell>
          <cell r="N129">
            <v>34.1</v>
          </cell>
          <cell r="O129">
            <v>0</v>
          </cell>
          <cell r="P129">
            <v>7.1</v>
          </cell>
          <cell r="Q129">
            <v>0</v>
          </cell>
        </row>
        <row r="130">
          <cell r="A130">
            <v>282</v>
          </cell>
          <cell r="B130" t="str">
            <v>Cake, safflower</v>
          </cell>
          <cell r="C130">
            <v>280</v>
          </cell>
          <cell r="D130">
            <v>342</v>
          </cell>
          <cell r="E130">
            <v>35.62</v>
          </cell>
          <cell r="F130">
            <v>0</v>
          </cell>
          <cell r="G130">
            <v>5.01</v>
          </cell>
          <cell r="H130">
            <v>4.86</v>
          </cell>
          <cell r="I130">
            <v>77</v>
          </cell>
          <cell r="J130">
            <v>159</v>
          </cell>
          <cell r="K130">
            <v>0.412</v>
          </cell>
          <cell r="L130">
            <v>0</v>
          </cell>
          <cell r="M130">
            <v>68</v>
          </cell>
          <cell r="N130">
            <v>0</v>
          </cell>
          <cell r="O130">
            <v>0</v>
          </cell>
          <cell r="P130">
            <v>0</v>
          </cell>
          <cell r="Q130">
            <v>2</v>
          </cell>
        </row>
        <row r="131">
          <cell r="A131">
            <v>289</v>
          </cell>
          <cell r="B131" t="str">
            <v>Sesame seed</v>
          </cell>
          <cell r="C131">
            <v>289</v>
          </cell>
          <cell r="D131">
            <v>561</v>
          </cell>
          <cell r="E131">
            <v>19.1</v>
          </cell>
          <cell r="F131">
            <v>11.7</v>
          </cell>
          <cell r="G131">
            <v>6.43</v>
          </cell>
          <cell r="H131">
            <v>9.5</v>
          </cell>
          <cell r="I131">
            <v>816</v>
          </cell>
          <cell r="J131">
            <v>115</v>
          </cell>
          <cell r="K131">
            <v>0.25</v>
          </cell>
          <cell r="L131">
            <v>25.6</v>
          </cell>
          <cell r="M131">
            <v>457</v>
          </cell>
          <cell r="N131">
            <v>0.25</v>
          </cell>
          <cell r="O131">
            <v>0</v>
          </cell>
          <cell r="P131">
            <v>0</v>
          </cell>
          <cell r="Q131">
            <v>2.5</v>
          </cell>
        </row>
        <row r="132">
          <cell r="A132">
            <v>290</v>
          </cell>
          <cell r="B132" t="str">
            <v>Oil, sesame</v>
          </cell>
          <cell r="C132">
            <v>289</v>
          </cell>
          <cell r="D132">
            <v>898</v>
          </cell>
          <cell r="E132">
            <v>0</v>
          </cell>
          <cell r="F132">
            <v>0</v>
          </cell>
          <cell r="G132">
            <v>0.085</v>
          </cell>
          <cell r="H132">
            <v>1.1</v>
          </cell>
          <cell r="I132">
            <v>4.5</v>
          </cell>
          <cell r="J132">
            <v>0</v>
          </cell>
          <cell r="K132">
            <v>0</v>
          </cell>
          <cell r="L132">
            <v>0.2</v>
          </cell>
          <cell r="M132">
            <v>0</v>
          </cell>
          <cell r="N132">
            <v>1.4</v>
          </cell>
          <cell r="O132">
            <v>0</v>
          </cell>
          <cell r="P132">
            <v>13.6</v>
          </cell>
          <cell r="Q132">
            <v>0</v>
          </cell>
        </row>
        <row r="133">
          <cell r="A133">
            <v>291</v>
          </cell>
          <cell r="B133" t="str">
            <v>Cake, sesame seed</v>
          </cell>
          <cell r="C133">
            <v>289</v>
          </cell>
          <cell r="D133">
            <v>567</v>
          </cell>
          <cell r="E133">
            <v>16.96</v>
          </cell>
          <cell r="F133">
            <v>0</v>
          </cell>
          <cell r="G133">
            <v>10.23</v>
          </cell>
          <cell r="H133">
            <v>14.55</v>
          </cell>
          <cell r="I133">
            <v>153</v>
          </cell>
          <cell r="J133">
            <v>30</v>
          </cell>
          <cell r="K133">
            <v>0.275</v>
          </cell>
          <cell r="L133">
            <v>0</v>
          </cell>
          <cell r="M133">
            <v>406</v>
          </cell>
          <cell r="N133">
            <v>0</v>
          </cell>
          <cell r="O133">
            <v>0</v>
          </cell>
          <cell r="P133">
            <v>0</v>
          </cell>
          <cell r="Q133">
            <v>3</v>
          </cell>
        </row>
        <row r="134">
          <cell r="A134">
            <v>292</v>
          </cell>
          <cell r="B134" t="str">
            <v>Mustard seed</v>
          </cell>
          <cell r="C134">
            <v>292</v>
          </cell>
          <cell r="D134">
            <v>524.5</v>
          </cell>
          <cell r="E134">
            <v>23.04</v>
          </cell>
          <cell r="F134">
            <v>7.1</v>
          </cell>
          <cell r="G134">
            <v>5.54</v>
          </cell>
          <cell r="H134">
            <v>8.605</v>
          </cell>
          <cell r="I134">
            <v>378</v>
          </cell>
          <cell r="J134">
            <v>162</v>
          </cell>
          <cell r="K134">
            <v>0.1305</v>
          </cell>
          <cell r="L134">
            <v>166.85</v>
          </cell>
          <cell r="M134">
            <v>738</v>
          </cell>
          <cell r="N134">
            <v>0</v>
          </cell>
          <cell r="O134">
            <v>0</v>
          </cell>
          <cell r="P134">
            <v>0</v>
          </cell>
          <cell r="Q134">
            <v>2</v>
          </cell>
        </row>
        <row r="135">
          <cell r="A135">
            <v>294</v>
          </cell>
          <cell r="B135" t="str">
            <v>Cake, mustard</v>
          </cell>
          <cell r="C135">
            <v>292</v>
          </cell>
          <cell r="D135">
            <v>367</v>
          </cell>
          <cell r="E135">
            <v>49.1</v>
          </cell>
          <cell r="F135">
            <v>0</v>
          </cell>
          <cell r="G135">
            <v>12.32</v>
          </cell>
          <cell r="H135">
            <v>13.35</v>
          </cell>
          <cell r="I135">
            <v>504</v>
          </cell>
          <cell r="J135">
            <v>242</v>
          </cell>
          <cell r="K135">
            <v>0.42</v>
          </cell>
          <cell r="L135">
            <v>0</v>
          </cell>
          <cell r="M135">
            <v>1869</v>
          </cell>
          <cell r="N135">
            <v>0</v>
          </cell>
          <cell r="O135">
            <v>0</v>
          </cell>
          <cell r="P135">
            <v>0</v>
          </cell>
          <cell r="Q135">
            <v>23</v>
          </cell>
        </row>
        <row r="136">
          <cell r="A136">
            <v>295</v>
          </cell>
          <cell r="B136" t="str">
            <v>Flour, mustard</v>
          </cell>
          <cell r="C136">
            <v>292</v>
          </cell>
          <cell r="D136">
            <v>884</v>
          </cell>
          <cell r="E136">
            <v>0</v>
          </cell>
          <cell r="F136">
            <v>0</v>
          </cell>
          <cell r="G136">
            <v>0</v>
          </cell>
          <cell r="H136">
            <v>0</v>
          </cell>
          <cell r="I136">
            <v>0</v>
          </cell>
          <cell r="J136">
            <v>0</v>
          </cell>
          <cell r="K136">
            <v>0</v>
          </cell>
          <cell r="L136">
            <v>0</v>
          </cell>
          <cell r="M136">
            <v>0</v>
          </cell>
          <cell r="N136">
            <v>0</v>
          </cell>
          <cell r="O136">
            <v>0</v>
          </cell>
          <cell r="P136">
            <v>0</v>
          </cell>
          <cell r="Q136">
            <v>0</v>
          </cell>
        </row>
        <row r="137">
          <cell r="A137">
            <v>296</v>
          </cell>
          <cell r="B137" t="str">
            <v>Poppy seed</v>
          </cell>
          <cell r="C137">
            <v>296</v>
          </cell>
          <cell r="D137">
            <v>525</v>
          </cell>
          <cell r="E137">
            <v>17.99</v>
          </cell>
          <cell r="F137">
            <v>19.5</v>
          </cell>
          <cell r="G137">
            <v>7.9</v>
          </cell>
          <cell r="H137">
            <v>9.76</v>
          </cell>
          <cell r="I137">
            <v>1438</v>
          </cell>
          <cell r="J137">
            <v>82</v>
          </cell>
          <cell r="K137">
            <v>0.1</v>
          </cell>
          <cell r="L137">
            <v>8.8</v>
          </cell>
          <cell r="M137">
            <v>719</v>
          </cell>
          <cell r="N137">
            <v>1.77</v>
          </cell>
          <cell r="O137">
            <v>0</v>
          </cell>
          <cell r="P137">
            <v>0</v>
          </cell>
          <cell r="Q137">
            <v>0</v>
          </cell>
        </row>
        <row r="138">
          <cell r="A138">
            <v>297</v>
          </cell>
          <cell r="B138" t="str">
            <v>Oil, poppy</v>
          </cell>
          <cell r="C138">
            <v>296</v>
          </cell>
          <cell r="D138">
            <v>884</v>
          </cell>
          <cell r="E138">
            <v>0</v>
          </cell>
          <cell r="F138">
            <v>0</v>
          </cell>
          <cell r="G138">
            <v>0</v>
          </cell>
          <cell r="H138">
            <v>0</v>
          </cell>
          <cell r="I138">
            <v>0</v>
          </cell>
          <cell r="J138">
            <v>0</v>
          </cell>
          <cell r="K138">
            <v>0</v>
          </cell>
          <cell r="L138">
            <v>0</v>
          </cell>
          <cell r="M138">
            <v>0</v>
          </cell>
          <cell r="N138">
            <v>11.4</v>
          </cell>
          <cell r="O138">
            <v>0</v>
          </cell>
          <cell r="P138">
            <v>0</v>
          </cell>
          <cell r="Q138">
            <v>0</v>
          </cell>
        </row>
        <row r="139">
          <cell r="A139">
            <v>311</v>
          </cell>
          <cell r="B139" t="str">
            <v>Kapokseed in shell</v>
          </cell>
          <cell r="C139">
            <v>311</v>
          </cell>
          <cell r="D139">
            <v>506</v>
          </cell>
          <cell r="E139">
            <v>32.59</v>
          </cell>
          <cell r="F139">
            <v>5.5</v>
          </cell>
          <cell r="G139">
            <v>6</v>
          </cell>
          <cell r="H139">
            <v>5.4</v>
          </cell>
          <cell r="I139">
            <v>100</v>
          </cell>
          <cell r="J139">
            <v>233</v>
          </cell>
          <cell r="K139">
            <v>0.255</v>
          </cell>
          <cell r="L139">
            <v>0</v>
          </cell>
          <cell r="M139">
            <v>1350</v>
          </cell>
          <cell r="N139">
            <v>0</v>
          </cell>
          <cell r="O139">
            <v>0</v>
          </cell>
          <cell r="P139">
            <v>0</v>
          </cell>
          <cell r="Q139">
            <v>22</v>
          </cell>
        </row>
        <row r="140">
          <cell r="A140">
            <v>313</v>
          </cell>
          <cell r="B140" t="str">
            <v>Oil, kapok</v>
          </cell>
          <cell r="C140">
            <v>311</v>
          </cell>
          <cell r="D140">
            <v>884</v>
          </cell>
          <cell r="E140">
            <v>0</v>
          </cell>
          <cell r="F140">
            <v>0</v>
          </cell>
          <cell r="G140">
            <v>0</v>
          </cell>
          <cell r="H140">
            <v>0</v>
          </cell>
          <cell r="I140">
            <v>0</v>
          </cell>
          <cell r="J140">
            <v>0</v>
          </cell>
          <cell r="K140">
            <v>0</v>
          </cell>
          <cell r="L140">
            <v>0.2</v>
          </cell>
          <cell r="M140">
            <v>0</v>
          </cell>
          <cell r="N140">
            <v>35.3</v>
          </cell>
          <cell r="O140">
            <v>0</v>
          </cell>
          <cell r="P140">
            <v>24.7</v>
          </cell>
          <cell r="Q140">
            <v>0</v>
          </cell>
        </row>
        <row r="141">
          <cell r="A141">
            <v>314</v>
          </cell>
          <cell r="B141" t="str">
            <v>Cake, kapok</v>
          </cell>
          <cell r="C141">
            <v>311</v>
          </cell>
          <cell r="D141">
            <v>367</v>
          </cell>
          <cell r="E141">
            <v>49.1</v>
          </cell>
          <cell r="F141">
            <v>0</v>
          </cell>
          <cell r="G141">
            <v>12.32</v>
          </cell>
          <cell r="H141">
            <v>13.35</v>
          </cell>
          <cell r="I141">
            <v>504</v>
          </cell>
          <cell r="J141">
            <v>242</v>
          </cell>
          <cell r="K141">
            <v>0.42</v>
          </cell>
          <cell r="L141">
            <v>0</v>
          </cell>
          <cell r="M141">
            <v>1869</v>
          </cell>
          <cell r="N141">
            <v>0</v>
          </cell>
          <cell r="O141">
            <v>0</v>
          </cell>
          <cell r="P141">
            <v>0</v>
          </cell>
          <cell r="Q141">
            <v>23</v>
          </cell>
        </row>
        <row r="142">
          <cell r="A142">
            <v>328</v>
          </cell>
          <cell r="B142" t="str">
            <v>Seed cotton</v>
          </cell>
          <cell r="C142">
            <v>328</v>
          </cell>
          <cell r="D142">
            <v>506</v>
          </cell>
          <cell r="E142">
            <v>32.59</v>
          </cell>
          <cell r="F142">
            <v>5.5</v>
          </cell>
          <cell r="G142">
            <v>6</v>
          </cell>
          <cell r="H142">
            <v>5.4</v>
          </cell>
          <cell r="I142">
            <v>100</v>
          </cell>
          <cell r="J142">
            <v>233</v>
          </cell>
          <cell r="K142">
            <v>0.255</v>
          </cell>
          <cell r="L142">
            <v>0</v>
          </cell>
          <cell r="M142">
            <v>1350</v>
          </cell>
          <cell r="N142">
            <v>0</v>
          </cell>
          <cell r="O142">
            <v>0</v>
          </cell>
          <cell r="P142">
            <v>0</v>
          </cell>
          <cell r="Q142">
            <v>22</v>
          </cell>
        </row>
        <row r="143">
          <cell r="A143">
            <v>329</v>
          </cell>
          <cell r="B143" t="str">
            <v>Cottonseed</v>
          </cell>
          <cell r="C143">
            <v>328</v>
          </cell>
          <cell r="D143">
            <v>471.5</v>
          </cell>
          <cell r="E143">
            <v>26.395</v>
          </cell>
          <cell r="F143">
            <v>12</v>
          </cell>
          <cell r="G143">
            <v>6</v>
          </cell>
          <cell r="H143">
            <v>5.4</v>
          </cell>
          <cell r="I143">
            <v>129</v>
          </cell>
          <cell r="J143">
            <v>233</v>
          </cell>
          <cell r="K143">
            <v>0.255</v>
          </cell>
          <cell r="L143">
            <v>0</v>
          </cell>
          <cell r="M143">
            <v>1350</v>
          </cell>
          <cell r="N143">
            <v>35.3</v>
          </cell>
          <cell r="O143">
            <v>0</v>
          </cell>
          <cell r="P143">
            <v>24.7</v>
          </cell>
          <cell r="Q143">
            <v>22</v>
          </cell>
        </row>
        <row r="144">
          <cell r="A144">
            <v>331</v>
          </cell>
          <cell r="B144" t="str">
            <v>Oil, cottonseed</v>
          </cell>
          <cell r="C144">
            <v>328</v>
          </cell>
          <cell r="D144">
            <v>900</v>
          </cell>
          <cell r="E144">
            <v>0</v>
          </cell>
          <cell r="F144">
            <v>0</v>
          </cell>
          <cell r="G144">
            <v>0</v>
          </cell>
          <cell r="H144">
            <v>0</v>
          </cell>
          <cell r="I144">
            <v>0</v>
          </cell>
          <cell r="J144">
            <v>0</v>
          </cell>
          <cell r="K144">
            <v>0</v>
          </cell>
          <cell r="L144">
            <v>0.2</v>
          </cell>
          <cell r="M144">
            <v>0</v>
          </cell>
          <cell r="N144">
            <v>35.3</v>
          </cell>
          <cell r="O144">
            <v>0</v>
          </cell>
          <cell r="P144">
            <v>24.7</v>
          </cell>
          <cell r="Q144">
            <v>0</v>
          </cell>
        </row>
        <row r="145">
          <cell r="A145">
            <v>332</v>
          </cell>
          <cell r="B145" t="str">
            <v>Cake, cottonseed</v>
          </cell>
          <cell r="C145">
            <v>328</v>
          </cell>
          <cell r="D145">
            <v>367</v>
          </cell>
          <cell r="E145">
            <v>49.1</v>
          </cell>
          <cell r="F145">
            <v>0</v>
          </cell>
          <cell r="G145">
            <v>12.32</v>
          </cell>
          <cell r="H145">
            <v>13.35</v>
          </cell>
          <cell r="I145">
            <v>504</v>
          </cell>
          <cell r="J145">
            <v>242</v>
          </cell>
          <cell r="K145">
            <v>0.42</v>
          </cell>
          <cell r="L145">
            <v>0</v>
          </cell>
          <cell r="M145">
            <v>1869</v>
          </cell>
          <cell r="N145">
            <v>0</v>
          </cell>
          <cell r="O145">
            <v>0</v>
          </cell>
          <cell r="P145">
            <v>0</v>
          </cell>
          <cell r="Q145">
            <v>23</v>
          </cell>
        </row>
        <row r="146">
          <cell r="A146">
            <v>333</v>
          </cell>
          <cell r="B146" t="str">
            <v>Linseed</v>
          </cell>
          <cell r="C146">
            <v>333</v>
          </cell>
          <cell r="D146">
            <v>534</v>
          </cell>
          <cell r="E146">
            <v>18.29</v>
          </cell>
          <cell r="F146">
            <v>27.3</v>
          </cell>
          <cell r="G146">
            <v>4.34</v>
          </cell>
          <cell r="H146">
            <v>5.73</v>
          </cell>
          <cell r="I146">
            <v>255</v>
          </cell>
          <cell r="J146">
            <v>87</v>
          </cell>
          <cell r="K146">
            <v>0.161</v>
          </cell>
          <cell r="L146">
            <v>78.7</v>
          </cell>
          <cell r="M146">
            <v>813</v>
          </cell>
          <cell r="N146">
            <v>0.31</v>
          </cell>
          <cell r="O146">
            <v>0</v>
          </cell>
          <cell r="P146">
            <v>4.3</v>
          </cell>
          <cell r="Q146">
            <v>0</v>
          </cell>
        </row>
        <row r="147">
          <cell r="A147">
            <v>334</v>
          </cell>
          <cell r="B147" t="str">
            <v>Oil, linseed</v>
          </cell>
          <cell r="C147">
            <v>333</v>
          </cell>
          <cell r="D147">
            <v>878</v>
          </cell>
          <cell r="E147">
            <v>0.37</v>
          </cell>
          <cell r="F147">
            <v>0</v>
          </cell>
          <cell r="G147">
            <v>0.31</v>
          </cell>
          <cell r="H147">
            <v>0.34</v>
          </cell>
          <cell r="I147">
            <v>9</v>
          </cell>
          <cell r="J147">
            <v>0</v>
          </cell>
          <cell r="K147">
            <v>0</v>
          </cell>
          <cell r="L147">
            <v>0</v>
          </cell>
          <cell r="M147">
            <v>31</v>
          </cell>
          <cell r="N147">
            <v>0.71</v>
          </cell>
          <cell r="O147">
            <v>0</v>
          </cell>
          <cell r="P147">
            <v>3.3</v>
          </cell>
          <cell r="Q147">
            <v>0</v>
          </cell>
        </row>
        <row r="148">
          <cell r="A148">
            <v>335</v>
          </cell>
          <cell r="B148" t="str">
            <v>Cake, linseed</v>
          </cell>
          <cell r="C148">
            <v>333</v>
          </cell>
          <cell r="D148">
            <v>367</v>
          </cell>
          <cell r="E148">
            <v>49.1</v>
          </cell>
          <cell r="F148">
            <v>0</v>
          </cell>
          <cell r="G148">
            <v>12.32</v>
          </cell>
          <cell r="H148">
            <v>13.35</v>
          </cell>
          <cell r="I148">
            <v>504</v>
          </cell>
          <cell r="J148">
            <v>242</v>
          </cell>
          <cell r="K148">
            <v>0.42</v>
          </cell>
          <cell r="L148">
            <v>0</v>
          </cell>
          <cell r="M148">
            <v>1869</v>
          </cell>
          <cell r="N148">
            <v>0</v>
          </cell>
          <cell r="O148">
            <v>0</v>
          </cell>
          <cell r="P148">
            <v>0</v>
          </cell>
          <cell r="Q148">
            <v>23</v>
          </cell>
        </row>
        <row r="149">
          <cell r="A149">
            <v>336</v>
          </cell>
          <cell r="B149" t="str">
            <v>Hempseed</v>
          </cell>
          <cell r="C149">
            <v>336</v>
          </cell>
          <cell r="D149">
            <v>534</v>
          </cell>
          <cell r="E149">
            <v>18.29</v>
          </cell>
          <cell r="F149">
            <v>27.3</v>
          </cell>
          <cell r="G149">
            <v>4.34</v>
          </cell>
          <cell r="H149">
            <v>5.73</v>
          </cell>
          <cell r="I149">
            <v>255</v>
          </cell>
          <cell r="J149">
            <v>87</v>
          </cell>
          <cell r="K149">
            <v>0.161</v>
          </cell>
          <cell r="L149">
            <v>78.7</v>
          </cell>
          <cell r="M149">
            <v>813</v>
          </cell>
          <cell r="N149">
            <v>0.31</v>
          </cell>
          <cell r="O149">
            <v>0</v>
          </cell>
          <cell r="P149">
            <v>4.3</v>
          </cell>
          <cell r="Q149">
            <v>0</v>
          </cell>
        </row>
        <row r="150">
          <cell r="A150">
            <v>338</v>
          </cell>
          <cell r="B150" t="str">
            <v>Cake, hempseed</v>
          </cell>
          <cell r="C150">
            <v>336</v>
          </cell>
          <cell r="D150">
            <v>367</v>
          </cell>
          <cell r="E150">
            <v>49.1</v>
          </cell>
          <cell r="F150">
            <v>0</v>
          </cell>
          <cell r="G150">
            <v>12.32</v>
          </cell>
          <cell r="H150">
            <v>13.35</v>
          </cell>
          <cell r="I150">
            <v>504</v>
          </cell>
          <cell r="J150">
            <v>242</v>
          </cell>
          <cell r="K150">
            <v>0.42</v>
          </cell>
          <cell r="L150">
            <v>0</v>
          </cell>
          <cell r="M150">
            <v>1869</v>
          </cell>
          <cell r="N150">
            <v>0</v>
          </cell>
          <cell r="O150">
            <v>0</v>
          </cell>
          <cell r="P150">
            <v>0</v>
          </cell>
          <cell r="Q150">
            <v>23</v>
          </cell>
        </row>
        <row r="151">
          <cell r="A151">
            <v>339</v>
          </cell>
          <cell r="B151" t="str">
            <v>Oilseeds nes</v>
          </cell>
          <cell r="C151">
            <v>339</v>
          </cell>
          <cell r="D151">
            <v>576</v>
          </cell>
          <cell r="E151">
            <v>6.2</v>
          </cell>
          <cell r="F151">
            <v>0</v>
          </cell>
          <cell r="G151">
            <v>0.36</v>
          </cell>
          <cell r="H151">
            <v>2.46</v>
          </cell>
          <cell r="I151">
            <v>1</v>
          </cell>
          <cell r="J151">
            <v>113</v>
          </cell>
          <cell r="K151">
            <v>0.371</v>
          </cell>
          <cell r="L151">
            <v>0</v>
          </cell>
          <cell r="M151">
            <v>1017</v>
          </cell>
          <cell r="N151">
            <v>0</v>
          </cell>
          <cell r="O151">
            <v>0</v>
          </cell>
          <cell r="P151">
            <v>0</v>
          </cell>
          <cell r="Q151">
            <v>0</v>
          </cell>
        </row>
        <row r="152">
          <cell r="A152">
            <v>340</v>
          </cell>
          <cell r="B152" t="str">
            <v>Oil, vegetable origin nes</v>
          </cell>
          <cell r="C152">
            <v>339</v>
          </cell>
          <cell r="D152">
            <v>899</v>
          </cell>
          <cell r="E152">
            <v>0</v>
          </cell>
          <cell r="F152">
            <v>0</v>
          </cell>
          <cell r="G152">
            <v>0</v>
          </cell>
          <cell r="H152">
            <v>0</v>
          </cell>
          <cell r="I152">
            <v>0</v>
          </cell>
          <cell r="J152">
            <v>0</v>
          </cell>
          <cell r="K152">
            <v>0</v>
          </cell>
          <cell r="L152">
            <v>0.3</v>
          </cell>
          <cell r="M152">
            <v>0</v>
          </cell>
          <cell r="N152">
            <v>7.75351004439155</v>
          </cell>
          <cell r="O152">
            <v>0.0408203396170381</v>
          </cell>
          <cell r="P152">
            <v>78.0699107464911</v>
          </cell>
          <cell r="Q152">
            <v>0</v>
          </cell>
        </row>
        <row r="153">
          <cell r="A153">
            <v>358</v>
          </cell>
          <cell r="B153" t="str">
            <v>Cabbages and other brassicas</v>
          </cell>
          <cell r="C153">
            <v>358</v>
          </cell>
          <cell r="D153">
            <v>25</v>
          </cell>
          <cell r="E153">
            <v>1.9</v>
          </cell>
          <cell r="F153">
            <v>2</v>
          </cell>
          <cell r="G153">
            <v>0.29</v>
          </cell>
          <cell r="H153">
            <v>1.2</v>
          </cell>
          <cell r="I153">
            <v>65.5</v>
          </cell>
          <cell r="J153">
            <v>54.6943734</v>
          </cell>
          <cell r="K153">
            <v>0.08</v>
          </cell>
          <cell r="L153">
            <v>12.3</v>
          </cell>
          <cell r="M153">
            <v>252</v>
          </cell>
          <cell r="N153">
            <v>0.14</v>
          </cell>
          <cell r="O153">
            <v>0</v>
          </cell>
          <cell r="P153">
            <v>108.7</v>
          </cell>
          <cell r="Q153">
            <v>102</v>
          </cell>
        </row>
        <row r="154">
          <cell r="A154">
            <v>366</v>
          </cell>
          <cell r="B154" t="str">
            <v>Artichokes</v>
          </cell>
          <cell r="C154">
            <v>366</v>
          </cell>
          <cell r="D154">
            <v>50.5</v>
          </cell>
          <cell r="E154">
            <v>2.75</v>
          </cell>
          <cell r="F154">
            <v>1.2</v>
          </cell>
          <cell r="G154">
            <v>0.44</v>
          </cell>
          <cell r="H154">
            <v>1.19</v>
          </cell>
          <cell r="I154">
            <v>45.5</v>
          </cell>
          <cell r="J154">
            <v>68</v>
          </cell>
          <cell r="K154">
            <v>0.055</v>
          </cell>
          <cell r="L154">
            <v>34.4</v>
          </cell>
          <cell r="M154">
            <v>339</v>
          </cell>
          <cell r="N154">
            <v>0.19</v>
          </cell>
          <cell r="O154">
            <v>0</v>
          </cell>
          <cell r="P154">
            <v>14.8</v>
          </cell>
          <cell r="Q154">
            <v>12.5</v>
          </cell>
        </row>
        <row r="155">
          <cell r="A155">
            <v>367</v>
          </cell>
          <cell r="B155" t="str">
            <v>Asparagus</v>
          </cell>
          <cell r="C155">
            <v>367</v>
          </cell>
          <cell r="D155">
            <v>20.5</v>
          </cell>
          <cell r="E155">
            <v>2.2</v>
          </cell>
          <cell r="F155">
            <v>2.4</v>
          </cell>
          <cell r="G155">
            <v>0.52</v>
          </cell>
          <cell r="H155">
            <v>1</v>
          </cell>
          <cell r="I155">
            <v>22</v>
          </cell>
          <cell r="J155">
            <v>52</v>
          </cell>
          <cell r="K155">
            <v>0.1505</v>
          </cell>
          <cell r="L155">
            <v>16</v>
          </cell>
          <cell r="M155">
            <v>199</v>
          </cell>
          <cell r="N155">
            <v>1.5</v>
          </cell>
          <cell r="O155">
            <v>0</v>
          </cell>
          <cell r="P155">
            <v>50.6</v>
          </cell>
          <cell r="Q155">
            <v>17</v>
          </cell>
        </row>
        <row r="156">
          <cell r="A156">
            <v>372</v>
          </cell>
          <cell r="B156" t="str">
            <v>Lettuce and chicory</v>
          </cell>
          <cell r="C156">
            <v>372</v>
          </cell>
          <cell r="D156">
            <v>17</v>
          </cell>
          <cell r="E156">
            <v>1.35</v>
          </cell>
          <cell r="F156">
            <v>1.5</v>
          </cell>
          <cell r="G156">
            <v>0.36</v>
          </cell>
          <cell r="H156">
            <v>1</v>
          </cell>
          <cell r="I156">
            <v>44</v>
          </cell>
          <cell r="J156">
            <v>73</v>
          </cell>
          <cell r="K156">
            <v>0.07</v>
          </cell>
          <cell r="L156">
            <v>12.3</v>
          </cell>
          <cell r="M156">
            <v>247</v>
          </cell>
          <cell r="N156">
            <v>2.26</v>
          </cell>
          <cell r="O156">
            <v>0</v>
          </cell>
          <cell r="P156">
            <v>297.6</v>
          </cell>
          <cell r="Q156">
            <v>147</v>
          </cell>
        </row>
        <row r="157">
          <cell r="A157">
            <v>373</v>
          </cell>
          <cell r="B157" t="str">
            <v>Spinach</v>
          </cell>
          <cell r="C157">
            <v>373</v>
          </cell>
          <cell r="D157">
            <v>23</v>
          </cell>
          <cell r="E157">
            <v>2.55</v>
          </cell>
          <cell r="F157">
            <v>2.3</v>
          </cell>
          <cell r="G157">
            <v>0.515</v>
          </cell>
          <cell r="H157">
            <v>3.1</v>
          </cell>
          <cell r="I157">
            <v>99</v>
          </cell>
          <cell r="J157">
            <v>176</v>
          </cell>
          <cell r="K157">
            <v>0.2</v>
          </cell>
          <cell r="L157">
            <v>19.3</v>
          </cell>
          <cell r="M157">
            <v>517.5</v>
          </cell>
          <cell r="N157">
            <v>2.08</v>
          </cell>
          <cell r="O157">
            <v>0</v>
          </cell>
          <cell r="P157">
            <v>493.6</v>
          </cell>
          <cell r="Q157">
            <v>325</v>
          </cell>
        </row>
        <row r="158">
          <cell r="A158">
            <v>388</v>
          </cell>
          <cell r="B158" t="str">
            <v>Tomatoes</v>
          </cell>
          <cell r="C158">
            <v>388</v>
          </cell>
          <cell r="D158">
            <v>20</v>
          </cell>
          <cell r="E158">
            <v>1</v>
          </cell>
          <cell r="F158">
            <v>1.2</v>
          </cell>
          <cell r="G158">
            <v>0.17</v>
          </cell>
          <cell r="H158">
            <v>0.6</v>
          </cell>
          <cell r="I158">
            <v>12.96792</v>
          </cell>
          <cell r="J158">
            <v>21.25</v>
          </cell>
          <cell r="K158">
            <v>0.04</v>
          </cell>
          <cell r="L158">
            <v>6.7</v>
          </cell>
          <cell r="M158">
            <v>204</v>
          </cell>
          <cell r="N158">
            <v>1.51648472861679</v>
          </cell>
          <cell r="O158">
            <v>0</v>
          </cell>
          <cell r="P158">
            <v>4.9018248676005</v>
          </cell>
          <cell r="Q158">
            <v>65</v>
          </cell>
        </row>
        <row r="159">
          <cell r="A159">
            <v>390</v>
          </cell>
          <cell r="B159" t="str">
            <v>Juice, tomato</v>
          </cell>
          <cell r="C159">
            <v>388</v>
          </cell>
          <cell r="D159">
            <v>17</v>
          </cell>
          <cell r="E159">
            <v>0.85</v>
          </cell>
          <cell r="F159">
            <v>0.4</v>
          </cell>
          <cell r="G159">
            <v>0.11</v>
          </cell>
          <cell r="H159">
            <v>0.39</v>
          </cell>
          <cell r="I159">
            <v>10</v>
          </cell>
          <cell r="J159">
            <v>20</v>
          </cell>
          <cell r="K159">
            <v>0.078</v>
          </cell>
          <cell r="L159">
            <v>6.8</v>
          </cell>
          <cell r="M159">
            <v>217</v>
          </cell>
          <cell r="N159">
            <v>0.32</v>
          </cell>
          <cell r="O159">
            <v>0</v>
          </cell>
          <cell r="P159">
            <v>2.3</v>
          </cell>
          <cell r="Q159">
            <v>23</v>
          </cell>
        </row>
        <row r="160">
          <cell r="A160">
            <v>391</v>
          </cell>
          <cell r="B160" t="str">
            <v>Tomatoes, paste</v>
          </cell>
          <cell r="C160">
            <v>388</v>
          </cell>
          <cell r="D160">
            <v>82</v>
          </cell>
          <cell r="E160">
            <v>4.32</v>
          </cell>
          <cell r="F160">
            <v>4.1</v>
          </cell>
          <cell r="G160">
            <v>0.63</v>
          </cell>
          <cell r="H160">
            <v>2.98</v>
          </cell>
          <cell r="I160">
            <v>36</v>
          </cell>
          <cell r="J160">
            <v>12</v>
          </cell>
          <cell r="K160">
            <v>0.153</v>
          </cell>
          <cell r="L160">
            <v>38.5</v>
          </cell>
          <cell r="M160">
            <v>1014</v>
          </cell>
          <cell r="N160">
            <v>4.3</v>
          </cell>
          <cell r="O160">
            <v>0</v>
          </cell>
          <cell r="P160">
            <v>11.4</v>
          </cell>
          <cell r="Q160">
            <v>76</v>
          </cell>
        </row>
        <row r="161">
          <cell r="A161">
            <v>392</v>
          </cell>
          <cell r="B161" t="str">
            <v>Tomatoes, peeled</v>
          </cell>
          <cell r="C161">
            <v>388</v>
          </cell>
          <cell r="D161">
            <v>20</v>
          </cell>
          <cell r="E161">
            <v>1</v>
          </cell>
          <cell r="F161">
            <v>1.2</v>
          </cell>
          <cell r="G161">
            <v>0.17</v>
          </cell>
          <cell r="H161">
            <v>0.6</v>
          </cell>
          <cell r="I161">
            <v>12.96792</v>
          </cell>
          <cell r="J161">
            <v>21.25</v>
          </cell>
          <cell r="K161">
            <v>0.04</v>
          </cell>
          <cell r="L161">
            <v>6.7</v>
          </cell>
          <cell r="M161">
            <v>204</v>
          </cell>
          <cell r="N161">
            <v>1.51648472861679</v>
          </cell>
          <cell r="O161">
            <v>0</v>
          </cell>
          <cell r="P161">
            <v>4.9018248676005</v>
          </cell>
          <cell r="Q161">
            <v>65</v>
          </cell>
        </row>
        <row r="162">
          <cell r="A162">
            <v>393</v>
          </cell>
          <cell r="B162" t="str">
            <v>Cauliflowers and broccoli</v>
          </cell>
          <cell r="C162">
            <v>393</v>
          </cell>
          <cell r="D162">
            <v>27.32</v>
          </cell>
          <cell r="E162">
            <v>3.2</v>
          </cell>
          <cell r="F162">
            <v>1.85</v>
          </cell>
          <cell r="G162">
            <v>0.4</v>
          </cell>
          <cell r="H162">
            <v>1</v>
          </cell>
          <cell r="I162">
            <v>35</v>
          </cell>
          <cell r="J162">
            <v>60</v>
          </cell>
          <cell r="K162">
            <v>0.1</v>
          </cell>
          <cell r="L162">
            <v>44.3</v>
          </cell>
          <cell r="M162">
            <v>313</v>
          </cell>
          <cell r="N162">
            <v>0.07</v>
          </cell>
          <cell r="O162">
            <v>0</v>
          </cell>
          <cell r="P162">
            <v>13.8</v>
          </cell>
          <cell r="Q162">
            <v>115</v>
          </cell>
        </row>
        <row r="163">
          <cell r="A163">
            <v>394</v>
          </cell>
          <cell r="B163" t="str">
            <v>Pumpkins, squash and gourds</v>
          </cell>
          <cell r="C163">
            <v>394</v>
          </cell>
          <cell r="D163">
            <v>19</v>
          </cell>
          <cell r="E163">
            <v>1</v>
          </cell>
          <cell r="F163">
            <v>1.2</v>
          </cell>
          <cell r="G163">
            <v>0.2</v>
          </cell>
          <cell r="H163">
            <v>0.645</v>
          </cell>
          <cell r="I163">
            <v>23</v>
          </cell>
          <cell r="J163">
            <v>16</v>
          </cell>
          <cell r="K163">
            <v>0.04</v>
          </cell>
          <cell r="L163">
            <v>9.1</v>
          </cell>
          <cell r="M163">
            <v>162</v>
          </cell>
          <cell r="N163">
            <v>0.8</v>
          </cell>
          <cell r="O163">
            <v>0</v>
          </cell>
          <cell r="P163">
            <v>0.8</v>
          </cell>
          <cell r="Q163">
            <v>32</v>
          </cell>
        </row>
        <row r="164">
          <cell r="A164">
            <v>397</v>
          </cell>
          <cell r="B164" t="str">
            <v>Cucumbers and gherkins</v>
          </cell>
          <cell r="C164">
            <v>397</v>
          </cell>
          <cell r="D164">
            <v>15</v>
          </cell>
          <cell r="E164">
            <v>0.7</v>
          </cell>
          <cell r="F164">
            <v>0.7</v>
          </cell>
          <cell r="G164">
            <v>0.19</v>
          </cell>
          <cell r="H164">
            <v>0.4</v>
          </cell>
          <cell r="I164">
            <v>16</v>
          </cell>
          <cell r="J164">
            <v>7</v>
          </cell>
          <cell r="K164">
            <v>0.0365</v>
          </cell>
          <cell r="L164">
            <v>6</v>
          </cell>
          <cell r="M164">
            <v>144</v>
          </cell>
          <cell r="N164">
            <v>0.03</v>
          </cell>
          <cell r="O164">
            <v>0</v>
          </cell>
          <cell r="P164">
            <v>7.2</v>
          </cell>
          <cell r="Q164">
            <v>4.5</v>
          </cell>
        </row>
        <row r="165">
          <cell r="A165">
            <v>399</v>
          </cell>
          <cell r="B165" t="str">
            <v>Eggplants (aubergines)</v>
          </cell>
          <cell r="C165">
            <v>399</v>
          </cell>
          <cell r="D165">
            <v>27.5</v>
          </cell>
          <cell r="E165">
            <v>1.1</v>
          </cell>
          <cell r="F165">
            <v>2.3</v>
          </cell>
          <cell r="G165">
            <v>0.18</v>
          </cell>
          <cell r="H165">
            <v>0.5</v>
          </cell>
          <cell r="I165">
            <v>14.5</v>
          </cell>
          <cell r="J165">
            <v>26.33333333</v>
          </cell>
          <cell r="K165">
            <v>0.05</v>
          </cell>
          <cell r="L165">
            <v>29.45</v>
          </cell>
          <cell r="M165">
            <v>229</v>
          </cell>
          <cell r="N165">
            <v>0.41</v>
          </cell>
          <cell r="O165">
            <v>0</v>
          </cell>
          <cell r="P165">
            <v>2.9</v>
          </cell>
          <cell r="Q165">
            <v>5</v>
          </cell>
        </row>
        <row r="166">
          <cell r="A166">
            <v>401</v>
          </cell>
          <cell r="B166" t="str">
            <v>Chillies and peppers, green</v>
          </cell>
          <cell r="C166">
            <v>401</v>
          </cell>
          <cell r="D166">
            <v>29</v>
          </cell>
          <cell r="E166">
            <v>1.5</v>
          </cell>
          <cell r="F166">
            <v>2.166666667</v>
          </cell>
          <cell r="G166">
            <v>0.3</v>
          </cell>
          <cell r="H166">
            <v>1.2</v>
          </cell>
          <cell r="I166">
            <v>18</v>
          </cell>
          <cell r="J166">
            <v>26</v>
          </cell>
          <cell r="K166">
            <v>0.0805</v>
          </cell>
          <cell r="L166">
            <v>7.6</v>
          </cell>
          <cell r="M166">
            <v>322</v>
          </cell>
          <cell r="N166">
            <v>0</v>
          </cell>
          <cell r="O166">
            <v>0</v>
          </cell>
          <cell r="P166">
            <v>0</v>
          </cell>
          <cell r="Q166">
            <v>54</v>
          </cell>
        </row>
        <row r="167">
          <cell r="A167">
            <v>402</v>
          </cell>
          <cell r="B167" t="str">
            <v>Onions, shallots, green</v>
          </cell>
          <cell r="C167">
            <v>402</v>
          </cell>
          <cell r="D167">
            <v>34</v>
          </cell>
          <cell r="E167">
            <v>1.6</v>
          </cell>
          <cell r="F167">
            <v>2.35</v>
          </cell>
          <cell r="G167">
            <v>0.395</v>
          </cell>
          <cell r="H167">
            <v>1.21</v>
          </cell>
          <cell r="I167">
            <v>42</v>
          </cell>
          <cell r="J167">
            <v>34</v>
          </cell>
          <cell r="K167">
            <v>0.07</v>
          </cell>
          <cell r="L167">
            <v>5.7</v>
          </cell>
          <cell r="M167">
            <v>234</v>
          </cell>
          <cell r="N167">
            <v>0.04</v>
          </cell>
          <cell r="O167">
            <v>0</v>
          </cell>
          <cell r="P167">
            <v>0.8</v>
          </cell>
          <cell r="Q167">
            <v>41</v>
          </cell>
        </row>
        <row r="168">
          <cell r="A168">
            <v>403</v>
          </cell>
          <cell r="B168" t="str">
            <v>Onions, dry</v>
          </cell>
          <cell r="C168">
            <v>403</v>
          </cell>
          <cell r="D168">
            <v>40</v>
          </cell>
          <cell r="E168">
            <v>1.1</v>
          </cell>
          <cell r="F168">
            <v>1.6</v>
          </cell>
          <cell r="G168">
            <v>0.17</v>
          </cell>
          <cell r="H168">
            <v>0.65</v>
          </cell>
          <cell r="I168">
            <v>30.55</v>
          </cell>
          <cell r="J168">
            <v>16</v>
          </cell>
          <cell r="K168">
            <v>0.04</v>
          </cell>
          <cell r="L168">
            <v>6.1</v>
          </cell>
          <cell r="M168">
            <v>149.6</v>
          </cell>
          <cell r="N168">
            <v>0.02</v>
          </cell>
          <cell r="O168">
            <v>0</v>
          </cell>
          <cell r="P168">
            <v>0.4</v>
          </cell>
          <cell r="Q168">
            <v>0</v>
          </cell>
        </row>
        <row r="169">
          <cell r="A169">
            <v>406</v>
          </cell>
          <cell r="B169" t="str">
            <v>Garlic</v>
          </cell>
          <cell r="C169">
            <v>406</v>
          </cell>
          <cell r="D169">
            <v>129.5</v>
          </cell>
          <cell r="E169">
            <v>5.2</v>
          </cell>
          <cell r="F169">
            <v>1.55</v>
          </cell>
          <cell r="G169">
            <v>1</v>
          </cell>
          <cell r="H169">
            <v>1.5</v>
          </cell>
          <cell r="I169">
            <v>32.5</v>
          </cell>
          <cell r="J169">
            <v>3.5</v>
          </cell>
          <cell r="K169">
            <v>0.07</v>
          </cell>
          <cell r="L169">
            <v>23.2</v>
          </cell>
          <cell r="M169">
            <v>465</v>
          </cell>
          <cell r="N169">
            <v>0.08</v>
          </cell>
          <cell r="O169">
            <v>0</v>
          </cell>
          <cell r="P169">
            <v>1.7</v>
          </cell>
          <cell r="Q169">
            <v>0</v>
          </cell>
        </row>
        <row r="170">
          <cell r="A170">
            <v>407</v>
          </cell>
          <cell r="B170" t="str">
            <v>Leeks, other alliaceous vegetables</v>
          </cell>
          <cell r="C170">
            <v>407</v>
          </cell>
          <cell r="D170">
            <v>37</v>
          </cell>
          <cell r="E170">
            <v>2.1</v>
          </cell>
          <cell r="F170">
            <v>1.8</v>
          </cell>
          <cell r="G170">
            <v>0.4</v>
          </cell>
          <cell r="H170">
            <v>2</v>
          </cell>
          <cell r="I170">
            <v>58</v>
          </cell>
          <cell r="J170">
            <v>84.5</v>
          </cell>
          <cell r="K170">
            <v>0.08</v>
          </cell>
          <cell r="L170">
            <v>7.35</v>
          </cell>
          <cell r="M170">
            <v>189.5</v>
          </cell>
          <cell r="N170">
            <v>0.5</v>
          </cell>
          <cell r="O170">
            <v>0</v>
          </cell>
          <cell r="P170">
            <v>25.4</v>
          </cell>
          <cell r="Q170">
            <v>60</v>
          </cell>
        </row>
        <row r="171">
          <cell r="A171">
            <v>414</v>
          </cell>
          <cell r="B171" t="str">
            <v>Beans, green</v>
          </cell>
          <cell r="C171">
            <v>414</v>
          </cell>
          <cell r="D171">
            <v>35.5</v>
          </cell>
          <cell r="E171">
            <v>3</v>
          </cell>
          <cell r="F171">
            <v>2</v>
          </cell>
          <cell r="G171">
            <v>0.4</v>
          </cell>
          <cell r="H171">
            <v>1.345</v>
          </cell>
          <cell r="I171">
            <v>49.5</v>
          </cell>
          <cell r="J171">
            <v>45</v>
          </cell>
          <cell r="K171">
            <v>0.09</v>
          </cell>
          <cell r="L171">
            <v>5</v>
          </cell>
          <cell r="M171">
            <v>183.5</v>
          </cell>
          <cell r="N171">
            <v>0.45</v>
          </cell>
          <cell r="O171">
            <v>0</v>
          </cell>
          <cell r="P171">
            <v>16</v>
          </cell>
          <cell r="Q171">
            <v>27</v>
          </cell>
        </row>
        <row r="172">
          <cell r="A172">
            <v>417</v>
          </cell>
          <cell r="B172" t="str">
            <v>Peas, green</v>
          </cell>
          <cell r="C172">
            <v>417</v>
          </cell>
          <cell r="D172">
            <v>69</v>
          </cell>
          <cell r="E172">
            <v>7</v>
          </cell>
          <cell r="F172">
            <v>2.6</v>
          </cell>
          <cell r="G172">
            <v>0.8</v>
          </cell>
          <cell r="H172">
            <v>1.7</v>
          </cell>
          <cell r="I172">
            <v>36</v>
          </cell>
          <cell r="J172">
            <v>53.5</v>
          </cell>
          <cell r="K172">
            <v>0.125</v>
          </cell>
          <cell r="L172">
            <v>22.9</v>
          </cell>
          <cell r="M172">
            <v>222</v>
          </cell>
          <cell r="N172">
            <v>0.14</v>
          </cell>
          <cell r="O172">
            <v>0</v>
          </cell>
          <cell r="P172">
            <v>25.9</v>
          </cell>
          <cell r="Q172">
            <v>54</v>
          </cell>
        </row>
        <row r="173">
          <cell r="A173">
            <v>426</v>
          </cell>
          <cell r="B173" t="str">
            <v>Carrots and turnips</v>
          </cell>
          <cell r="C173">
            <v>426</v>
          </cell>
          <cell r="D173">
            <v>31.28</v>
          </cell>
          <cell r="E173">
            <v>0.9766666655</v>
          </cell>
          <cell r="F173">
            <v>1.4</v>
          </cell>
          <cell r="G173">
            <v>0.23</v>
          </cell>
          <cell r="H173">
            <v>0.6491249995</v>
          </cell>
          <cell r="I173">
            <v>33</v>
          </cell>
          <cell r="J173">
            <v>19</v>
          </cell>
          <cell r="K173">
            <v>0.04</v>
          </cell>
          <cell r="L173">
            <v>137</v>
          </cell>
          <cell r="M173">
            <v>304</v>
          </cell>
          <cell r="N173">
            <v>1.03</v>
          </cell>
          <cell r="O173">
            <v>0</v>
          </cell>
          <cell r="P173">
            <v>13.7</v>
          </cell>
          <cell r="Q173">
            <v>606</v>
          </cell>
        </row>
        <row r="174">
          <cell r="A174">
            <v>446</v>
          </cell>
          <cell r="B174" t="str">
            <v>Maize, green</v>
          </cell>
          <cell r="C174">
            <v>446</v>
          </cell>
          <cell r="D174">
            <v>118.5</v>
          </cell>
          <cell r="E174">
            <v>3.8</v>
          </cell>
          <cell r="F174">
            <v>2</v>
          </cell>
          <cell r="G174">
            <v>0.455</v>
          </cell>
          <cell r="H174">
            <v>1.05</v>
          </cell>
          <cell r="I174">
            <v>9</v>
          </cell>
          <cell r="J174">
            <v>42</v>
          </cell>
          <cell r="K174">
            <v>0.08</v>
          </cell>
          <cell r="L174">
            <v>23</v>
          </cell>
          <cell r="M174">
            <v>270</v>
          </cell>
          <cell r="N174">
            <v>0.07</v>
          </cell>
          <cell r="O174">
            <v>0</v>
          </cell>
          <cell r="P174">
            <v>0.3</v>
          </cell>
          <cell r="Q174">
            <v>9</v>
          </cell>
        </row>
        <row r="175">
          <cell r="A175">
            <v>447</v>
          </cell>
          <cell r="B175" t="str">
            <v>Sweet corn frozen</v>
          </cell>
          <cell r="C175">
            <v>446</v>
          </cell>
          <cell r="D175">
            <v>94</v>
          </cell>
          <cell r="E175">
            <v>3.11</v>
          </cell>
          <cell r="F175">
            <v>2.8</v>
          </cell>
          <cell r="G175">
            <v>0.63</v>
          </cell>
          <cell r="H175">
            <v>0.61</v>
          </cell>
          <cell r="I175">
            <v>3</v>
          </cell>
          <cell r="J175">
            <v>31</v>
          </cell>
          <cell r="K175">
            <v>0.069</v>
          </cell>
          <cell r="L175">
            <v>0</v>
          </cell>
          <cell r="M175">
            <v>251</v>
          </cell>
          <cell r="N175">
            <v>0.08</v>
          </cell>
          <cell r="O175">
            <v>0</v>
          </cell>
          <cell r="P175">
            <v>0.4</v>
          </cell>
          <cell r="Q175">
            <v>12</v>
          </cell>
        </row>
        <row r="176">
          <cell r="A176">
            <v>448</v>
          </cell>
          <cell r="B176" t="str">
            <v>Sweet corn prep or preserved</v>
          </cell>
          <cell r="C176">
            <v>446</v>
          </cell>
          <cell r="D176">
            <v>79</v>
          </cell>
          <cell r="E176">
            <v>2.41</v>
          </cell>
          <cell r="F176">
            <v>2</v>
          </cell>
          <cell r="G176">
            <v>0.46</v>
          </cell>
          <cell r="H176">
            <v>0.42</v>
          </cell>
          <cell r="I176">
            <v>5</v>
          </cell>
          <cell r="J176">
            <v>49</v>
          </cell>
          <cell r="K176">
            <v>0.073</v>
          </cell>
          <cell r="L176">
            <v>22.4</v>
          </cell>
          <cell r="M176">
            <v>186</v>
          </cell>
          <cell r="N176">
            <v>0.04</v>
          </cell>
          <cell r="O176">
            <v>0</v>
          </cell>
          <cell r="P176">
            <v>0</v>
          </cell>
          <cell r="Q176">
            <v>4</v>
          </cell>
        </row>
        <row r="177">
          <cell r="A177">
            <v>449</v>
          </cell>
          <cell r="B177" t="str">
            <v>Mushrooms and truffles</v>
          </cell>
          <cell r="C177">
            <v>449</v>
          </cell>
          <cell r="D177">
            <v>31</v>
          </cell>
          <cell r="E177">
            <v>2.66</v>
          </cell>
          <cell r="F177">
            <v>1.95</v>
          </cell>
          <cell r="G177">
            <v>0.655</v>
          </cell>
          <cell r="H177">
            <v>1.175</v>
          </cell>
          <cell r="I177">
            <v>6</v>
          </cell>
          <cell r="J177">
            <v>19</v>
          </cell>
          <cell r="K177">
            <v>0.242</v>
          </cell>
          <cell r="L177">
            <v>22.1</v>
          </cell>
          <cell r="M177">
            <v>338.5</v>
          </cell>
          <cell r="N177">
            <v>0</v>
          </cell>
          <cell r="O177">
            <v>0</v>
          </cell>
          <cell r="P177">
            <v>0</v>
          </cell>
          <cell r="Q177">
            <v>0</v>
          </cell>
        </row>
        <row r="178">
          <cell r="A178">
            <v>451</v>
          </cell>
          <cell r="B178" t="str">
            <v>Mushrooms, canned</v>
          </cell>
          <cell r="C178">
            <v>449</v>
          </cell>
          <cell r="D178">
            <v>31</v>
          </cell>
          <cell r="E178">
            <v>2.66</v>
          </cell>
          <cell r="F178">
            <v>1.95</v>
          </cell>
          <cell r="G178">
            <v>0.655</v>
          </cell>
          <cell r="H178">
            <v>1.175</v>
          </cell>
          <cell r="I178">
            <v>6</v>
          </cell>
          <cell r="J178">
            <v>19</v>
          </cell>
          <cell r="K178">
            <v>0.242</v>
          </cell>
          <cell r="L178">
            <v>22.1</v>
          </cell>
          <cell r="M178">
            <v>338.5</v>
          </cell>
          <cell r="N178">
            <v>0</v>
          </cell>
          <cell r="O178">
            <v>0</v>
          </cell>
          <cell r="P178">
            <v>0</v>
          </cell>
          <cell r="Q178">
            <v>0</v>
          </cell>
        </row>
        <row r="179">
          <cell r="A179">
            <v>460</v>
          </cell>
          <cell r="B179" t="str">
            <v>Vegetables, fresh or dried products nes</v>
          </cell>
          <cell r="C179">
            <v>463</v>
          </cell>
          <cell r="D179">
            <v>290</v>
          </cell>
          <cell r="E179">
            <v>12.105</v>
          </cell>
          <cell r="F179">
            <v>25.45</v>
          </cell>
          <cell r="G179">
            <v>2.415000024</v>
          </cell>
          <cell r="H179">
            <v>9.46</v>
          </cell>
          <cell r="I179">
            <v>244.5</v>
          </cell>
          <cell r="J179">
            <v>166.5</v>
          </cell>
          <cell r="K179">
            <v>0.762</v>
          </cell>
          <cell r="L179">
            <v>109.7</v>
          </cell>
          <cell r="M179">
            <v>2046</v>
          </cell>
          <cell r="N179">
            <v>0</v>
          </cell>
          <cell r="O179">
            <v>0</v>
          </cell>
          <cell r="P179">
            <v>0</v>
          </cell>
          <cell r="Q179">
            <v>98</v>
          </cell>
        </row>
        <row r="180">
          <cell r="A180">
            <v>463</v>
          </cell>
          <cell r="B180" t="str">
            <v>Vegetables, fresh nes</v>
          </cell>
          <cell r="C180">
            <v>463</v>
          </cell>
          <cell r="D180">
            <v>42</v>
          </cell>
          <cell r="E180">
            <v>2.9</v>
          </cell>
          <cell r="F180">
            <v>2</v>
          </cell>
          <cell r="G180">
            <v>0.4</v>
          </cell>
          <cell r="H180">
            <v>2.4</v>
          </cell>
          <cell r="I180">
            <v>132</v>
          </cell>
          <cell r="J180">
            <v>70</v>
          </cell>
          <cell r="K180">
            <v>0.136</v>
          </cell>
          <cell r="L180">
            <v>12.8</v>
          </cell>
          <cell r="M180">
            <v>372.5</v>
          </cell>
          <cell r="N180">
            <v>0</v>
          </cell>
          <cell r="O180">
            <v>0</v>
          </cell>
          <cell r="P180">
            <v>0</v>
          </cell>
          <cell r="Q180">
            <v>205</v>
          </cell>
        </row>
        <row r="181">
          <cell r="A181">
            <v>464</v>
          </cell>
          <cell r="B181" t="str">
            <v>Vegetables, dried nes</v>
          </cell>
          <cell r="C181">
            <v>463</v>
          </cell>
          <cell r="D181">
            <v>12</v>
          </cell>
          <cell r="E181">
            <v>1.53</v>
          </cell>
          <cell r="F181">
            <v>1</v>
          </cell>
          <cell r="G181">
            <v>0.47</v>
          </cell>
          <cell r="H181">
            <v>0.24</v>
          </cell>
          <cell r="I181">
            <v>12</v>
          </cell>
          <cell r="J181">
            <v>2</v>
          </cell>
          <cell r="K181">
            <v>0.05</v>
          </cell>
          <cell r="L181">
            <v>0</v>
          </cell>
          <cell r="M181">
            <v>533</v>
          </cell>
          <cell r="N181">
            <v>0</v>
          </cell>
          <cell r="O181">
            <v>0</v>
          </cell>
          <cell r="P181">
            <v>0</v>
          </cell>
          <cell r="Q181">
            <v>0</v>
          </cell>
        </row>
        <row r="182">
          <cell r="A182">
            <v>465</v>
          </cell>
          <cell r="B182" t="str">
            <v>Vegetables, canned nes</v>
          </cell>
          <cell r="C182">
            <v>463</v>
          </cell>
          <cell r="D182">
            <v>42</v>
          </cell>
          <cell r="E182">
            <v>2.9</v>
          </cell>
          <cell r="F182">
            <v>2</v>
          </cell>
          <cell r="G182">
            <v>0.4</v>
          </cell>
          <cell r="H182">
            <v>2.4</v>
          </cell>
          <cell r="I182">
            <v>132</v>
          </cell>
          <cell r="J182">
            <v>70</v>
          </cell>
          <cell r="K182">
            <v>0.136</v>
          </cell>
          <cell r="L182">
            <v>12.8</v>
          </cell>
          <cell r="M182">
            <v>372.5</v>
          </cell>
          <cell r="N182">
            <v>0</v>
          </cell>
          <cell r="O182">
            <v>0</v>
          </cell>
          <cell r="P182">
            <v>0</v>
          </cell>
          <cell r="Q182">
            <v>205</v>
          </cell>
        </row>
        <row r="183">
          <cell r="A183">
            <v>469</v>
          </cell>
          <cell r="B183" t="str">
            <v>Vegetables, dehydrated</v>
          </cell>
          <cell r="C183">
            <v>463</v>
          </cell>
          <cell r="D183">
            <v>321</v>
          </cell>
          <cell r="E183">
            <v>14.055</v>
          </cell>
          <cell r="F183">
            <v>18.9</v>
          </cell>
          <cell r="G183">
            <v>1.91</v>
          </cell>
          <cell r="H183">
            <v>6.8</v>
          </cell>
          <cell r="I183">
            <v>197.5</v>
          </cell>
          <cell r="J183">
            <v>166</v>
          </cell>
          <cell r="K183">
            <v>0.589</v>
          </cell>
          <cell r="L183">
            <v>63.55</v>
          </cell>
          <cell r="M183">
            <v>2470</v>
          </cell>
          <cell r="N183">
            <v>0.38</v>
          </cell>
          <cell r="O183">
            <v>0</v>
          </cell>
          <cell r="P183">
            <v>23.5</v>
          </cell>
          <cell r="Q183">
            <v>282</v>
          </cell>
        </row>
        <row r="184">
          <cell r="A184">
            <v>471</v>
          </cell>
          <cell r="B184" t="str">
            <v>Vegetables in vinegar</v>
          </cell>
          <cell r="C184">
            <v>463</v>
          </cell>
          <cell r="D184">
            <v>29</v>
          </cell>
          <cell r="E184">
            <v>1.1</v>
          </cell>
          <cell r="F184">
            <v>2.5</v>
          </cell>
          <cell r="G184">
            <v>0.22</v>
          </cell>
          <cell r="H184">
            <v>0.41</v>
          </cell>
          <cell r="I184">
            <v>29</v>
          </cell>
          <cell r="J184">
            <v>21.5</v>
          </cell>
          <cell r="K184">
            <v>0.03</v>
          </cell>
          <cell r="L184">
            <v>11.6</v>
          </cell>
          <cell r="M184">
            <v>117</v>
          </cell>
          <cell r="N184">
            <v>0.29</v>
          </cell>
          <cell r="O184">
            <v>0</v>
          </cell>
          <cell r="P184">
            <v>18.2</v>
          </cell>
          <cell r="Q184">
            <v>6</v>
          </cell>
        </row>
        <row r="185">
          <cell r="A185">
            <v>472</v>
          </cell>
          <cell r="B185" t="str">
            <v>Vegetables, preserved nes</v>
          </cell>
          <cell r="C185">
            <v>463</v>
          </cell>
          <cell r="D185">
            <v>29.5</v>
          </cell>
          <cell r="E185">
            <v>1.505</v>
          </cell>
          <cell r="F185">
            <v>1.8</v>
          </cell>
          <cell r="G185">
            <v>0.34</v>
          </cell>
          <cell r="H185">
            <v>0.795</v>
          </cell>
          <cell r="I185">
            <v>20</v>
          </cell>
          <cell r="J185">
            <v>24</v>
          </cell>
          <cell r="K185">
            <v>0.053</v>
          </cell>
          <cell r="L185">
            <v>12.95</v>
          </cell>
          <cell r="M185">
            <v>163</v>
          </cell>
          <cell r="N185">
            <v>0.29</v>
          </cell>
          <cell r="O185">
            <v>0</v>
          </cell>
          <cell r="P185">
            <v>18.2</v>
          </cell>
          <cell r="Q185">
            <v>22</v>
          </cell>
        </row>
        <row r="186">
          <cell r="A186">
            <v>473</v>
          </cell>
          <cell r="B186" t="str">
            <v>Vegetables, frozen</v>
          </cell>
          <cell r="C186">
            <v>463</v>
          </cell>
          <cell r="D186">
            <v>33</v>
          </cell>
          <cell r="E186">
            <v>2.645</v>
          </cell>
          <cell r="F186">
            <v>2.8</v>
          </cell>
          <cell r="G186">
            <v>0.325</v>
          </cell>
          <cell r="H186">
            <v>0.77</v>
          </cell>
          <cell r="I186">
            <v>25.5</v>
          </cell>
          <cell r="J186">
            <v>40</v>
          </cell>
          <cell r="K186">
            <v>0.088</v>
          </cell>
          <cell r="L186">
            <v>14.9</v>
          </cell>
          <cell r="M186">
            <v>211.5</v>
          </cell>
          <cell r="N186">
            <v>0.38</v>
          </cell>
          <cell r="O186">
            <v>0</v>
          </cell>
          <cell r="P186">
            <v>23.5</v>
          </cell>
          <cell r="Q186">
            <v>29</v>
          </cell>
        </row>
        <row r="187">
          <cell r="A187">
            <v>474</v>
          </cell>
          <cell r="B187" t="str">
            <v>Vegetables, temporarily preserved</v>
          </cell>
          <cell r="C187">
            <v>463</v>
          </cell>
          <cell r="D187">
            <v>30.5</v>
          </cell>
          <cell r="E187">
            <v>1.6</v>
          </cell>
          <cell r="F187">
            <v>1.8</v>
          </cell>
          <cell r="G187">
            <v>0.34</v>
          </cell>
          <cell r="H187">
            <v>0.795</v>
          </cell>
          <cell r="I187">
            <v>19</v>
          </cell>
          <cell r="J187">
            <v>25</v>
          </cell>
          <cell r="K187">
            <v>0.053</v>
          </cell>
          <cell r="L187">
            <v>12.95</v>
          </cell>
          <cell r="M187">
            <v>161</v>
          </cell>
          <cell r="N187">
            <v>0.29</v>
          </cell>
          <cell r="O187">
            <v>0</v>
          </cell>
          <cell r="P187">
            <v>18.2</v>
          </cell>
          <cell r="Q187">
            <v>22</v>
          </cell>
        </row>
        <row r="188">
          <cell r="A188">
            <v>475</v>
          </cell>
          <cell r="B188" t="str">
            <v>Vegetables, preserved, frozen</v>
          </cell>
          <cell r="C188">
            <v>463</v>
          </cell>
          <cell r="D188">
            <v>30</v>
          </cell>
          <cell r="E188">
            <v>2.75</v>
          </cell>
          <cell r="F188">
            <v>2.8</v>
          </cell>
          <cell r="G188">
            <v>0.34</v>
          </cell>
          <cell r="H188">
            <v>0.61</v>
          </cell>
          <cell r="I188">
            <v>25</v>
          </cell>
          <cell r="J188">
            <v>31</v>
          </cell>
          <cell r="K188">
            <v>0.069</v>
          </cell>
          <cell r="L188">
            <v>15.9</v>
          </cell>
          <cell r="M188">
            <v>180</v>
          </cell>
          <cell r="N188">
            <v>0</v>
          </cell>
          <cell r="O188">
            <v>0</v>
          </cell>
          <cell r="P188">
            <v>0</v>
          </cell>
          <cell r="Q188">
            <v>40</v>
          </cell>
        </row>
        <row r="189">
          <cell r="A189">
            <v>476</v>
          </cell>
          <cell r="B189" t="str">
            <v>Vegetables, homogenized preparations</v>
          </cell>
          <cell r="C189">
            <v>463</v>
          </cell>
          <cell r="D189">
            <v>35</v>
          </cell>
          <cell r="E189">
            <v>1.35</v>
          </cell>
          <cell r="F189">
            <v>1.75</v>
          </cell>
          <cell r="G189">
            <v>0.205</v>
          </cell>
          <cell r="H189">
            <v>0.4</v>
          </cell>
          <cell r="I189">
            <v>23.5</v>
          </cell>
          <cell r="J189">
            <v>21.5</v>
          </cell>
          <cell r="K189">
            <v>0.048</v>
          </cell>
          <cell r="L189">
            <v>9.9</v>
          </cell>
          <cell r="M189">
            <v>158</v>
          </cell>
          <cell r="N189">
            <v>0.29</v>
          </cell>
          <cell r="O189">
            <v>0</v>
          </cell>
          <cell r="P189">
            <v>18.2</v>
          </cell>
          <cell r="Q189">
            <v>54.5</v>
          </cell>
        </row>
        <row r="190">
          <cell r="A190">
            <v>486</v>
          </cell>
          <cell r="B190" t="str">
            <v>Bananas</v>
          </cell>
          <cell r="C190">
            <v>486</v>
          </cell>
          <cell r="D190">
            <v>99.98</v>
          </cell>
          <cell r="E190">
            <v>1.2</v>
          </cell>
          <cell r="F190">
            <v>1.8</v>
          </cell>
          <cell r="G190">
            <v>0.165</v>
          </cell>
          <cell r="H190">
            <v>0.5</v>
          </cell>
          <cell r="I190">
            <v>9</v>
          </cell>
          <cell r="J190">
            <v>19</v>
          </cell>
          <cell r="K190">
            <v>0.041166667</v>
          </cell>
          <cell r="L190">
            <v>9.8</v>
          </cell>
          <cell r="M190">
            <v>369</v>
          </cell>
          <cell r="N190">
            <v>0.1</v>
          </cell>
          <cell r="O190">
            <v>0</v>
          </cell>
          <cell r="P190">
            <v>0.5</v>
          </cell>
          <cell r="Q190">
            <v>18</v>
          </cell>
        </row>
        <row r="191">
          <cell r="A191">
            <v>489</v>
          </cell>
          <cell r="B191" t="str">
            <v>Plantains</v>
          </cell>
          <cell r="C191">
            <v>489</v>
          </cell>
          <cell r="D191">
            <v>122</v>
          </cell>
          <cell r="E191">
            <v>1.2</v>
          </cell>
          <cell r="F191">
            <v>1.65</v>
          </cell>
          <cell r="G191">
            <v>0.15</v>
          </cell>
          <cell r="H191">
            <v>0.6</v>
          </cell>
          <cell r="I191">
            <v>8</v>
          </cell>
          <cell r="J191">
            <v>22</v>
          </cell>
          <cell r="K191">
            <v>0.07</v>
          </cell>
          <cell r="L191">
            <v>13.5</v>
          </cell>
          <cell r="M191">
            <v>451.55</v>
          </cell>
          <cell r="N191">
            <v>0.13</v>
          </cell>
          <cell r="O191">
            <v>0</v>
          </cell>
          <cell r="P191">
            <v>0.700000000000001</v>
          </cell>
          <cell r="Q191">
            <v>42.5</v>
          </cell>
        </row>
        <row r="192">
          <cell r="A192">
            <v>490</v>
          </cell>
          <cell r="B192" t="str">
            <v>Oranges</v>
          </cell>
          <cell r="C192">
            <v>490</v>
          </cell>
          <cell r="D192">
            <v>45</v>
          </cell>
          <cell r="E192">
            <v>0.8</v>
          </cell>
          <cell r="F192">
            <v>1.7</v>
          </cell>
          <cell r="G192">
            <v>0.075</v>
          </cell>
          <cell r="H192">
            <v>0.4</v>
          </cell>
          <cell r="I192">
            <v>29.65</v>
          </cell>
          <cell r="J192">
            <v>24</v>
          </cell>
          <cell r="K192">
            <v>0.04</v>
          </cell>
          <cell r="L192">
            <v>10.2</v>
          </cell>
          <cell r="M192">
            <v>177</v>
          </cell>
          <cell r="N192">
            <v>0.209708462603116</v>
          </cell>
          <cell r="O192">
            <v>0</v>
          </cell>
          <cell r="P192">
            <v>0.0454449706925887</v>
          </cell>
          <cell r="Q192">
            <v>15.5</v>
          </cell>
        </row>
        <row r="193">
          <cell r="A193">
            <v>491</v>
          </cell>
          <cell r="B193" t="str">
            <v>Juice, orange, single strength</v>
          </cell>
          <cell r="C193">
            <v>490</v>
          </cell>
          <cell r="D193">
            <v>53</v>
          </cell>
          <cell r="E193">
            <v>0.2</v>
          </cell>
          <cell r="F193">
            <v>0.2</v>
          </cell>
          <cell r="G193">
            <v>0.06</v>
          </cell>
          <cell r="H193">
            <v>0.26</v>
          </cell>
          <cell r="I193">
            <v>9</v>
          </cell>
          <cell r="J193">
            <v>7</v>
          </cell>
          <cell r="K193">
            <v>0.0105</v>
          </cell>
          <cell r="L193">
            <v>2.1</v>
          </cell>
          <cell r="M193">
            <v>104.5</v>
          </cell>
          <cell r="N193">
            <v>0.2</v>
          </cell>
          <cell r="O193">
            <v>0</v>
          </cell>
          <cell r="P193">
            <v>0.1</v>
          </cell>
          <cell r="Q193">
            <v>7</v>
          </cell>
        </row>
        <row r="194">
          <cell r="A194">
            <v>492</v>
          </cell>
          <cell r="B194" t="str">
            <v>Juice, orange, concentrated</v>
          </cell>
          <cell r="C194">
            <v>490</v>
          </cell>
          <cell r="D194">
            <v>53</v>
          </cell>
          <cell r="E194">
            <v>0.2</v>
          </cell>
          <cell r="F194">
            <v>0.2</v>
          </cell>
          <cell r="G194">
            <v>0.06</v>
          </cell>
          <cell r="H194">
            <v>0.26</v>
          </cell>
          <cell r="I194">
            <v>9</v>
          </cell>
          <cell r="J194">
            <v>7</v>
          </cell>
          <cell r="K194">
            <v>0.0105</v>
          </cell>
          <cell r="L194">
            <v>2.1</v>
          </cell>
          <cell r="M194">
            <v>104.5</v>
          </cell>
          <cell r="N194">
            <v>0.2</v>
          </cell>
          <cell r="O194">
            <v>0</v>
          </cell>
          <cell r="P194">
            <v>0.1</v>
          </cell>
          <cell r="Q194">
            <v>7</v>
          </cell>
        </row>
        <row r="195">
          <cell r="A195">
            <v>495</v>
          </cell>
          <cell r="B195" t="str">
            <v>Tangerines, mandarins, clementines, satsumas</v>
          </cell>
          <cell r="C195">
            <v>495</v>
          </cell>
          <cell r="D195">
            <v>45</v>
          </cell>
          <cell r="E195">
            <v>0.8</v>
          </cell>
          <cell r="F195">
            <v>1.7</v>
          </cell>
          <cell r="G195">
            <v>0.075</v>
          </cell>
          <cell r="H195">
            <v>0.4</v>
          </cell>
          <cell r="I195">
            <v>29.65</v>
          </cell>
          <cell r="J195">
            <v>24</v>
          </cell>
          <cell r="K195">
            <v>0.04</v>
          </cell>
          <cell r="L195">
            <v>10.2</v>
          </cell>
          <cell r="M195">
            <v>177</v>
          </cell>
          <cell r="N195">
            <v>0.209708462603116</v>
          </cell>
          <cell r="O195">
            <v>0</v>
          </cell>
          <cell r="P195">
            <v>0.0454449706925887</v>
          </cell>
          <cell r="Q195">
            <v>15.5</v>
          </cell>
        </row>
        <row r="196">
          <cell r="A196">
            <v>497</v>
          </cell>
          <cell r="B196" t="str">
            <v>Lemons and limes</v>
          </cell>
          <cell r="C196">
            <v>497</v>
          </cell>
          <cell r="D196">
            <v>35.5</v>
          </cell>
          <cell r="E196">
            <v>0.7</v>
          </cell>
          <cell r="F196">
            <v>1</v>
          </cell>
          <cell r="G196">
            <v>0.105</v>
          </cell>
          <cell r="H196">
            <v>0.6</v>
          </cell>
          <cell r="I196">
            <v>30</v>
          </cell>
          <cell r="J196">
            <v>11</v>
          </cell>
          <cell r="K196">
            <v>0.03</v>
          </cell>
          <cell r="L196">
            <v>5.1</v>
          </cell>
          <cell r="M196">
            <v>163</v>
          </cell>
          <cell r="N196">
            <v>0.15</v>
          </cell>
          <cell r="O196">
            <v>0</v>
          </cell>
          <cell r="P196">
            <v>0</v>
          </cell>
          <cell r="Q196">
            <v>4</v>
          </cell>
        </row>
        <row r="197">
          <cell r="A197">
            <v>499</v>
          </cell>
          <cell r="B197" t="str">
            <v>Juice, lemon, concentrated</v>
          </cell>
          <cell r="C197">
            <v>497</v>
          </cell>
          <cell r="D197">
            <v>53</v>
          </cell>
          <cell r="E197">
            <v>0.2</v>
          </cell>
          <cell r="F197">
            <v>0.2</v>
          </cell>
          <cell r="G197">
            <v>0.06</v>
          </cell>
          <cell r="H197">
            <v>0.26</v>
          </cell>
          <cell r="I197">
            <v>9</v>
          </cell>
          <cell r="J197">
            <v>7</v>
          </cell>
          <cell r="K197">
            <v>0.0105</v>
          </cell>
          <cell r="L197">
            <v>2.1</v>
          </cell>
          <cell r="M197">
            <v>104.5</v>
          </cell>
          <cell r="N197">
            <v>0.2</v>
          </cell>
          <cell r="O197">
            <v>0</v>
          </cell>
          <cell r="P197">
            <v>0.1</v>
          </cell>
          <cell r="Q197">
            <v>7</v>
          </cell>
        </row>
        <row r="198">
          <cell r="A198">
            <v>507</v>
          </cell>
          <cell r="B198" t="str">
            <v>Grapefruit (inc. pomelos)</v>
          </cell>
          <cell r="C198">
            <v>507</v>
          </cell>
          <cell r="D198">
            <v>34</v>
          </cell>
          <cell r="E198">
            <v>0.7</v>
          </cell>
          <cell r="F198">
            <v>1</v>
          </cell>
          <cell r="G198">
            <v>0.07</v>
          </cell>
          <cell r="H198">
            <v>0.3</v>
          </cell>
          <cell r="I198">
            <v>21</v>
          </cell>
          <cell r="J198">
            <v>11</v>
          </cell>
          <cell r="K198">
            <v>0.03</v>
          </cell>
          <cell r="L198">
            <v>7.7</v>
          </cell>
          <cell r="M198">
            <v>164</v>
          </cell>
          <cell r="N198">
            <v>0.142579050520011</v>
          </cell>
          <cell r="O198">
            <v>0</v>
          </cell>
          <cell r="P198">
            <v>0.0180513899771819</v>
          </cell>
          <cell r="Q198">
            <v>3</v>
          </cell>
        </row>
        <row r="199">
          <cell r="A199">
            <v>509</v>
          </cell>
          <cell r="B199" t="str">
            <v>Juice, grapefruit</v>
          </cell>
          <cell r="C199">
            <v>507</v>
          </cell>
          <cell r="D199">
            <v>53</v>
          </cell>
          <cell r="E199">
            <v>0.2</v>
          </cell>
          <cell r="F199">
            <v>0.2</v>
          </cell>
          <cell r="G199">
            <v>0.06</v>
          </cell>
          <cell r="H199">
            <v>0.26</v>
          </cell>
          <cell r="I199">
            <v>9</v>
          </cell>
          <cell r="J199">
            <v>7</v>
          </cell>
          <cell r="K199">
            <v>0.0105</v>
          </cell>
          <cell r="L199">
            <v>2.1</v>
          </cell>
          <cell r="M199">
            <v>104.5</v>
          </cell>
          <cell r="N199">
            <v>0.2</v>
          </cell>
          <cell r="O199">
            <v>0</v>
          </cell>
          <cell r="P199">
            <v>0.1</v>
          </cell>
          <cell r="Q199">
            <v>7</v>
          </cell>
        </row>
        <row r="200">
          <cell r="A200">
            <v>510</v>
          </cell>
          <cell r="B200" t="str">
            <v>Juice, grapefruit, concentrated</v>
          </cell>
          <cell r="C200">
            <v>507</v>
          </cell>
          <cell r="D200">
            <v>53</v>
          </cell>
          <cell r="E200">
            <v>0.2</v>
          </cell>
          <cell r="F200">
            <v>0.2</v>
          </cell>
          <cell r="G200">
            <v>0.06</v>
          </cell>
          <cell r="H200">
            <v>0.26</v>
          </cell>
          <cell r="I200">
            <v>9</v>
          </cell>
          <cell r="J200">
            <v>7</v>
          </cell>
          <cell r="K200">
            <v>0.0105</v>
          </cell>
          <cell r="L200">
            <v>2.1</v>
          </cell>
          <cell r="M200">
            <v>104.5</v>
          </cell>
          <cell r="N200">
            <v>0.2</v>
          </cell>
          <cell r="O200">
            <v>0</v>
          </cell>
          <cell r="P200">
            <v>0.1</v>
          </cell>
          <cell r="Q200">
            <v>7</v>
          </cell>
        </row>
        <row r="201">
          <cell r="A201">
            <v>513</v>
          </cell>
          <cell r="B201" t="str">
            <v>Juice, citrus, single strength</v>
          </cell>
          <cell r="C201">
            <v>490</v>
          </cell>
          <cell r="D201">
            <v>53</v>
          </cell>
          <cell r="E201">
            <v>0.2</v>
          </cell>
          <cell r="F201">
            <v>0.2</v>
          </cell>
          <cell r="G201">
            <v>0.06</v>
          </cell>
          <cell r="H201">
            <v>0.26</v>
          </cell>
          <cell r="I201">
            <v>9</v>
          </cell>
          <cell r="J201">
            <v>7</v>
          </cell>
          <cell r="K201">
            <v>0.0105</v>
          </cell>
          <cell r="L201">
            <v>2.1</v>
          </cell>
          <cell r="M201">
            <v>104.5</v>
          </cell>
          <cell r="N201">
            <v>0.2</v>
          </cell>
          <cell r="O201">
            <v>0</v>
          </cell>
          <cell r="P201">
            <v>0.1</v>
          </cell>
          <cell r="Q201">
            <v>7</v>
          </cell>
        </row>
        <row r="202">
          <cell r="A202">
            <v>514</v>
          </cell>
          <cell r="B202" t="str">
            <v>Juice, citrus, concentrated</v>
          </cell>
          <cell r="C202">
            <v>490</v>
          </cell>
          <cell r="D202">
            <v>53</v>
          </cell>
          <cell r="E202">
            <v>0.2</v>
          </cell>
          <cell r="F202">
            <v>0.2</v>
          </cell>
          <cell r="G202">
            <v>0.06</v>
          </cell>
          <cell r="H202">
            <v>0.26</v>
          </cell>
          <cell r="I202">
            <v>9</v>
          </cell>
          <cell r="J202">
            <v>7</v>
          </cell>
          <cell r="K202">
            <v>0.0105</v>
          </cell>
          <cell r="L202">
            <v>2.1</v>
          </cell>
          <cell r="M202">
            <v>104.5</v>
          </cell>
          <cell r="N202">
            <v>0.2</v>
          </cell>
          <cell r="O202">
            <v>0</v>
          </cell>
          <cell r="P202">
            <v>0.1</v>
          </cell>
          <cell r="Q202">
            <v>7</v>
          </cell>
        </row>
        <row r="203">
          <cell r="A203">
            <v>515</v>
          </cell>
          <cell r="B203" t="str">
            <v>Apples</v>
          </cell>
          <cell r="C203">
            <v>515</v>
          </cell>
          <cell r="D203">
            <v>56.85</v>
          </cell>
          <cell r="E203">
            <v>0.3</v>
          </cell>
          <cell r="F203">
            <v>1.15</v>
          </cell>
          <cell r="G203">
            <v>0.04</v>
          </cell>
          <cell r="H203">
            <v>0.65</v>
          </cell>
          <cell r="I203">
            <v>7</v>
          </cell>
          <cell r="J203">
            <v>3</v>
          </cell>
          <cell r="K203">
            <v>0.03</v>
          </cell>
          <cell r="L203">
            <v>162.2</v>
          </cell>
          <cell r="M203">
            <v>107</v>
          </cell>
          <cell r="N203">
            <v>0.18</v>
          </cell>
          <cell r="O203">
            <v>0</v>
          </cell>
          <cell r="P203">
            <v>2.2</v>
          </cell>
          <cell r="Q203">
            <v>3</v>
          </cell>
        </row>
        <row r="204">
          <cell r="A204">
            <v>517</v>
          </cell>
          <cell r="B204" t="str">
            <v>Cider etc</v>
          </cell>
          <cell r="C204">
            <v>515</v>
          </cell>
          <cell r="D204">
            <v>34</v>
          </cell>
          <cell r="E204">
            <v>0</v>
          </cell>
          <cell r="F204">
            <v>0</v>
          </cell>
          <cell r="G204">
            <v>0.05</v>
          </cell>
          <cell r="H204">
            <v>0.18</v>
          </cell>
          <cell r="I204">
            <v>3</v>
          </cell>
          <cell r="J204">
            <v>0</v>
          </cell>
          <cell r="K204">
            <v>0</v>
          </cell>
          <cell r="L204">
            <v>0</v>
          </cell>
          <cell r="M204">
            <v>1</v>
          </cell>
          <cell r="N204">
            <v>0</v>
          </cell>
          <cell r="O204">
            <v>0</v>
          </cell>
          <cell r="P204">
            <v>0</v>
          </cell>
          <cell r="Q204">
            <v>0</v>
          </cell>
        </row>
        <row r="205">
          <cell r="A205">
            <v>521</v>
          </cell>
          <cell r="B205" t="str">
            <v>Pears</v>
          </cell>
          <cell r="C205">
            <v>521</v>
          </cell>
          <cell r="D205">
            <v>52</v>
          </cell>
          <cell r="E205">
            <v>0.4</v>
          </cell>
          <cell r="F205">
            <v>1.8</v>
          </cell>
          <cell r="G205">
            <v>0.12</v>
          </cell>
          <cell r="H205">
            <v>0.3</v>
          </cell>
          <cell r="I205">
            <v>9</v>
          </cell>
          <cell r="J205">
            <v>7</v>
          </cell>
          <cell r="K205">
            <v>0.05</v>
          </cell>
          <cell r="L205">
            <v>5.1</v>
          </cell>
          <cell r="M205">
            <v>120.5</v>
          </cell>
          <cell r="N205">
            <v>0.12</v>
          </cell>
          <cell r="O205">
            <v>0</v>
          </cell>
          <cell r="P205">
            <v>4.4</v>
          </cell>
          <cell r="Q205">
            <v>1</v>
          </cell>
        </row>
        <row r="206">
          <cell r="A206">
            <v>523</v>
          </cell>
          <cell r="B206" t="str">
            <v>Quinces</v>
          </cell>
          <cell r="C206">
            <v>523</v>
          </cell>
          <cell r="D206">
            <v>57</v>
          </cell>
          <cell r="E206">
            <v>0.4</v>
          </cell>
          <cell r="F206">
            <v>2</v>
          </cell>
          <cell r="G206">
            <v>0.04</v>
          </cell>
          <cell r="H206">
            <v>0.7</v>
          </cell>
          <cell r="I206">
            <v>11</v>
          </cell>
          <cell r="J206">
            <v>3</v>
          </cell>
          <cell r="K206">
            <v>0.035</v>
          </cell>
          <cell r="L206">
            <v>0</v>
          </cell>
          <cell r="M206">
            <v>197</v>
          </cell>
          <cell r="N206">
            <v>0</v>
          </cell>
          <cell r="O206">
            <v>0</v>
          </cell>
          <cell r="P206">
            <v>0</v>
          </cell>
          <cell r="Q206">
            <v>5.5</v>
          </cell>
        </row>
        <row r="207">
          <cell r="A207">
            <v>526</v>
          </cell>
          <cell r="B207" t="str">
            <v>Apricots</v>
          </cell>
          <cell r="C207">
            <v>526</v>
          </cell>
          <cell r="D207">
            <v>50</v>
          </cell>
          <cell r="E207">
            <v>1</v>
          </cell>
          <cell r="F207">
            <v>1.1</v>
          </cell>
          <cell r="G207">
            <v>0.2</v>
          </cell>
          <cell r="H207">
            <v>0.6</v>
          </cell>
          <cell r="I207">
            <v>17</v>
          </cell>
          <cell r="J207">
            <v>9</v>
          </cell>
          <cell r="K207">
            <v>0.055</v>
          </cell>
          <cell r="L207">
            <v>2.8</v>
          </cell>
          <cell r="M207">
            <v>296</v>
          </cell>
          <cell r="N207">
            <v>0.89</v>
          </cell>
          <cell r="O207">
            <v>0</v>
          </cell>
          <cell r="P207">
            <v>3.3</v>
          </cell>
          <cell r="Q207">
            <v>96</v>
          </cell>
        </row>
        <row r="208">
          <cell r="A208">
            <v>527</v>
          </cell>
          <cell r="B208" t="str">
            <v>Apricots, dry</v>
          </cell>
          <cell r="C208">
            <v>526</v>
          </cell>
          <cell r="D208">
            <v>50</v>
          </cell>
          <cell r="E208">
            <v>1</v>
          </cell>
          <cell r="F208">
            <v>1.1</v>
          </cell>
          <cell r="G208">
            <v>0.2</v>
          </cell>
          <cell r="H208">
            <v>0.6</v>
          </cell>
          <cell r="I208">
            <v>17</v>
          </cell>
          <cell r="J208">
            <v>9</v>
          </cell>
          <cell r="K208">
            <v>0.055</v>
          </cell>
          <cell r="L208">
            <v>2.8</v>
          </cell>
          <cell r="M208">
            <v>296</v>
          </cell>
          <cell r="N208">
            <v>0.89</v>
          </cell>
          <cell r="O208">
            <v>0</v>
          </cell>
          <cell r="P208">
            <v>3.3</v>
          </cell>
          <cell r="Q208">
            <v>96</v>
          </cell>
        </row>
        <row r="209">
          <cell r="A209">
            <v>530</v>
          </cell>
          <cell r="B209" t="str">
            <v>Cherries, sour</v>
          </cell>
          <cell r="C209">
            <v>530</v>
          </cell>
          <cell r="D209">
            <v>46</v>
          </cell>
          <cell r="E209">
            <v>1.1</v>
          </cell>
          <cell r="F209">
            <v>1.2</v>
          </cell>
          <cell r="G209">
            <v>0.165</v>
          </cell>
          <cell r="H209">
            <v>0.4</v>
          </cell>
          <cell r="I209">
            <v>14</v>
          </cell>
          <cell r="J209">
            <v>8</v>
          </cell>
          <cell r="K209">
            <v>0.03</v>
          </cell>
          <cell r="L209">
            <v>6.1</v>
          </cell>
          <cell r="M209">
            <v>173</v>
          </cell>
          <cell r="N209">
            <v>0.07</v>
          </cell>
          <cell r="O209">
            <v>0</v>
          </cell>
          <cell r="P209">
            <v>2.1</v>
          </cell>
          <cell r="Q209">
            <v>49.5</v>
          </cell>
        </row>
        <row r="210">
          <cell r="A210">
            <v>531</v>
          </cell>
          <cell r="B210" t="str">
            <v>Cherries</v>
          </cell>
          <cell r="C210">
            <v>531</v>
          </cell>
          <cell r="D210">
            <v>63</v>
          </cell>
          <cell r="E210">
            <v>1.08</v>
          </cell>
          <cell r="F210">
            <v>1.05</v>
          </cell>
          <cell r="G210">
            <v>0.07</v>
          </cell>
          <cell r="H210">
            <v>0.38</v>
          </cell>
          <cell r="I210">
            <v>24</v>
          </cell>
          <cell r="J210">
            <v>4</v>
          </cell>
          <cell r="K210">
            <v>0.033</v>
          </cell>
          <cell r="L210">
            <v>6.1</v>
          </cell>
          <cell r="M210">
            <v>248.5</v>
          </cell>
          <cell r="N210">
            <v>0.07</v>
          </cell>
          <cell r="O210">
            <v>0</v>
          </cell>
          <cell r="P210">
            <v>2.1</v>
          </cell>
          <cell r="Q210">
            <v>26</v>
          </cell>
        </row>
        <row r="211">
          <cell r="A211">
            <v>534</v>
          </cell>
          <cell r="B211" t="str">
            <v>Peaches and nectarines</v>
          </cell>
          <cell r="C211">
            <v>534</v>
          </cell>
          <cell r="D211">
            <v>47</v>
          </cell>
          <cell r="E211">
            <v>0.9</v>
          </cell>
          <cell r="F211">
            <v>1</v>
          </cell>
          <cell r="G211">
            <v>0.14</v>
          </cell>
          <cell r="H211">
            <v>0.4</v>
          </cell>
          <cell r="I211">
            <v>10</v>
          </cell>
          <cell r="J211">
            <v>4.5</v>
          </cell>
          <cell r="K211">
            <v>0.04</v>
          </cell>
          <cell r="L211">
            <v>6.15</v>
          </cell>
          <cell r="M211">
            <v>202</v>
          </cell>
          <cell r="N211">
            <v>0.77</v>
          </cell>
          <cell r="O211">
            <v>0</v>
          </cell>
          <cell r="P211">
            <v>2.2</v>
          </cell>
          <cell r="Q211">
            <v>9</v>
          </cell>
        </row>
        <row r="212">
          <cell r="A212">
            <v>536</v>
          </cell>
          <cell r="B212" t="str">
            <v>Plums and sloes</v>
          </cell>
          <cell r="C212">
            <v>536</v>
          </cell>
          <cell r="D212">
            <v>49</v>
          </cell>
          <cell r="E212">
            <v>0.7</v>
          </cell>
          <cell r="F212">
            <v>1.1</v>
          </cell>
          <cell r="G212">
            <v>0.1</v>
          </cell>
          <cell r="H212">
            <v>0.6</v>
          </cell>
          <cell r="I212">
            <v>15</v>
          </cell>
          <cell r="J212">
            <v>5</v>
          </cell>
          <cell r="K212">
            <v>0.06</v>
          </cell>
          <cell r="L212">
            <v>1.9</v>
          </cell>
          <cell r="M212">
            <v>172</v>
          </cell>
          <cell r="N212">
            <v>0.26</v>
          </cell>
          <cell r="O212">
            <v>0</v>
          </cell>
          <cell r="P212">
            <v>6.4</v>
          </cell>
          <cell r="Q212">
            <v>22.5</v>
          </cell>
        </row>
        <row r="213">
          <cell r="A213">
            <v>537</v>
          </cell>
          <cell r="B213" t="str">
            <v>Plums dried (prunes)</v>
          </cell>
          <cell r="C213">
            <v>536</v>
          </cell>
          <cell r="D213">
            <v>49</v>
          </cell>
          <cell r="E213">
            <v>0.7</v>
          </cell>
          <cell r="F213">
            <v>1.1</v>
          </cell>
          <cell r="G213">
            <v>0.1</v>
          </cell>
          <cell r="H213">
            <v>0.6</v>
          </cell>
          <cell r="I213">
            <v>15</v>
          </cell>
          <cell r="J213">
            <v>5</v>
          </cell>
          <cell r="K213">
            <v>0.06</v>
          </cell>
          <cell r="L213">
            <v>1.9</v>
          </cell>
          <cell r="M213">
            <v>172</v>
          </cell>
          <cell r="N213">
            <v>0.26</v>
          </cell>
          <cell r="O213">
            <v>0</v>
          </cell>
          <cell r="P213">
            <v>6.4</v>
          </cell>
          <cell r="Q213">
            <v>22.5</v>
          </cell>
        </row>
        <row r="214">
          <cell r="A214">
            <v>539</v>
          </cell>
          <cell r="B214" t="str">
            <v>Juice, plum, concentrated</v>
          </cell>
          <cell r="C214">
            <v>536</v>
          </cell>
          <cell r="D214">
            <v>53</v>
          </cell>
          <cell r="E214">
            <v>0.2</v>
          </cell>
          <cell r="F214">
            <v>0.2</v>
          </cell>
          <cell r="G214">
            <v>0.06</v>
          </cell>
          <cell r="H214">
            <v>0.26</v>
          </cell>
          <cell r="I214">
            <v>9</v>
          </cell>
          <cell r="J214">
            <v>7</v>
          </cell>
          <cell r="K214">
            <v>0.0105</v>
          </cell>
          <cell r="L214">
            <v>2.1</v>
          </cell>
          <cell r="M214">
            <v>104.5</v>
          </cell>
          <cell r="N214">
            <v>0.2</v>
          </cell>
          <cell r="O214">
            <v>0</v>
          </cell>
          <cell r="P214">
            <v>0.1</v>
          </cell>
          <cell r="Q214">
            <v>7</v>
          </cell>
        </row>
        <row r="215">
          <cell r="A215">
            <v>544</v>
          </cell>
          <cell r="B215" t="str">
            <v>Strawberries</v>
          </cell>
          <cell r="C215">
            <v>544</v>
          </cell>
          <cell r="D215">
            <v>32</v>
          </cell>
          <cell r="E215">
            <v>0.8</v>
          </cell>
          <cell r="F215">
            <v>1.55</v>
          </cell>
          <cell r="G215">
            <v>0.14</v>
          </cell>
          <cell r="H215">
            <v>0.755</v>
          </cell>
          <cell r="I215">
            <v>21.5</v>
          </cell>
          <cell r="J215">
            <v>24</v>
          </cell>
          <cell r="K215">
            <v>0.05</v>
          </cell>
          <cell r="L215">
            <v>5.7</v>
          </cell>
          <cell r="M215">
            <v>157</v>
          </cell>
          <cell r="N215">
            <v>0.29</v>
          </cell>
          <cell r="O215">
            <v>0</v>
          </cell>
          <cell r="P215">
            <v>2.2</v>
          </cell>
          <cell r="Q215">
            <v>4.5</v>
          </cell>
        </row>
        <row r="216">
          <cell r="A216">
            <v>549</v>
          </cell>
          <cell r="B216" t="str">
            <v>Gooseberries</v>
          </cell>
          <cell r="C216">
            <v>549</v>
          </cell>
          <cell r="D216">
            <v>58</v>
          </cell>
          <cell r="E216">
            <v>0.89</v>
          </cell>
          <cell r="F216">
            <v>3.6</v>
          </cell>
          <cell r="G216">
            <v>0.12</v>
          </cell>
          <cell r="H216">
            <v>0.405</v>
          </cell>
          <cell r="I216">
            <v>21.5</v>
          </cell>
          <cell r="J216">
            <v>6</v>
          </cell>
          <cell r="K216">
            <v>0.03</v>
          </cell>
          <cell r="L216">
            <v>0</v>
          </cell>
          <cell r="M216">
            <v>198</v>
          </cell>
          <cell r="N216">
            <v>0.37</v>
          </cell>
          <cell r="O216">
            <v>0</v>
          </cell>
          <cell r="P216">
            <v>0</v>
          </cell>
          <cell r="Q216">
            <v>15</v>
          </cell>
        </row>
        <row r="217">
          <cell r="A217">
            <v>550</v>
          </cell>
          <cell r="B217" t="str">
            <v>Currants</v>
          </cell>
          <cell r="C217">
            <v>550</v>
          </cell>
          <cell r="D217">
            <v>64.5</v>
          </cell>
          <cell r="E217">
            <v>1.4</v>
          </cell>
          <cell r="F217">
            <v>2.65</v>
          </cell>
          <cell r="G217">
            <v>0.27</v>
          </cell>
          <cell r="H217">
            <v>1.52</v>
          </cell>
          <cell r="I217">
            <v>55</v>
          </cell>
          <cell r="J217">
            <v>8</v>
          </cell>
          <cell r="K217">
            <v>0.05</v>
          </cell>
          <cell r="L217">
            <v>7.6</v>
          </cell>
          <cell r="M217">
            <v>298.5</v>
          </cell>
          <cell r="N217">
            <v>0.1</v>
          </cell>
          <cell r="O217">
            <v>0</v>
          </cell>
          <cell r="P217">
            <v>11</v>
          </cell>
          <cell r="Q217">
            <v>7</v>
          </cell>
        </row>
        <row r="218">
          <cell r="A218">
            <v>552</v>
          </cell>
          <cell r="B218" t="str">
            <v>Blueberries</v>
          </cell>
          <cell r="C218">
            <v>552</v>
          </cell>
          <cell r="D218">
            <v>57</v>
          </cell>
          <cell r="E218">
            <v>0.74</v>
          </cell>
          <cell r="F218">
            <v>2.4</v>
          </cell>
          <cell r="G218">
            <v>0.16</v>
          </cell>
          <cell r="H218">
            <v>0.28</v>
          </cell>
          <cell r="I218">
            <v>6</v>
          </cell>
          <cell r="J218">
            <v>6</v>
          </cell>
          <cell r="K218">
            <v>0.041</v>
          </cell>
          <cell r="L218">
            <v>6</v>
          </cell>
          <cell r="M218">
            <v>77</v>
          </cell>
          <cell r="N218">
            <v>0.57</v>
          </cell>
          <cell r="O218">
            <v>0</v>
          </cell>
          <cell r="P218">
            <v>19.3</v>
          </cell>
          <cell r="Q218">
            <v>3</v>
          </cell>
        </row>
        <row r="219">
          <cell r="A219">
            <v>554</v>
          </cell>
          <cell r="B219" t="str">
            <v>Cranberries</v>
          </cell>
          <cell r="C219">
            <v>554</v>
          </cell>
          <cell r="D219">
            <v>46</v>
          </cell>
          <cell r="E219">
            <v>0.39</v>
          </cell>
          <cell r="F219">
            <v>4.6</v>
          </cell>
          <cell r="G219">
            <v>0.1</v>
          </cell>
          <cell r="H219">
            <v>0.25</v>
          </cell>
          <cell r="I219">
            <v>8</v>
          </cell>
          <cell r="J219">
            <v>1</v>
          </cell>
          <cell r="K219">
            <v>0.02</v>
          </cell>
          <cell r="L219">
            <v>5.5</v>
          </cell>
          <cell r="M219">
            <v>85</v>
          </cell>
          <cell r="N219">
            <v>1.2</v>
          </cell>
          <cell r="O219">
            <v>0</v>
          </cell>
          <cell r="P219">
            <v>5.1</v>
          </cell>
          <cell r="Q219">
            <v>3</v>
          </cell>
        </row>
        <row r="220">
          <cell r="A220">
            <v>560</v>
          </cell>
          <cell r="B220" t="str">
            <v>Grapes</v>
          </cell>
          <cell r="C220">
            <v>560</v>
          </cell>
          <cell r="D220">
            <v>62</v>
          </cell>
          <cell r="E220">
            <v>0.5</v>
          </cell>
          <cell r="F220">
            <v>2</v>
          </cell>
          <cell r="G220">
            <v>0.07</v>
          </cell>
          <cell r="H220">
            <v>0.5</v>
          </cell>
          <cell r="I220">
            <v>14</v>
          </cell>
          <cell r="J220">
            <v>3</v>
          </cell>
          <cell r="K220">
            <v>0.05</v>
          </cell>
          <cell r="L220">
            <v>5.6</v>
          </cell>
          <cell r="M220">
            <v>191</v>
          </cell>
          <cell r="N220">
            <v>0</v>
          </cell>
          <cell r="O220">
            <v>0</v>
          </cell>
          <cell r="P220">
            <v>0</v>
          </cell>
          <cell r="Q220">
            <v>3</v>
          </cell>
        </row>
        <row r="221">
          <cell r="A221">
            <v>561</v>
          </cell>
          <cell r="B221" t="str">
            <v>Raisins</v>
          </cell>
          <cell r="C221">
            <v>560</v>
          </cell>
          <cell r="D221">
            <v>149</v>
          </cell>
          <cell r="E221">
            <v>1.705</v>
          </cell>
          <cell r="F221">
            <v>4</v>
          </cell>
          <cell r="G221">
            <v>0.29</v>
          </cell>
          <cell r="H221">
            <v>1.01</v>
          </cell>
          <cell r="I221">
            <v>36.5</v>
          </cell>
          <cell r="J221">
            <v>19</v>
          </cell>
          <cell r="K221">
            <v>0.08</v>
          </cell>
          <cell r="L221">
            <v>8.1</v>
          </cell>
          <cell r="M221">
            <v>654</v>
          </cell>
          <cell r="N221">
            <v>0</v>
          </cell>
          <cell r="O221">
            <v>0</v>
          </cell>
          <cell r="P221">
            <v>2.7</v>
          </cell>
          <cell r="Q221">
            <v>5</v>
          </cell>
        </row>
        <row r="222">
          <cell r="A222">
            <v>562</v>
          </cell>
          <cell r="B222" t="str">
            <v>Juice, grape</v>
          </cell>
          <cell r="C222">
            <v>560</v>
          </cell>
          <cell r="D222">
            <v>53</v>
          </cell>
          <cell r="E222">
            <v>0.2</v>
          </cell>
          <cell r="F222">
            <v>0.2</v>
          </cell>
          <cell r="G222">
            <v>0.06</v>
          </cell>
          <cell r="H222">
            <v>0.26</v>
          </cell>
          <cell r="I222">
            <v>9</v>
          </cell>
          <cell r="J222">
            <v>7</v>
          </cell>
          <cell r="K222">
            <v>0.0105</v>
          </cell>
          <cell r="L222">
            <v>2.1</v>
          </cell>
          <cell r="M222">
            <v>104.5</v>
          </cell>
          <cell r="N222">
            <v>0.2</v>
          </cell>
          <cell r="O222">
            <v>0</v>
          </cell>
          <cell r="P222">
            <v>0.1</v>
          </cell>
          <cell r="Q222">
            <v>7</v>
          </cell>
        </row>
        <row r="223">
          <cell r="A223">
            <v>564</v>
          </cell>
          <cell r="B223" t="str">
            <v>Wine</v>
          </cell>
          <cell r="C223">
            <v>560</v>
          </cell>
          <cell r="D223">
            <v>77.5</v>
          </cell>
          <cell r="E223">
            <v>0.2</v>
          </cell>
          <cell r="F223">
            <v>0</v>
          </cell>
          <cell r="G223">
            <v>0.08</v>
          </cell>
          <cell r="H223">
            <v>0.5</v>
          </cell>
          <cell r="I223">
            <v>8</v>
          </cell>
          <cell r="J223">
            <v>1</v>
          </cell>
          <cell r="K223">
            <v>0.005</v>
          </cell>
          <cell r="L223">
            <v>5</v>
          </cell>
          <cell r="M223">
            <v>99</v>
          </cell>
          <cell r="N223">
            <v>0</v>
          </cell>
          <cell r="O223">
            <v>0</v>
          </cell>
          <cell r="P223">
            <v>0.0203475603526829</v>
          </cell>
          <cell r="Q223">
            <v>0</v>
          </cell>
        </row>
        <row r="224">
          <cell r="A224">
            <v>565</v>
          </cell>
          <cell r="B224" t="str">
            <v>Vermouths &amp;amp; similar</v>
          </cell>
          <cell r="C224">
            <v>560</v>
          </cell>
          <cell r="D224">
            <v>77.5</v>
          </cell>
          <cell r="E224">
            <v>0.2</v>
          </cell>
          <cell r="F224">
            <v>0</v>
          </cell>
          <cell r="G224">
            <v>0.08</v>
          </cell>
          <cell r="H224">
            <v>0.5</v>
          </cell>
          <cell r="I224">
            <v>8</v>
          </cell>
          <cell r="J224">
            <v>1</v>
          </cell>
          <cell r="K224">
            <v>0.005</v>
          </cell>
          <cell r="L224">
            <v>5</v>
          </cell>
          <cell r="M224">
            <v>99</v>
          </cell>
          <cell r="N224">
            <v>0</v>
          </cell>
          <cell r="O224">
            <v>0</v>
          </cell>
          <cell r="P224">
            <v>0.0203475603526829</v>
          </cell>
          <cell r="Q224">
            <v>0</v>
          </cell>
        </row>
        <row r="225">
          <cell r="A225">
            <v>567</v>
          </cell>
          <cell r="B225" t="str">
            <v>Watermelons</v>
          </cell>
          <cell r="C225">
            <v>567</v>
          </cell>
          <cell r="D225">
            <v>23</v>
          </cell>
          <cell r="E225">
            <v>0.516666667</v>
          </cell>
          <cell r="F225">
            <v>0.33</v>
          </cell>
          <cell r="G225">
            <v>0.1</v>
          </cell>
          <cell r="H225">
            <v>0.254166669</v>
          </cell>
          <cell r="I225">
            <v>8</v>
          </cell>
          <cell r="J225">
            <v>3.4166666665</v>
          </cell>
          <cell r="K225">
            <v>0.03</v>
          </cell>
          <cell r="L225">
            <v>4.1</v>
          </cell>
          <cell r="M225">
            <v>109.25</v>
          </cell>
          <cell r="N225">
            <v>0.05</v>
          </cell>
          <cell r="O225">
            <v>0</v>
          </cell>
          <cell r="P225">
            <v>0.1</v>
          </cell>
          <cell r="Q225">
            <v>35</v>
          </cell>
        </row>
        <row r="226">
          <cell r="A226">
            <v>568</v>
          </cell>
          <cell r="B226" t="str">
            <v>Melons, other (inc.cantaloupes)</v>
          </cell>
          <cell r="C226">
            <v>568</v>
          </cell>
          <cell r="D226">
            <v>26</v>
          </cell>
          <cell r="E226">
            <v>0.54</v>
          </cell>
          <cell r="F226">
            <v>0.8</v>
          </cell>
          <cell r="G226">
            <v>0.095</v>
          </cell>
          <cell r="H226">
            <v>0.4</v>
          </cell>
          <cell r="I226">
            <v>14</v>
          </cell>
          <cell r="J226">
            <v>16</v>
          </cell>
          <cell r="K226">
            <v>0.02</v>
          </cell>
          <cell r="L226">
            <v>7.6</v>
          </cell>
          <cell r="M226">
            <v>257.5</v>
          </cell>
          <cell r="N226">
            <v>0.05</v>
          </cell>
          <cell r="O226">
            <v>0</v>
          </cell>
          <cell r="P226">
            <v>2.5</v>
          </cell>
          <cell r="Q226">
            <v>10</v>
          </cell>
        </row>
        <row r="227">
          <cell r="A227">
            <v>569</v>
          </cell>
          <cell r="B227" t="str">
            <v>Figs</v>
          </cell>
          <cell r="C227">
            <v>569</v>
          </cell>
          <cell r="D227">
            <v>52</v>
          </cell>
          <cell r="E227">
            <v>0.9</v>
          </cell>
          <cell r="F227">
            <v>2.3</v>
          </cell>
          <cell r="G227">
            <v>0.175</v>
          </cell>
          <cell r="H227">
            <v>0.5</v>
          </cell>
          <cell r="I227">
            <v>44</v>
          </cell>
          <cell r="J227">
            <v>6.5</v>
          </cell>
          <cell r="K227">
            <v>0.05</v>
          </cell>
          <cell r="L227">
            <v>4.7</v>
          </cell>
          <cell r="M227">
            <v>226.5</v>
          </cell>
          <cell r="N227">
            <v>0.11</v>
          </cell>
          <cell r="O227">
            <v>0</v>
          </cell>
          <cell r="P227">
            <v>4.7</v>
          </cell>
          <cell r="Q227">
            <v>5</v>
          </cell>
        </row>
        <row r="228">
          <cell r="A228">
            <v>570</v>
          </cell>
          <cell r="B228" t="str">
            <v>Figs dried</v>
          </cell>
          <cell r="C228">
            <v>569</v>
          </cell>
          <cell r="D228">
            <v>52</v>
          </cell>
          <cell r="E228">
            <v>0.9</v>
          </cell>
          <cell r="F228">
            <v>2.3</v>
          </cell>
          <cell r="G228">
            <v>0.175</v>
          </cell>
          <cell r="H228">
            <v>0.5</v>
          </cell>
          <cell r="I228">
            <v>44</v>
          </cell>
          <cell r="J228">
            <v>6.5</v>
          </cell>
          <cell r="K228">
            <v>0.05</v>
          </cell>
          <cell r="L228">
            <v>4.7</v>
          </cell>
          <cell r="M228">
            <v>226.5</v>
          </cell>
          <cell r="N228">
            <v>0.11</v>
          </cell>
          <cell r="O228">
            <v>0</v>
          </cell>
          <cell r="P228">
            <v>4.7</v>
          </cell>
          <cell r="Q228">
            <v>5</v>
          </cell>
        </row>
        <row r="229">
          <cell r="A229">
            <v>571</v>
          </cell>
          <cell r="B229" t="str">
            <v>Mangoes, mangosteens, guavas</v>
          </cell>
          <cell r="C229">
            <v>571</v>
          </cell>
          <cell r="D229">
            <v>64</v>
          </cell>
          <cell r="E229">
            <v>0.77</v>
          </cell>
          <cell r="F229">
            <v>2.1</v>
          </cell>
          <cell r="G229">
            <v>0.1</v>
          </cell>
          <cell r="H229">
            <v>0.45</v>
          </cell>
          <cell r="I229">
            <v>15</v>
          </cell>
          <cell r="J229">
            <v>27.125</v>
          </cell>
          <cell r="K229">
            <v>0.04375</v>
          </cell>
          <cell r="L229">
            <v>7.6</v>
          </cell>
          <cell r="M229">
            <v>157</v>
          </cell>
          <cell r="N229">
            <v>0.9</v>
          </cell>
          <cell r="O229">
            <v>0</v>
          </cell>
          <cell r="P229">
            <v>4.2</v>
          </cell>
          <cell r="Q229">
            <v>83.33333333</v>
          </cell>
        </row>
        <row r="230">
          <cell r="A230">
            <v>572</v>
          </cell>
          <cell r="B230" t="str">
            <v>Avocados</v>
          </cell>
          <cell r="C230">
            <v>572</v>
          </cell>
          <cell r="D230">
            <v>157</v>
          </cell>
          <cell r="E230">
            <v>1.666666663</v>
          </cell>
          <cell r="F230">
            <v>4.65</v>
          </cell>
          <cell r="G230">
            <v>0.42</v>
          </cell>
          <cell r="H230">
            <v>0.85</v>
          </cell>
          <cell r="I230">
            <v>19</v>
          </cell>
          <cell r="J230">
            <v>58.166666665</v>
          </cell>
          <cell r="K230">
            <v>0.14</v>
          </cell>
          <cell r="L230">
            <v>14.2</v>
          </cell>
          <cell r="M230">
            <v>492.25</v>
          </cell>
          <cell r="N230">
            <v>2.07</v>
          </cell>
          <cell r="O230">
            <v>0</v>
          </cell>
          <cell r="P230">
            <v>21</v>
          </cell>
          <cell r="Q230">
            <v>16</v>
          </cell>
        </row>
        <row r="231">
          <cell r="A231">
            <v>574</v>
          </cell>
          <cell r="B231" t="str">
            <v>Pineapples</v>
          </cell>
          <cell r="C231">
            <v>574</v>
          </cell>
          <cell r="D231">
            <v>46.5</v>
          </cell>
          <cell r="E231">
            <v>0.4680000005</v>
          </cell>
          <cell r="F231">
            <v>1</v>
          </cell>
          <cell r="G231">
            <v>0.1115</v>
          </cell>
          <cell r="H231">
            <v>0.5</v>
          </cell>
          <cell r="I231">
            <v>17</v>
          </cell>
          <cell r="J231">
            <v>15</v>
          </cell>
          <cell r="K231">
            <v>0.036</v>
          </cell>
          <cell r="L231">
            <v>163.25</v>
          </cell>
          <cell r="M231">
            <v>128</v>
          </cell>
          <cell r="N231">
            <v>0.02</v>
          </cell>
          <cell r="O231">
            <v>0</v>
          </cell>
          <cell r="P231">
            <v>0.7</v>
          </cell>
          <cell r="Q231">
            <v>5.116666667</v>
          </cell>
        </row>
        <row r="232">
          <cell r="A232">
            <v>575</v>
          </cell>
          <cell r="B232" t="str">
            <v>Pineapples canned</v>
          </cell>
          <cell r="C232">
            <v>574</v>
          </cell>
          <cell r="D232">
            <v>46.5</v>
          </cell>
          <cell r="E232">
            <v>0.4680000005</v>
          </cell>
          <cell r="F232">
            <v>1</v>
          </cell>
          <cell r="G232">
            <v>0.1115</v>
          </cell>
          <cell r="H232">
            <v>0.5</v>
          </cell>
          <cell r="I232">
            <v>17</v>
          </cell>
          <cell r="J232">
            <v>15</v>
          </cell>
          <cell r="K232">
            <v>0.036</v>
          </cell>
          <cell r="L232">
            <v>163.25</v>
          </cell>
          <cell r="M232">
            <v>128</v>
          </cell>
          <cell r="N232">
            <v>0.02</v>
          </cell>
          <cell r="O232">
            <v>0</v>
          </cell>
          <cell r="P232">
            <v>0.7</v>
          </cell>
          <cell r="Q232">
            <v>5.116666667</v>
          </cell>
        </row>
        <row r="233">
          <cell r="A233">
            <v>576</v>
          </cell>
          <cell r="B233" t="str">
            <v>Juice, pineapple</v>
          </cell>
          <cell r="C233">
            <v>574</v>
          </cell>
          <cell r="D233">
            <v>53</v>
          </cell>
          <cell r="E233">
            <v>0.2</v>
          </cell>
          <cell r="F233">
            <v>0.2</v>
          </cell>
          <cell r="G233">
            <v>0.06</v>
          </cell>
          <cell r="H233">
            <v>0.26</v>
          </cell>
          <cell r="I233">
            <v>9</v>
          </cell>
          <cell r="J233">
            <v>7</v>
          </cell>
          <cell r="K233">
            <v>0.0105</v>
          </cell>
          <cell r="L233">
            <v>2.1</v>
          </cell>
          <cell r="M233">
            <v>104.5</v>
          </cell>
          <cell r="N233">
            <v>0.2</v>
          </cell>
          <cell r="O233">
            <v>0</v>
          </cell>
          <cell r="P233">
            <v>0.1</v>
          </cell>
          <cell r="Q233">
            <v>7</v>
          </cell>
        </row>
        <row r="234">
          <cell r="A234">
            <v>577</v>
          </cell>
          <cell r="B234" t="str">
            <v>Dates</v>
          </cell>
          <cell r="C234">
            <v>577</v>
          </cell>
          <cell r="D234">
            <v>149</v>
          </cell>
          <cell r="E234">
            <v>1.705</v>
          </cell>
          <cell r="F234">
            <v>4</v>
          </cell>
          <cell r="G234">
            <v>0.29</v>
          </cell>
          <cell r="H234">
            <v>1.01</v>
          </cell>
          <cell r="I234">
            <v>36.5</v>
          </cell>
          <cell r="J234">
            <v>19</v>
          </cell>
          <cell r="K234">
            <v>0.08</v>
          </cell>
          <cell r="L234">
            <v>8.1</v>
          </cell>
          <cell r="M234">
            <v>654</v>
          </cell>
          <cell r="N234">
            <v>0</v>
          </cell>
          <cell r="O234">
            <v>0</v>
          </cell>
          <cell r="P234">
            <v>2.7</v>
          </cell>
          <cell r="Q234">
            <v>5</v>
          </cell>
        </row>
        <row r="235">
          <cell r="A235">
            <v>580</v>
          </cell>
          <cell r="B235" t="str">
            <v>Juice, pineapple, concentrated</v>
          </cell>
          <cell r="C235">
            <v>574</v>
          </cell>
          <cell r="D235">
            <v>53</v>
          </cell>
          <cell r="E235">
            <v>0.2</v>
          </cell>
          <cell r="F235">
            <v>0.2</v>
          </cell>
          <cell r="G235">
            <v>0.06</v>
          </cell>
          <cell r="H235">
            <v>0.26</v>
          </cell>
          <cell r="I235">
            <v>9</v>
          </cell>
          <cell r="J235">
            <v>7</v>
          </cell>
          <cell r="K235">
            <v>0.0105</v>
          </cell>
          <cell r="L235">
            <v>2.1</v>
          </cell>
          <cell r="M235">
            <v>104.5</v>
          </cell>
          <cell r="N235">
            <v>0.2</v>
          </cell>
          <cell r="O235">
            <v>0</v>
          </cell>
          <cell r="P235">
            <v>0.1</v>
          </cell>
          <cell r="Q235">
            <v>7</v>
          </cell>
        </row>
        <row r="236">
          <cell r="A236">
            <v>587</v>
          </cell>
          <cell r="B236" t="str">
            <v>Persimmons</v>
          </cell>
          <cell r="C236">
            <v>587</v>
          </cell>
          <cell r="D236">
            <v>74</v>
          </cell>
          <cell r="E236">
            <v>0.61</v>
          </cell>
          <cell r="F236">
            <v>1.45</v>
          </cell>
          <cell r="G236">
            <v>0.095</v>
          </cell>
          <cell r="H236">
            <v>0.2</v>
          </cell>
          <cell r="I236">
            <v>18.5</v>
          </cell>
          <cell r="J236">
            <v>8</v>
          </cell>
          <cell r="K236">
            <v>0.015</v>
          </cell>
          <cell r="L236">
            <v>7.6</v>
          </cell>
          <cell r="M236">
            <v>161</v>
          </cell>
          <cell r="N236">
            <v>0</v>
          </cell>
          <cell r="O236">
            <v>0</v>
          </cell>
          <cell r="P236">
            <v>0</v>
          </cell>
          <cell r="Q236">
            <v>27</v>
          </cell>
        </row>
        <row r="237">
          <cell r="A237">
            <v>591</v>
          </cell>
          <cell r="B237" t="str">
            <v>Cashewapple</v>
          </cell>
          <cell r="C237">
            <v>217</v>
          </cell>
          <cell r="D237">
            <v>53</v>
          </cell>
          <cell r="E237">
            <v>0.9</v>
          </cell>
          <cell r="F237">
            <v>0.8</v>
          </cell>
          <cell r="G237">
            <v>0</v>
          </cell>
          <cell r="H237">
            <v>0.4</v>
          </cell>
          <cell r="I237">
            <v>10</v>
          </cell>
          <cell r="J237">
            <v>0</v>
          </cell>
          <cell r="K237">
            <v>0.05</v>
          </cell>
          <cell r="L237">
            <v>0</v>
          </cell>
          <cell r="M237">
            <v>111.5</v>
          </cell>
          <cell r="N237">
            <v>0</v>
          </cell>
          <cell r="O237">
            <v>0</v>
          </cell>
          <cell r="P237">
            <v>0</v>
          </cell>
          <cell r="Q237">
            <v>17</v>
          </cell>
        </row>
        <row r="238">
          <cell r="A238">
            <v>592</v>
          </cell>
          <cell r="B238" t="str">
            <v>Kiwi fruit</v>
          </cell>
          <cell r="C238">
            <v>592</v>
          </cell>
          <cell r="D238">
            <v>61</v>
          </cell>
          <cell r="E238">
            <v>1.07</v>
          </cell>
          <cell r="F238">
            <v>2.5</v>
          </cell>
          <cell r="G238">
            <v>0.155</v>
          </cell>
          <cell r="H238">
            <v>0.4</v>
          </cell>
          <cell r="I238">
            <v>27</v>
          </cell>
          <cell r="J238">
            <v>25</v>
          </cell>
          <cell r="K238">
            <v>0.0355</v>
          </cell>
          <cell r="L238">
            <v>6.4</v>
          </cell>
          <cell r="M238">
            <v>324</v>
          </cell>
          <cell r="N238">
            <v>1.46</v>
          </cell>
          <cell r="O238">
            <v>0</v>
          </cell>
          <cell r="P238">
            <v>40.3</v>
          </cell>
          <cell r="Q238">
            <v>11</v>
          </cell>
        </row>
        <row r="239">
          <cell r="A239">
            <v>600</v>
          </cell>
          <cell r="B239" t="str">
            <v>Papayas</v>
          </cell>
          <cell r="C239">
            <v>600</v>
          </cell>
          <cell r="D239">
            <v>35.4</v>
          </cell>
          <cell r="E239">
            <v>0.55</v>
          </cell>
          <cell r="F239">
            <v>1.15</v>
          </cell>
          <cell r="G239">
            <v>0.1</v>
          </cell>
          <cell r="H239">
            <v>0.4</v>
          </cell>
          <cell r="I239">
            <v>22</v>
          </cell>
          <cell r="J239">
            <v>31</v>
          </cell>
          <cell r="K239">
            <v>0.03</v>
          </cell>
          <cell r="L239">
            <v>6.1</v>
          </cell>
          <cell r="M239">
            <v>182</v>
          </cell>
          <cell r="N239">
            <v>0.3</v>
          </cell>
          <cell r="O239">
            <v>0</v>
          </cell>
          <cell r="P239">
            <v>2.6</v>
          </cell>
          <cell r="Q239">
            <v>79.16666667</v>
          </cell>
        </row>
        <row r="240">
          <cell r="A240">
            <v>603</v>
          </cell>
          <cell r="B240" t="str">
            <v>Fruit, tropical fresh nes</v>
          </cell>
          <cell r="C240">
            <v>603</v>
          </cell>
          <cell r="D240">
            <v>71.5</v>
          </cell>
          <cell r="E240">
            <v>1.1</v>
          </cell>
          <cell r="F240">
            <v>2</v>
          </cell>
          <cell r="G240">
            <v>0.12</v>
          </cell>
          <cell r="H240">
            <v>0.7</v>
          </cell>
          <cell r="I240">
            <v>22.5</v>
          </cell>
          <cell r="J240">
            <v>14</v>
          </cell>
          <cell r="K240">
            <v>0.05</v>
          </cell>
          <cell r="L240">
            <v>7.6</v>
          </cell>
          <cell r="M240">
            <v>248.5</v>
          </cell>
          <cell r="N240">
            <v>0.02</v>
          </cell>
          <cell r="O240">
            <v>0</v>
          </cell>
          <cell r="P240">
            <v>0.7</v>
          </cell>
          <cell r="Q240">
            <v>5.833333333</v>
          </cell>
        </row>
        <row r="241">
          <cell r="A241">
            <v>619</v>
          </cell>
          <cell r="B241" t="str">
            <v>Fruit, fresh nes</v>
          </cell>
          <cell r="C241">
            <v>619</v>
          </cell>
          <cell r="D241">
            <v>70.5</v>
          </cell>
          <cell r="E241">
            <v>1.2</v>
          </cell>
          <cell r="F241">
            <v>3.7</v>
          </cell>
          <cell r="G241">
            <v>0.12</v>
          </cell>
          <cell r="H241">
            <v>1</v>
          </cell>
          <cell r="I241">
            <v>31</v>
          </cell>
          <cell r="J241">
            <v>14</v>
          </cell>
          <cell r="K241">
            <v>0.04</v>
          </cell>
          <cell r="L241">
            <v>8.1</v>
          </cell>
          <cell r="M241">
            <v>246.5</v>
          </cell>
          <cell r="N241">
            <v>0.6</v>
          </cell>
          <cell r="O241">
            <v>0</v>
          </cell>
          <cell r="P241">
            <v>16.4</v>
          </cell>
          <cell r="Q241">
            <v>6.5</v>
          </cell>
        </row>
        <row r="242">
          <cell r="A242">
            <v>620</v>
          </cell>
          <cell r="B242" t="str">
            <v>Fruit, dried nes</v>
          </cell>
          <cell r="C242">
            <v>515</v>
          </cell>
          <cell r="D242">
            <v>286</v>
          </cell>
          <cell r="E242">
            <v>3.4</v>
          </cell>
          <cell r="F242">
            <v>8.2</v>
          </cell>
          <cell r="G242">
            <v>0.405</v>
          </cell>
          <cell r="H242">
            <v>1.75</v>
          </cell>
          <cell r="I242">
            <v>35</v>
          </cell>
          <cell r="J242">
            <v>10</v>
          </cell>
          <cell r="K242">
            <v>0.145</v>
          </cell>
          <cell r="L242">
            <v>15.15</v>
          </cell>
          <cell r="M242">
            <v>802</v>
          </cell>
          <cell r="N242">
            <v>0.12</v>
          </cell>
          <cell r="O242">
            <v>0</v>
          </cell>
          <cell r="P242">
            <v>3.5</v>
          </cell>
          <cell r="Q242">
            <v>1.5</v>
          </cell>
        </row>
        <row r="243">
          <cell r="A243">
            <v>622</v>
          </cell>
          <cell r="B243" t="str">
            <v>Juice, fruit nes</v>
          </cell>
          <cell r="C243">
            <v>619</v>
          </cell>
          <cell r="D243">
            <v>53</v>
          </cell>
          <cell r="E243">
            <v>0.2</v>
          </cell>
          <cell r="F243">
            <v>0.2</v>
          </cell>
          <cell r="G243">
            <v>0.06</v>
          </cell>
          <cell r="H243">
            <v>0.26</v>
          </cell>
          <cell r="I243">
            <v>9</v>
          </cell>
          <cell r="J243">
            <v>7</v>
          </cell>
          <cell r="K243">
            <v>0.0105</v>
          </cell>
          <cell r="L243">
            <v>2.1</v>
          </cell>
          <cell r="M243">
            <v>104.5</v>
          </cell>
          <cell r="N243">
            <v>0.2</v>
          </cell>
          <cell r="O243">
            <v>0</v>
          </cell>
          <cell r="P243">
            <v>0.1</v>
          </cell>
          <cell r="Q243">
            <v>7</v>
          </cell>
        </row>
        <row r="244">
          <cell r="A244">
            <v>623</v>
          </cell>
          <cell r="B244" t="str">
            <v>Fruit, prepared nes</v>
          </cell>
          <cell r="C244">
            <v>619</v>
          </cell>
          <cell r="D244">
            <v>48</v>
          </cell>
          <cell r="E244">
            <v>0.645</v>
          </cell>
          <cell r="F244">
            <v>1.8</v>
          </cell>
          <cell r="G244">
            <v>0.105</v>
          </cell>
          <cell r="H244">
            <v>0.39</v>
          </cell>
          <cell r="I244">
            <v>11</v>
          </cell>
          <cell r="J244">
            <v>3</v>
          </cell>
          <cell r="K244">
            <v>0.025</v>
          </cell>
          <cell r="L244">
            <v>4.1</v>
          </cell>
          <cell r="M244">
            <v>137.5</v>
          </cell>
          <cell r="N244">
            <v>0.89</v>
          </cell>
          <cell r="O244">
            <v>0</v>
          </cell>
          <cell r="P244">
            <v>3.3</v>
          </cell>
          <cell r="Q244">
            <v>8</v>
          </cell>
        </row>
        <row r="245">
          <cell r="A245">
            <v>626</v>
          </cell>
          <cell r="B245" t="str">
            <v>Fruit, cooked, homogenized preparations</v>
          </cell>
          <cell r="C245">
            <v>515</v>
          </cell>
          <cell r="D245">
            <v>51</v>
          </cell>
          <cell r="E245">
            <v>0.2</v>
          </cell>
          <cell r="F245">
            <v>1.7</v>
          </cell>
          <cell r="G245">
            <v>0.04</v>
          </cell>
          <cell r="H245">
            <v>0.23</v>
          </cell>
          <cell r="I245">
            <v>5</v>
          </cell>
          <cell r="J245">
            <v>2</v>
          </cell>
          <cell r="K245">
            <v>0.029</v>
          </cell>
          <cell r="L245">
            <v>3.5</v>
          </cell>
          <cell r="M245">
            <v>115</v>
          </cell>
          <cell r="N245">
            <v>0</v>
          </cell>
          <cell r="O245">
            <v>0</v>
          </cell>
          <cell r="P245">
            <v>2.9</v>
          </cell>
          <cell r="Q245">
            <v>2</v>
          </cell>
        </row>
        <row r="246">
          <cell r="A246">
            <v>628</v>
          </cell>
          <cell r="B246" t="str">
            <v>Feed, pulp of fruit</v>
          </cell>
          <cell r="C246">
            <v>490</v>
          </cell>
          <cell r="D246">
            <v>55</v>
          </cell>
          <cell r="E246">
            <v>0.41</v>
          </cell>
          <cell r="F246">
            <v>1.2</v>
          </cell>
          <cell r="G246">
            <v>0.08</v>
          </cell>
          <cell r="H246">
            <v>0.29</v>
          </cell>
          <cell r="I246">
            <v>5</v>
          </cell>
          <cell r="J246">
            <v>2</v>
          </cell>
          <cell r="K246">
            <v>0.038</v>
          </cell>
          <cell r="L246">
            <v>0</v>
          </cell>
          <cell r="M246">
            <v>85</v>
          </cell>
          <cell r="N246">
            <v>0</v>
          </cell>
          <cell r="O246">
            <v>0</v>
          </cell>
          <cell r="P246">
            <v>2.9</v>
          </cell>
          <cell r="Q246">
            <v>10</v>
          </cell>
        </row>
        <row r="247">
          <cell r="A247">
            <v>633</v>
          </cell>
          <cell r="B247" t="str">
            <v>Beverages, non alcoholic</v>
          </cell>
          <cell r="C247">
            <v>162</v>
          </cell>
          <cell r="D247">
            <v>43</v>
          </cell>
          <cell r="E247">
            <v>0.46</v>
          </cell>
          <cell r="F247">
            <v>0</v>
          </cell>
          <cell r="G247">
            <v>0.14</v>
          </cell>
          <cell r="H247">
            <v>0.6</v>
          </cell>
          <cell r="I247">
            <v>8</v>
          </cell>
          <cell r="J247">
            <v>3</v>
          </cell>
          <cell r="K247">
            <v>0.04</v>
          </cell>
          <cell r="L247">
            <v>5.05</v>
          </cell>
          <cell r="M247">
            <v>31</v>
          </cell>
          <cell r="N247">
            <v>0.0236608496560383</v>
          </cell>
          <cell r="O247">
            <v>0.0158578034928767</v>
          </cell>
          <cell r="P247">
            <v>0.010068446662144</v>
          </cell>
          <cell r="Q247">
            <v>0</v>
          </cell>
        </row>
        <row r="248">
          <cell r="A248">
            <v>634</v>
          </cell>
          <cell r="B248" t="str">
            <v>Beverages, distilled alcoholic</v>
          </cell>
          <cell r="C248">
            <v>162</v>
          </cell>
          <cell r="D248">
            <v>141</v>
          </cell>
          <cell r="E248">
            <v>0</v>
          </cell>
          <cell r="F248">
            <v>0.3</v>
          </cell>
          <cell r="G248">
            <v>0</v>
          </cell>
          <cell r="H248">
            <v>0.04</v>
          </cell>
          <cell r="I248">
            <v>0</v>
          </cell>
          <cell r="J248">
            <v>0</v>
          </cell>
          <cell r="K248">
            <v>0.004</v>
          </cell>
          <cell r="L248">
            <v>0</v>
          </cell>
          <cell r="M248">
            <v>2</v>
          </cell>
          <cell r="N248">
            <v>0</v>
          </cell>
          <cell r="O248">
            <v>0</v>
          </cell>
          <cell r="P248">
            <v>0</v>
          </cell>
          <cell r="Q248">
            <v>0</v>
          </cell>
        </row>
        <row r="249">
          <cell r="A249">
            <v>635</v>
          </cell>
          <cell r="B249" t="str">
            <v>Straw husks</v>
          </cell>
          <cell r="C249">
            <v>15</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row>
        <row r="250">
          <cell r="A250">
            <v>646</v>
          </cell>
          <cell r="B250" t="str">
            <v>Turnips for fodder</v>
          </cell>
          <cell r="C250">
            <v>646</v>
          </cell>
          <cell r="D250">
            <v>35</v>
          </cell>
          <cell r="E250">
            <v>0.76</v>
          </cell>
          <cell r="F250">
            <v>3</v>
          </cell>
          <cell r="G250">
            <v>0.2</v>
          </cell>
          <cell r="H250">
            <v>0.34</v>
          </cell>
          <cell r="I250">
            <v>30</v>
          </cell>
          <cell r="J250">
            <v>14</v>
          </cell>
          <cell r="K250">
            <v>0.044</v>
          </cell>
          <cell r="L250">
            <v>8.8</v>
          </cell>
          <cell r="M250">
            <v>235</v>
          </cell>
          <cell r="N250">
            <v>1.03</v>
          </cell>
          <cell r="O250">
            <v>0</v>
          </cell>
          <cell r="P250">
            <v>13.7</v>
          </cell>
          <cell r="Q250">
            <v>852</v>
          </cell>
        </row>
        <row r="251">
          <cell r="A251">
            <v>651</v>
          </cell>
          <cell r="B251" t="str">
            <v>Forage products</v>
          </cell>
          <cell r="C251">
            <v>651</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row>
        <row r="252">
          <cell r="A252">
            <v>654</v>
          </cell>
          <cell r="B252" t="str">
            <v>Dregs from brewing, distillation</v>
          </cell>
          <cell r="C252">
            <v>44</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row>
        <row r="253">
          <cell r="A253">
            <v>656</v>
          </cell>
          <cell r="B253" t="str">
            <v>Coffee, green</v>
          </cell>
          <cell r="C253">
            <v>656</v>
          </cell>
          <cell r="D253">
            <v>185.2825</v>
          </cell>
          <cell r="E253">
            <v>13.9</v>
          </cell>
          <cell r="F253">
            <v>0</v>
          </cell>
          <cell r="G253">
            <v>0.53065</v>
          </cell>
          <cell r="H253">
            <v>4.4</v>
          </cell>
          <cell r="I253">
            <v>130</v>
          </cell>
          <cell r="J253">
            <v>17.315</v>
          </cell>
          <cell r="K253">
            <v>0.16</v>
          </cell>
          <cell r="L253">
            <v>43.069</v>
          </cell>
          <cell r="M253">
            <v>2225.8425</v>
          </cell>
          <cell r="N253">
            <v>0</v>
          </cell>
          <cell r="O253">
            <v>0</v>
          </cell>
          <cell r="P253">
            <v>1.9</v>
          </cell>
          <cell r="Q253">
            <v>0</v>
          </cell>
        </row>
        <row r="254">
          <cell r="A254">
            <v>657</v>
          </cell>
          <cell r="B254" t="str">
            <v>Coffee, roasted</v>
          </cell>
          <cell r="C254">
            <v>656</v>
          </cell>
          <cell r="D254">
            <v>185.2825</v>
          </cell>
          <cell r="E254">
            <v>13.9</v>
          </cell>
          <cell r="F254">
            <v>0</v>
          </cell>
          <cell r="G254">
            <v>0.53065</v>
          </cell>
          <cell r="H254">
            <v>4.4</v>
          </cell>
          <cell r="I254">
            <v>130</v>
          </cell>
          <cell r="J254">
            <v>17.315</v>
          </cell>
          <cell r="K254">
            <v>0.16</v>
          </cell>
          <cell r="L254">
            <v>43.069</v>
          </cell>
          <cell r="M254">
            <v>2225.8425</v>
          </cell>
          <cell r="N254">
            <v>0</v>
          </cell>
          <cell r="O254">
            <v>0</v>
          </cell>
          <cell r="P254">
            <v>1.9</v>
          </cell>
          <cell r="Q254">
            <v>0</v>
          </cell>
        </row>
        <row r="255">
          <cell r="A255">
            <v>658</v>
          </cell>
          <cell r="B255" t="str">
            <v>Coffee, substitutes containing coffee</v>
          </cell>
          <cell r="C255">
            <v>656</v>
          </cell>
          <cell r="D255">
            <v>360</v>
          </cell>
          <cell r="E255">
            <v>13.635</v>
          </cell>
          <cell r="F255">
            <v>23.3</v>
          </cell>
          <cell r="G255">
            <v>0.51</v>
          </cell>
          <cell r="H255">
            <v>7.45</v>
          </cell>
          <cell r="I255">
            <v>111.63</v>
          </cell>
          <cell r="J255">
            <v>52</v>
          </cell>
          <cell r="K255">
            <v>0.095</v>
          </cell>
          <cell r="L255">
            <v>13.4</v>
          </cell>
          <cell r="M255">
            <v>2443</v>
          </cell>
          <cell r="N255">
            <v>0</v>
          </cell>
          <cell r="O255">
            <v>0</v>
          </cell>
          <cell r="P255">
            <v>1.9</v>
          </cell>
          <cell r="Q255">
            <v>4.805</v>
          </cell>
        </row>
        <row r="256">
          <cell r="A256">
            <v>659</v>
          </cell>
          <cell r="B256" t="str">
            <v>Coffee, extracts</v>
          </cell>
          <cell r="C256">
            <v>656</v>
          </cell>
          <cell r="D256">
            <v>185.2825</v>
          </cell>
          <cell r="E256">
            <v>13.9</v>
          </cell>
          <cell r="F256">
            <v>0</v>
          </cell>
          <cell r="G256">
            <v>0.53065</v>
          </cell>
          <cell r="H256">
            <v>4.4</v>
          </cell>
          <cell r="I256">
            <v>130</v>
          </cell>
          <cell r="J256">
            <v>17.315</v>
          </cell>
          <cell r="K256">
            <v>0.16</v>
          </cell>
          <cell r="L256">
            <v>43.069</v>
          </cell>
          <cell r="M256">
            <v>2225.8425</v>
          </cell>
          <cell r="N256">
            <v>0</v>
          </cell>
          <cell r="O256">
            <v>0</v>
          </cell>
          <cell r="P256">
            <v>1.9</v>
          </cell>
          <cell r="Q256">
            <v>0</v>
          </cell>
        </row>
        <row r="257">
          <cell r="A257">
            <v>660</v>
          </cell>
          <cell r="B257" t="str">
            <v>Coffee, husks and skins</v>
          </cell>
          <cell r="C257">
            <v>656</v>
          </cell>
          <cell r="D257">
            <v>353</v>
          </cell>
          <cell r="E257">
            <v>12.2</v>
          </cell>
          <cell r="F257">
            <v>0</v>
          </cell>
          <cell r="G257">
            <v>0.35</v>
          </cell>
          <cell r="H257">
            <v>4.41</v>
          </cell>
          <cell r="I257">
            <v>141</v>
          </cell>
          <cell r="J257">
            <v>0</v>
          </cell>
          <cell r="K257">
            <v>0.074</v>
          </cell>
          <cell r="L257">
            <v>101.9</v>
          </cell>
          <cell r="M257">
            <v>3535</v>
          </cell>
          <cell r="N257">
            <v>0</v>
          </cell>
          <cell r="O257">
            <v>0</v>
          </cell>
          <cell r="P257">
            <v>1.9</v>
          </cell>
          <cell r="Q257">
            <v>0</v>
          </cell>
        </row>
        <row r="258">
          <cell r="A258">
            <v>661</v>
          </cell>
          <cell r="B258" t="str">
            <v>Cocoa, beans</v>
          </cell>
          <cell r="C258">
            <v>661</v>
          </cell>
          <cell r="D258">
            <v>228</v>
          </cell>
          <cell r="E258">
            <v>16</v>
          </cell>
          <cell r="F258">
            <v>37</v>
          </cell>
          <cell r="G258">
            <v>6.81</v>
          </cell>
          <cell r="H258">
            <v>3.4</v>
          </cell>
          <cell r="I258">
            <v>124.3</v>
          </cell>
          <cell r="J258">
            <v>32</v>
          </cell>
          <cell r="K258">
            <v>0.1755</v>
          </cell>
          <cell r="L258">
            <v>12</v>
          </cell>
          <cell r="M258">
            <v>830</v>
          </cell>
          <cell r="N258">
            <v>0</v>
          </cell>
          <cell r="O258">
            <v>0</v>
          </cell>
          <cell r="P258">
            <v>0</v>
          </cell>
          <cell r="Q258">
            <v>0</v>
          </cell>
        </row>
        <row r="259">
          <cell r="A259">
            <v>662</v>
          </cell>
          <cell r="B259" t="str">
            <v>Cocoa, paste</v>
          </cell>
          <cell r="C259">
            <v>661</v>
          </cell>
          <cell r="D259">
            <v>579</v>
          </cell>
          <cell r="E259">
            <v>6.12</v>
          </cell>
          <cell r="F259">
            <v>8</v>
          </cell>
          <cell r="G259">
            <v>2.65</v>
          </cell>
          <cell r="H259">
            <v>6.32</v>
          </cell>
          <cell r="I259">
            <v>62</v>
          </cell>
          <cell r="J259">
            <v>0</v>
          </cell>
          <cell r="K259">
            <v>0.049</v>
          </cell>
          <cell r="L259">
            <v>0</v>
          </cell>
          <cell r="M259">
            <v>567</v>
          </cell>
          <cell r="N259">
            <v>0.59</v>
          </cell>
          <cell r="O259">
            <v>0.18</v>
          </cell>
          <cell r="P259">
            <v>7.2</v>
          </cell>
          <cell r="Q259">
            <v>3</v>
          </cell>
        </row>
        <row r="260">
          <cell r="A260">
            <v>664</v>
          </cell>
          <cell r="B260" t="str">
            <v>Cocoa, butter</v>
          </cell>
          <cell r="C260">
            <v>661</v>
          </cell>
          <cell r="D260">
            <v>884</v>
          </cell>
          <cell r="E260">
            <v>0</v>
          </cell>
          <cell r="F260">
            <v>0</v>
          </cell>
          <cell r="G260">
            <v>0</v>
          </cell>
          <cell r="H260">
            <v>0</v>
          </cell>
          <cell r="I260">
            <v>0</v>
          </cell>
          <cell r="J260">
            <v>0</v>
          </cell>
          <cell r="K260">
            <v>0</v>
          </cell>
          <cell r="L260">
            <v>0.3</v>
          </cell>
          <cell r="M260">
            <v>0</v>
          </cell>
          <cell r="N260">
            <v>1.8</v>
          </cell>
          <cell r="O260">
            <v>0</v>
          </cell>
          <cell r="P260">
            <v>24.7</v>
          </cell>
          <cell r="Q260">
            <v>0</v>
          </cell>
        </row>
        <row r="261">
          <cell r="A261">
            <v>665</v>
          </cell>
          <cell r="B261" t="str">
            <v>Cocoa, powder &amp;amp; cake</v>
          </cell>
          <cell r="C261">
            <v>661</v>
          </cell>
          <cell r="D261">
            <v>398</v>
          </cell>
          <cell r="E261">
            <v>6.67</v>
          </cell>
          <cell r="F261">
            <v>3.7</v>
          </cell>
          <cell r="G261">
            <v>1.46</v>
          </cell>
          <cell r="H261">
            <v>1.19</v>
          </cell>
          <cell r="I261">
            <v>133</v>
          </cell>
          <cell r="J261">
            <v>6</v>
          </cell>
          <cell r="K261">
            <v>0.565</v>
          </cell>
          <cell r="L261">
            <v>33.1</v>
          </cell>
          <cell r="M261">
            <v>712</v>
          </cell>
          <cell r="N261">
            <v>0.19</v>
          </cell>
          <cell r="O261">
            <v>0.35</v>
          </cell>
          <cell r="P261">
            <v>0.9</v>
          </cell>
          <cell r="Q261">
            <v>1</v>
          </cell>
        </row>
        <row r="262">
          <cell r="A262">
            <v>666</v>
          </cell>
          <cell r="B262" t="str">
            <v>Chocolate products nes</v>
          </cell>
          <cell r="C262">
            <v>661</v>
          </cell>
          <cell r="D262">
            <v>279</v>
          </cell>
          <cell r="E262">
            <v>2.1</v>
          </cell>
          <cell r="F262">
            <v>2.6</v>
          </cell>
          <cell r="G262">
            <v>0.73</v>
          </cell>
          <cell r="H262">
            <v>2.11</v>
          </cell>
          <cell r="I262">
            <v>14</v>
          </cell>
          <cell r="J262">
            <v>2</v>
          </cell>
          <cell r="K262">
            <v>0.05</v>
          </cell>
          <cell r="L262">
            <v>1.3</v>
          </cell>
          <cell r="M262">
            <v>224</v>
          </cell>
          <cell r="N262">
            <v>0.02</v>
          </cell>
          <cell r="O262">
            <v>0</v>
          </cell>
          <cell r="P262">
            <v>0.5</v>
          </cell>
          <cell r="Q262">
            <v>0</v>
          </cell>
        </row>
        <row r="263">
          <cell r="A263">
            <v>667</v>
          </cell>
          <cell r="B263" t="str">
            <v>Tea</v>
          </cell>
          <cell r="C263">
            <v>667</v>
          </cell>
          <cell r="D263">
            <v>6.23125</v>
          </cell>
          <cell r="E263">
            <v>3.75</v>
          </cell>
          <cell r="F263">
            <v>0</v>
          </cell>
          <cell r="G263">
            <v>0.124625</v>
          </cell>
          <cell r="H263">
            <v>9.3123125</v>
          </cell>
          <cell r="I263">
            <v>167.5</v>
          </cell>
          <cell r="J263">
            <v>31.15625</v>
          </cell>
          <cell r="K263">
            <v>0.21861875</v>
          </cell>
          <cell r="L263">
            <v>2.4925</v>
          </cell>
          <cell r="M263">
            <v>230.55625</v>
          </cell>
          <cell r="N263">
            <v>0</v>
          </cell>
          <cell r="O263">
            <v>0</v>
          </cell>
          <cell r="P263">
            <v>0</v>
          </cell>
          <cell r="Q263">
            <v>0</v>
          </cell>
        </row>
        <row r="264">
          <cell r="A264">
            <v>671</v>
          </cell>
          <cell r="B264" t="str">
            <v>Mat&amp;#233;</v>
          </cell>
          <cell r="C264">
            <v>671</v>
          </cell>
          <cell r="D264">
            <v>6.23125</v>
          </cell>
          <cell r="E264">
            <v>3.75</v>
          </cell>
          <cell r="F264">
            <v>0</v>
          </cell>
          <cell r="G264">
            <v>0.124625</v>
          </cell>
          <cell r="H264">
            <v>9.3123125</v>
          </cell>
          <cell r="I264">
            <v>167.5</v>
          </cell>
          <cell r="J264">
            <v>31.15625</v>
          </cell>
          <cell r="K264">
            <v>0.21861875</v>
          </cell>
          <cell r="L264">
            <v>2.4925</v>
          </cell>
          <cell r="M264">
            <v>230.55625</v>
          </cell>
          <cell r="N264">
            <v>0</v>
          </cell>
          <cell r="O264">
            <v>0</v>
          </cell>
          <cell r="P264">
            <v>0</v>
          </cell>
          <cell r="Q264">
            <v>0</v>
          </cell>
        </row>
        <row r="265">
          <cell r="A265">
            <v>672</v>
          </cell>
          <cell r="B265" t="str">
            <v>Tea, mate extracts</v>
          </cell>
          <cell r="C265">
            <v>667</v>
          </cell>
          <cell r="D265">
            <v>6.23125</v>
          </cell>
          <cell r="E265">
            <v>3.75</v>
          </cell>
          <cell r="F265">
            <v>0</v>
          </cell>
          <cell r="G265">
            <v>0.124625</v>
          </cell>
          <cell r="H265">
            <v>9.3123125</v>
          </cell>
          <cell r="I265">
            <v>167.5</v>
          </cell>
          <cell r="J265">
            <v>31.15625</v>
          </cell>
          <cell r="K265">
            <v>0.21861875</v>
          </cell>
          <cell r="L265">
            <v>2.4925</v>
          </cell>
          <cell r="M265">
            <v>230.55625</v>
          </cell>
          <cell r="N265">
            <v>0</v>
          </cell>
          <cell r="O265">
            <v>0</v>
          </cell>
          <cell r="P265">
            <v>0</v>
          </cell>
          <cell r="Q265">
            <v>0</v>
          </cell>
        </row>
        <row r="266">
          <cell r="A266">
            <v>677</v>
          </cell>
          <cell r="B266" t="str">
            <v>Hops</v>
          </cell>
          <cell r="C266">
            <v>677</v>
          </cell>
          <cell r="D266">
            <v>1</v>
          </cell>
          <cell r="E266">
            <v>0</v>
          </cell>
          <cell r="F266">
            <v>0</v>
          </cell>
          <cell r="G266">
            <v>0.02</v>
          </cell>
          <cell r="H266">
            <v>0.02</v>
          </cell>
          <cell r="I266">
            <v>0</v>
          </cell>
          <cell r="J266">
            <v>5</v>
          </cell>
          <cell r="K266">
            <v>0.014</v>
          </cell>
          <cell r="L266">
            <v>0.4</v>
          </cell>
          <cell r="M266">
            <v>37</v>
          </cell>
          <cell r="N266">
            <v>0</v>
          </cell>
          <cell r="O266">
            <v>0</v>
          </cell>
          <cell r="P266">
            <v>0</v>
          </cell>
          <cell r="Q266">
            <v>0</v>
          </cell>
        </row>
        <row r="267">
          <cell r="A267">
            <v>687</v>
          </cell>
          <cell r="B267" t="str">
            <v>Pepper (piper spp.)</v>
          </cell>
          <cell r="C267">
            <v>687</v>
          </cell>
          <cell r="D267">
            <v>302.5</v>
          </cell>
          <cell r="E267">
            <v>10.4</v>
          </cell>
          <cell r="F267">
            <v>25.3</v>
          </cell>
          <cell r="G267">
            <v>1.19</v>
          </cell>
          <cell r="H267">
            <v>12</v>
          </cell>
          <cell r="I267">
            <v>440</v>
          </cell>
          <cell r="J267">
            <v>13.5</v>
          </cell>
          <cell r="K267">
            <v>0.09</v>
          </cell>
          <cell r="L267">
            <v>11.3</v>
          </cell>
          <cell r="M267">
            <v>695.5</v>
          </cell>
          <cell r="N267">
            <v>1.04</v>
          </cell>
          <cell r="O267">
            <v>0</v>
          </cell>
          <cell r="P267">
            <v>163.7</v>
          </cell>
          <cell r="Q267">
            <v>12</v>
          </cell>
        </row>
        <row r="268">
          <cell r="A268">
            <v>689</v>
          </cell>
          <cell r="B268" t="str">
            <v>Chillies and peppers, dry</v>
          </cell>
          <cell r="C268">
            <v>689</v>
          </cell>
          <cell r="D268">
            <v>282</v>
          </cell>
          <cell r="E268">
            <v>12.65</v>
          </cell>
          <cell r="F268">
            <v>22.9</v>
          </cell>
          <cell r="G268">
            <v>2.615</v>
          </cell>
          <cell r="H268">
            <v>5.23</v>
          </cell>
          <cell r="I268">
            <v>154</v>
          </cell>
          <cell r="J268">
            <v>42.5</v>
          </cell>
          <cell r="K268">
            <v>0.2</v>
          </cell>
          <cell r="L268">
            <v>51.5</v>
          </cell>
          <cell r="M268">
            <v>1982</v>
          </cell>
          <cell r="N268">
            <v>0.69</v>
          </cell>
          <cell r="O268">
            <v>0</v>
          </cell>
          <cell r="P268">
            <v>8.3</v>
          </cell>
          <cell r="Q268">
            <v>162.500000015</v>
          </cell>
        </row>
        <row r="269">
          <cell r="A269">
            <v>692</v>
          </cell>
          <cell r="B269" t="str">
            <v>Vanilla</v>
          </cell>
          <cell r="C269">
            <v>692</v>
          </cell>
          <cell r="D269">
            <v>288</v>
          </cell>
          <cell r="E269">
            <v>0.06</v>
          </cell>
          <cell r="F269">
            <v>0</v>
          </cell>
          <cell r="G269">
            <v>0.11</v>
          </cell>
          <cell r="H269">
            <v>0.12</v>
          </cell>
          <cell r="I269">
            <v>11</v>
          </cell>
          <cell r="J269">
            <v>0</v>
          </cell>
          <cell r="K269">
            <v>0.095</v>
          </cell>
          <cell r="L269">
            <v>0</v>
          </cell>
          <cell r="M269">
            <v>148</v>
          </cell>
          <cell r="N269">
            <v>0</v>
          </cell>
          <cell r="O269">
            <v>0</v>
          </cell>
          <cell r="P269">
            <v>0</v>
          </cell>
          <cell r="Q269">
            <v>0</v>
          </cell>
        </row>
        <row r="270">
          <cell r="A270">
            <v>693</v>
          </cell>
          <cell r="B270" t="str">
            <v>Cinnamon (canella)</v>
          </cell>
          <cell r="C270">
            <v>693</v>
          </cell>
          <cell r="D270">
            <v>276</v>
          </cell>
          <cell r="E270">
            <v>3.645</v>
          </cell>
          <cell r="F270">
            <v>53.1</v>
          </cell>
          <cell r="G270">
            <v>1.83</v>
          </cell>
          <cell r="H270">
            <v>8.32</v>
          </cell>
          <cell r="I270">
            <v>735</v>
          </cell>
          <cell r="J270">
            <v>6</v>
          </cell>
          <cell r="K270">
            <v>0.0555</v>
          </cell>
          <cell r="L270">
            <v>11</v>
          </cell>
          <cell r="M270">
            <v>431</v>
          </cell>
          <cell r="N270">
            <v>2.32</v>
          </cell>
          <cell r="O270">
            <v>0</v>
          </cell>
          <cell r="P270">
            <v>31.2</v>
          </cell>
          <cell r="Q270">
            <v>14.75</v>
          </cell>
        </row>
        <row r="271">
          <cell r="A271">
            <v>698</v>
          </cell>
          <cell r="B271" t="str">
            <v>Cloves</v>
          </cell>
          <cell r="C271">
            <v>698</v>
          </cell>
          <cell r="D271">
            <v>274</v>
          </cell>
          <cell r="E271">
            <v>5</v>
          </cell>
          <cell r="F271">
            <v>21.45</v>
          </cell>
          <cell r="G271">
            <v>2.32</v>
          </cell>
          <cell r="H271">
            <v>11.83</v>
          </cell>
          <cell r="I271">
            <v>632</v>
          </cell>
          <cell r="J271">
            <v>25</v>
          </cell>
          <cell r="K271">
            <v>0.11</v>
          </cell>
          <cell r="L271">
            <v>37.4</v>
          </cell>
          <cell r="M271">
            <v>1020</v>
          </cell>
          <cell r="N271">
            <v>8.82</v>
          </cell>
          <cell r="O271">
            <v>0</v>
          </cell>
          <cell r="P271">
            <v>141.8</v>
          </cell>
          <cell r="Q271">
            <v>8</v>
          </cell>
        </row>
        <row r="272">
          <cell r="A272">
            <v>702</v>
          </cell>
          <cell r="B272" t="str">
            <v>Nutmeg, mace and cardamoms</v>
          </cell>
          <cell r="C272">
            <v>702</v>
          </cell>
          <cell r="D272">
            <v>413.5</v>
          </cell>
          <cell r="E272">
            <v>8.25</v>
          </cell>
          <cell r="F272">
            <v>20.1</v>
          </cell>
          <cell r="G272">
            <v>2.15</v>
          </cell>
          <cell r="H272">
            <v>12.45</v>
          </cell>
          <cell r="I272">
            <v>157</v>
          </cell>
          <cell r="J272">
            <v>76</v>
          </cell>
          <cell r="K272">
            <v>0.057</v>
          </cell>
          <cell r="L272">
            <v>779.4</v>
          </cell>
          <cell r="M272">
            <v>463</v>
          </cell>
          <cell r="N272">
            <v>0</v>
          </cell>
          <cell r="O272">
            <v>0</v>
          </cell>
          <cell r="P272">
            <v>0</v>
          </cell>
          <cell r="Q272">
            <v>0.12</v>
          </cell>
        </row>
        <row r="273">
          <cell r="A273">
            <v>711</v>
          </cell>
          <cell r="B273" t="str">
            <v>Anise, badian, fennel, coriander</v>
          </cell>
          <cell r="C273">
            <v>711</v>
          </cell>
          <cell r="D273">
            <v>341</v>
          </cell>
          <cell r="E273">
            <v>16.7</v>
          </cell>
          <cell r="F273">
            <v>14.6</v>
          </cell>
          <cell r="G273">
            <v>4.8</v>
          </cell>
          <cell r="H273">
            <v>27.5</v>
          </cell>
          <cell r="I273">
            <v>709</v>
          </cell>
          <cell r="J273">
            <v>10</v>
          </cell>
          <cell r="K273">
            <v>0.3085</v>
          </cell>
          <cell r="L273">
            <v>544.85</v>
          </cell>
          <cell r="M273">
            <v>1440.5</v>
          </cell>
          <cell r="N273">
            <v>0</v>
          </cell>
          <cell r="O273">
            <v>0</v>
          </cell>
          <cell r="P273">
            <v>0</v>
          </cell>
          <cell r="Q273">
            <v>16</v>
          </cell>
        </row>
        <row r="274">
          <cell r="A274">
            <v>720</v>
          </cell>
          <cell r="B274" t="str">
            <v>Ginger</v>
          </cell>
          <cell r="C274">
            <v>720</v>
          </cell>
          <cell r="D274">
            <v>191.5</v>
          </cell>
          <cell r="E274">
            <v>4.8</v>
          </cell>
          <cell r="F274">
            <v>2.9</v>
          </cell>
          <cell r="G274">
            <v>1.447745401</v>
          </cell>
          <cell r="H274">
            <v>2.554844825</v>
          </cell>
          <cell r="I274">
            <v>48.361367785</v>
          </cell>
          <cell r="J274">
            <v>13</v>
          </cell>
          <cell r="K274">
            <v>0.105</v>
          </cell>
          <cell r="L274">
            <v>41.2</v>
          </cell>
          <cell r="M274">
            <v>867.5</v>
          </cell>
          <cell r="N274">
            <v>0</v>
          </cell>
          <cell r="O274">
            <v>0</v>
          </cell>
          <cell r="P274">
            <v>0.8</v>
          </cell>
          <cell r="Q274">
            <v>0</v>
          </cell>
        </row>
        <row r="275">
          <cell r="A275">
            <v>723</v>
          </cell>
          <cell r="B275" t="str">
            <v>Spices, nes</v>
          </cell>
          <cell r="C275">
            <v>723</v>
          </cell>
          <cell r="D275">
            <v>289</v>
          </cell>
          <cell r="E275">
            <v>7.3</v>
          </cell>
          <cell r="F275">
            <v>12.2</v>
          </cell>
          <cell r="G275">
            <v>2.895</v>
          </cell>
          <cell r="H275">
            <v>12</v>
          </cell>
          <cell r="I275">
            <v>243</v>
          </cell>
          <cell r="J275">
            <v>150</v>
          </cell>
          <cell r="K275">
            <v>0.261</v>
          </cell>
          <cell r="L275">
            <v>46.4</v>
          </cell>
          <cell r="M275">
            <v>738</v>
          </cell>
          <cell r="N275">
            <v>4.43</v>
          </cell>
          <cell r="O275">
            <v>0</v>
          </cell>
          <cell r="P275">
            <v>13.4</v>
          </cell>
          <cell r="Q275">
            <v>156</v>
          </cell>
        </row>
        <row r="276">
          <cell r="A276">
            <v>748</v>
          </cell>
          <cell r="B276" t="str">
            <v>Peppermint</v>
          </cell>
          <cell r="C276">
            <v>748</v>
          </cell>
          <cell r="D276">
            <v>312</v>
          </cell>
          <cell r="E276">
            <v>9.68</v>
          </cell>
          <cell r="F276">
            <v>22.7</v>
          </cell>
          <cell r="G276">
            <v>4.5</v>
          </cell>
          <cell r="H276">
            <v>55</v>
          </cell>
          <cell r="I276">
            <v>168</v>
          </cell>
          <cell r="J276">
            <v>20</v>
          </cell>
          <cell r="K276">
            <v>0.15</v>
          </cell>
          <cell r="L276">
            <v>49.2</v>
          </cell>
          <cell r="M276">
            <v>2080</v>
          </cell>
          <cell r="N276">
            <v>4.43</v>
          </cell>
          <cell r="O276">
            <v>0</v>
          </cell>
          <cell r="P276">
            <v>13.4</v>
          </cell>
          <cell r="Q276">
            <v>0</v>
          </cell>
        </row>
        <row r="277">
          <cell r="A277">
            <v>754</v>
          </cell>
          <cell r="B277" t="str">
            <v>Pyrethrum, dried</v>
          </cell>
          <cell r="C277">
            <v>754</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row>
        <row r="278">
          <cell r="A278">
            <v>755</v>
          </cell>
          <cell r="B278" t="str">
            <v>Pyrethrum, extraction</v>
          </cell>
          <cell r="C278">
            <v>754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row>
        <row r="279">
          <cell r="A279">
            <v>767</v>
          </cell>
          <cell r="B279" t="str">
            <v>Cotton lint</v>
          </cell>
          <cell r="C279">
            <v>328</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row>
        <row r="280">
          <cell r="A280">
            <v>768</v>
          </cell>
          <cell r="B280" t="str">
            <v>Cotton, carded, combed</v>
          </cell>
          <cell r="C280">
            <v>328</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row>
        <row r="281">
          <cell r="A281">
            <v>769</v>
          </cell>
          <cell r="B281" t="str">
            <v>Cotton waste</v>
          </cell>
          <cell r="C281">
            <v>328</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row>
        <row r="282">
          <cell r="A282">
            <v>770</v>
          </cell>
          <cell r="B282" t="str">
            <v>Cotton linter</v>
          </cell>
          <cell r="C282">
            <v>328</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row>
        <row r="283">
          <cell r="A283">
            <v>771</v>
          </cell>
          <cell r="B283" t="str">
            <v>Flax fibre raw</v>
          </cell>
          <cell r="C283">
            <v>771</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row>
        <row r="284">
          <cell r="A284">
            <v>773</v>
          </cell>
          <cell r="B284" t="str">
            <v>Flax fibre and tow</v>
          </cell>
          <cell r="C284">
            <v>771</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row>
        <row r="285">
          <cell r="A285">
            <v>774</v>
          </cell>
          <cell r="B285" t="str">
            <v>Flax tow waste</v>
          </cell>
          <cell r="C285">
            <v>771</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row>
        <row r="286">
          <cell r="A286">
            <v>778</v>
          </cell>
          <cell r="B286" t="str">
            <v>Kapok fibre</v>
          </cell>
          <cell r="C286">
            <v>311</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row>
        <row r="287">
          <cell r="A287">
            <v>780</v>
          </cell>
          <cell r="B287" t="str">
            <v>Jute</v>
          </cell>
          <cell r="C287">
            <v>780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row>
        <row r="288">
          <cell r="A288">
            <v>809</v>
          </cell>
          <cell r="B288" t="str">
            <v>Manila fibre (abaca)</v>
          </cell>
          <cell r="C288">
            <v>809</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row>
        <row r="289">
          <cell r="A289">
            <v>826</v>
          </cell>
          <cell r="B289" t="str">
            <v>Tobacco, unmanufactured</v>
          </cell>
          <cell r="C289">
            <v>826</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row>
        <row r="290">
          <cell r="A290">
            <v>828</v>
          </cell>
          <cell r="B290" t="str">
            <v>Cigarettes</v>
          </cell>
          <cell r="C290">
            <v>826</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row>
        <row r="291">
          <cell r="A291">
            <v>829</v>
          </cell>
          <cell r="B291" t="str">
            <v>Cigars, cheroots</v>
          </cell>
          <cell r="C291">
            <v>826</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row>
        <row r="292">
          <cell r="A292">
            <v>831</v>
          </cell>
          <cell r="B292" t="str">
            <v>Tobacco products nes</v>
          </cell>
          <cell r="C292">
            <v>826</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row>
        <row r="293">
          <cell r="A293">
            <v>836</v>
          </cell>
          <cell r="B293" t="str">
            <v>Rubber, natural</v>
          </cell>
          <cell r="C293">
            <v>836</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row>
        <row r="294">
          <cell r="A294">
            <v>837</v>
          </cell>
          <cell r="B294" t="str">
            <v>Rubber natural dry</v>
          </cell>
          <cell r="C294">
            <v>836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row>
        <row r="295">
          <cell r="A295">
            <v>846</v>
          </cell>
          <cell r="B295" t="str">
            <v>Feed and meal, gluten</v>
          </cell>
          <cell r="C295">
            <v>56</v>
          </cell>
          <cell r="D295">
            <v>362</v>
          </cell>
          <cell r="E295">
            <v>8.12</v>
          </cell>
          <cell r="F295">
            <v>7.3</v>
          </cell>
          <cell r="G295">
            <v>1.82</v>
          </cell>
          <cell r="H295">
            <v>3.45</v>
          </cell>
          <cell r="I295">
            <v>6</v>
          </cell>
          <cell r="J295">
            <v>25</v>
          </cell>
          <cell r="K295">
            <v>0.201</v>
          </cell>
          <cell r="L295">
            <v>21.6</v>
          </cell>
          <cell r="M295">
            <v>287</v>
          </cell>
          <cell r="N295">
            <v>0.42</v>
          </cell>
          <cell r="O295">
            <v>0</v>
          </cell>
          <cell r="P295">
            <v>0.3</v>
          </cell>
          <cell r="Q295">
            <v>0</v>
          </cell>
        </row>
        <row r="296">
          <cell r="A296">
            <v>867</v>
          </cell>
          <cell r="B296" t="str">
            <v>Meat, cattle</v>
          </cell>
          <cell r="C296">
            <v>1806</v>
          </cell>
          <cell r="D296">
            <v>130.85</v>
          </cell>
          <cell r="E296">
            <v>20</v>
          </cell>
          <cell r="F296">
            <v>0</v>
          </cell>
          <cell r="G296">
            <v>4.295</v>
          </cell>
          <cell r="H296">
            <v>2.45</v>
          </cell>
          <cell r="I296">
            <v>8</v>
          </cell>
          <cell r="J296">
            <v>7</v>
          </cell>
          <cell r="K296">
            <v>0.18</v>
          </cell>
          <cell r="L296">
            <v>0</v>
          </cell>
          <cell r="M296">
            <v>325</v>
          </cell>
          <cell r="N296">
            <v>0.268147031084254</v>
          </cell>
          <cell r="O296">
            <v>1.5969321383876</v>
          </cell>
          <cell r="P296">
            <v>1.06374802268471</v>
          </cell>
          <cell r="Q296">
            <v>0</v>
          </cell>
        </row>
        <row r="297">
          <cell r="A297">
            <v>868</v>
          </cell>
          <cell r="B297" t="str">
            <v>Offals, edible, cattle</v>
          </cell>
          <cell r="C297">
            <v>2736</v>
          </cell>
          <cell r="D297">
            <v>133.25</v>
          </cell>
          <cell r="E297">
            <v>15.85</v>
          </cell>
          <cell r="F297">
            <v>0</v>
          </cell>
          <cell r="G297">
            <v>2.395</v>
          </cell>
          <cell r="H297">
            <v>4.7</v>
          </cell>
          <cell r="I297">
            <v>9</v>
          </cell>
          <cell r="J297">
            <v>5</v>
          </cell>
          <cell r="K297">
            <v>0.37</v>
          </cell>
          <cell r="L297">
            <v>264.05</v>
          </cell>
          <cell r="M297">
            <v>275</v>
          </cell>
          <cell r="N297">
            <v>0.51</v>
          </cell>
          <cell r="O297">
            <v>49.04</v>
          </cell>
          <cell r="P297">
            <v>3.3</v>
          </cell>
          <cell r="Q297">
            <v>30</v>
          </cell>
        </row>
        <row r="298">
          <cell r="A298">
            <v>869</v>
          </cell>
          <cell r="B298" t="str">
            <v>Fat, cattle</v>
          </cell>
          <cell r="C298">
            <v>1806</v>
          </cell>
          <cell r="D298">
            <v>899.1</v>
          </cell>
          <cell r="E298">
            <v>0</v>
          </cell>
          <cell r="F298">
            <v>0</v>
          </cell>
          <cell r="G298">
            <v>0</v>
          </cell>
          <cell r="H298">
            <v>0</v>
          </cell>
          <cell r="I298">
            <v>0</v>
          </cell>
          <cell r="J298">
            <v>0</v>
          </cell>
          <cell r="K298">
            <v>0</v>
          </cell>
          <cell r="L298">
            <v>79.8</v>
          </cell>
          <cell r="M298">
            <v>0</v>
          </cell>
          <cell r="N298">
            <v>2.58254523416268</v>
          </cell>
          <cell r="O298">
            <v>0</v>
          </cell>
          <cell r="P298">
            <v>0</v>
          </cell>
          <cell r="Q298">
            <v>0</v>
          </cell>
        </row>
        <row r="299">
          <cell r="A299">
            <v>870</v>
          </cell>
          <cell r="B299" t="str">
            <v>Meat, cattle, boneless (beef &amp;amp; veal)</v>
          </cell>
          <cell r="C299">
            <v>1806</v>
          </cell>
          <cell r="D299">
            <v>173</v>
          </cell>
          <cell r="E299">
            <v>22.24</v>
          </cell>
          <cell r="F299">
            <v>0</v>
          </cell>
          <cell r="G299">
            <v>2.8</v>
          </cell>
          <cell r="H299">
            <v>2.04</v>
          </cell>
          <cell r="I299">
            <v>3</v>
          </cell>
          <cell r="J299">
            <v>9</v>
          </cell>
          <cell r="K299">
            <v>0.18</v>
          </cell>
          <cell r="L299">
            <v>92.9</v>
          </cell>
          <cell r="M299">
            <v>371</v>
          </cell>
          <cell r="N299">
            <v>0</v>
          </cell>
          <cell r="O299">
            <v>2.79</v>
          </cell>
          <cell r="P299">
            <v>0</v>
          </cell>
          <cell r="Q299">
            <v>0</v>
          </cell>
        </row>
        <row r="300">
          <cell r="A300">
            <v>874</v>
          </cell>
          <cell r="B300" t="str">
            <v>Meat, beef and veal sausages</v>
          </cell>
          <cell r="C300">
            <v>1806</v>
          </cell>
          <cell r="D300">
            <v>312</v>
          </cell>
          <cell r="E300">
            <v>14.11</v>
          </cell>
          <cell r="F300">
            <v>0</v>
          </cell>
          <cell r="G300">
            <v>2.8</v>
          </cell>
          <cell r="H300">
            <v>1.76</v>
          </cell>
          <cell r="I300">
            <v>7</v>
          </cell>
          <cell r="J300">
            <v>4</v>
          </cell>
          <cell r="K300">
            <v>0.14</v>
          </cell>
          <cell r="L300">
            <v>0</v>
          </cell>
          <cell r="M300">
            <v>176</v>
          </cell>
          <cell r="N300">
            <v>0</v>
          </cell>
          <cell r="O300">
            <v>1.86</v>
          </cell>
          <cell r="P300">
            <v>0</v>
          </cell>
          <cell r="Q300">
            <v>0</v>
          </cell>
        </row>
        <row r="301">
          <cell r="A301">
            <v>875</v>
          </cell>
          <cell r="B301" t="str">
            <v>Meat, beef, preparations</v>
          </cell>
          <cell r="C301">
            <v>1806</v>
          </cell>
          <cell r="D301">
            <v>295</v>
          </cell>
          <cell r="E301">
            <v>23.05</v>
          </cell>
          <cell r="F301">
            <v>0</v>
          </cell>
          <cell r="G301">
            <v>4.84</v>
          </cell>
          <cell r="H301">
            <v>2.42</v>
          </cell>
          <cell r="I301">
            <v>11</v>
          </cell>
          <cell r="J301">
            <v>21</v>
          </cell>
          <cell r="K301">
            <v>0.176</v>
          </cell>
          <cell r="L301">
            <v>74.6</v>
          </cell>
          <cell r="M301">
            <v>305</v>
          </cell>
          <cell r="N301">
            <v>0</v>
          </cell>
          <cell r="O301">
            <v>2.65</v>
          </cell>
          <cell r="P301">
            <v>2.3</v>
          </cell>
          <cell r="Q301">
            <v>0</v>
          </cell>
        </row>
        <row r="302">
          <cell r="A302">
            <v>882</v>
          </cell>
          <cell r="B302" t="str">
            <v>Milk, whole fresh cow</v>
          </cell>
          <cell r="C302">
            <v>1780</v>
          </cell>
          <cell r="D302">
            <v>57.1</v>
          </cell>
          <cell r="E302">
            <v>3.25</v>
          </cell>
          <cell r="F302">
            <v>0</v>
          </cell>
          <cell r="G302">
            <v>0.38</v>
          </cell>
          <cell r="H302">
            <v>0.15740988</v>
          </cell>
          <cell r="I302">
            <v>116.5</v>
          </cell>
          <cell r="J302">
            <v>6.5</v>
          </cell>
          <cell r="K302">
            <v>0.0548197595</v>
          </cell>
          <cell r="L302">
            <v>7.997106487</v>
          </cell>
          <cell r="M302">
            <v>130</v>
          </cell>
          <cell r="N302">
            <v>0.07</v>
          </cell>
          <cell r="O302">
            <v>0.525</v>
          </cell>
          <cell r="P302">
            <v>0.3</v>
          </cell>
          <cell r="Q302">
            <v>32.17623498</v>
          </cell>
        </row>
        <row r="303">
          <cell r="A303">
            <v>885</v>
          </cell>
          <cell r="B303" t="str">
            <v>Cream fresh</v>
          </cell>
          <cell r="C303">
            <v>1780</v>
          </cell>
          <cell r="D303">
            <v>288.86</v>
          </cell>
          <cell r="E303">
            <v>2.25</v>
          </cell>
          <cell r="F303">
            <v>0</v>
          </cell>
          <cell r="G303">
            <v>0.23</v>
          </cell>
          <cell r="H303">
            <v>0.1</v>
          </cell>
          <cell r="I303">
            <v>67</v>
          </cell>
          <cell r="J303">
            <v>7.4</v>
          </cell>
          <cell r="K303">
            <v>0.14</v>
          </cell>
          <cell r="L303">
            <v>16.8</v>
          </cell>
          <cell r="M303">
            <v>84</v>
          </cell>
          <cell r="N303">
            <v>2.32</v>
          </cell>
          <cell r="O303">
            <v>0.305</v>
          </cell>
          <cell r="P303">
            <v>7</v>
          </cell>
          <cell r="Q303">
            <v>297</v>
          </cell>
        </row>
        <row r="304">
          <cell r="A304">
            <v>886</v>
          </cell>
          <cell r="B304" t="str">
            <v>Butter, cow milk</v>
          </cell>
          <cell r="C304">
            <v>1780</v>
          </cell>
          <cell r="D304">
            <v>743.75</v>
          </cell>
          <cell r="E304">
            <v>0.825</v>
          </cell>
          <cell r="F304">
            <v>0</v>
          </cell>
          <cell r="G304">
            <v>0.1</v>
          </cell>
          <cell r="H304">
            <v>0.2</v>
          </cell>
          <cell r="I304">
            <v>22</v>
          </cell>
          <cell r="J304">
            <v>3</v>
          </cell>
          <cell r="K304">
            <v>0.032</v>
          </cell>
          <cell r="L304">
            <v>18.8</v>
          </cell>
          <cell r="M304">
            <v>17</v>
          </cell>
          <cell r="N304">
            <v>2.32</v>
          </cell>
          <cell r="O304">
            <v>0.135</v>
          </cell>
          <cell r="P304">
            <v>7</v>
          </cell>
          <cell r="Q304">
            <v>685</v>
          </cell>
        </row>
        <row r="305">
          <cell r="A305">
            <v>888</v>
          </cell>
          <cell r="B305" t="str">
            <v>Milk, skimmed cow</v>
          </cell>
          <cell r="C305">
            <v>1780</v>
          </cell>
          <cell r="D305">
            <v>34</v>
          </cell>
          <cell r="E305">
            <v>3.37</v>
          </cell>
          <cell r="F305">
            <v>0</v>
          </cell>
          <cell r="G305">
            <v>0.42</v>
          </cell>
          <cell r="H305">
            <v>0.03</v>
          </cell>
          <cell r="I305">
            <v>122</v>
          </cell>
          <cell r="J305">
            <v>5</v>
          </cell>
          <cell r="K305">
            <v>0.182</v>
          </cell>
          <cell r="L305">
            <v>15.6</v>
          </cell>
          <cell r="M305">
            <v>156</v>
          </cell>
          <cell r="N305">
            <v>0.01</v>
          </cell>
          <cell r="O305">
            <v>0.5</v>
          </cell>
          <cell r="P305">
            <v>0</v>
          </cell>
          <cell r="Q305">
            <v>2</v>
          </cell>
        </row>
        <row r="306">
          <cell r="A306">
            <v>889</v>
          </cell>
          <cell r="B306" t="str">
            <v>Milk, whole condensed</v>
          </cell>
          <cell r="C306">
            <v>1780</v>
          </cell>
          <cell r="D306">
            <v>321</v>
          </cell>
          <cell r="E306">
            <v>7.91</v>
          </cell>
          <cell r="F306">
            <v>0</v>
          </cell>
          <cell r="G306">
            <v>0.94</v>
          </cell>
          <cell r="H306">
            <v>0.19</v>
          </cell>
          <cell r="I306">
            <v>284</v>
          </cell>
          <cell r="J306">
            <v>11</v>
          </cell>
          <cell r="K306">
            <v>0.416</v>
          </cell>
          <cell r="L306">
            <v>89.1</v>
          </cell>
          <cell r="M306">
            <v>371</v>
          </cell>
          <cell r="N306">
            <v>0.16</v>
          </cell>
          <cell r="O306">
            <v>0.44</v>
          </cell>
          <cell r="P306">
            <v>0.6</v>
          </cell>
          <cell r="Q306">
            <v>74</v>
          </cell>
        </row>
        <row r="307">
          <cell r="A307">
            <v>890</v>
          </cell>
          <cell r="B307" t="str">
            <v>Whey, condensed</v>
          </cell>
          <cell r="C307">
            <v>1780</v>
          </cell>
          <cell r="D307">
            <v>27</v>
          </cell>
          <cell r="E307">
            <v>0.85</v>
          </cell>
          <cell r="F307">
            <v>0</v>
          </cell>
          <cell r="G307">
            <v>0.13</v>
          </cell>
          <cell r="H307">
            <v>0.06</v>
          </cell>
          <cell r="I307">
            <v>47</v>
          </cell>
          <cell r="J307">
            <v>1</v>
          </cell>
          <cell r="K307">
            <v>0.158</v>
          </cell>
          <cell r="L307">
            <v>16</v>
          </cell>
          <cell r="M307">
            <v>161</v>
          </cell>
          <cell r="N307">
            <v>0</v>
          </cell>
          <cell r="O307">
            <v>0.28</v>
          </cell>
          <cell r="P307">
            <v>0</v>
          </cell>
          <cell r="Q307">
            <v>3</v>
          </cell>
        </row>
        <row r="308">
          <cell r="A308">
            <v>892</v>
          </cell>
          <cell r="B308" t="str">
            <v>Yoghurt, concentrated or not</v>
          </cell>
          <cell r="C308">
            <v>1780</v>
          </cell>
          <cell r="D308">
            <v>73</v>
          </cell>
          <cell r="E308">
            <v>3.8</v>
          </cell>
          <cell r="F308">
            <v>0</v>
          </cell>
          <cell r="G308">
            <v>0.58</v>
          </cell>
          <cell r="H308">
            <v>0.1</v>
          </cell>
          <cell r="I308">
            <v>152</v>
          </cell>
          <cell r="J308">
            <v>12</v>
          </cell>
          <cell r="K308">
            <v>0.2</v>
          </cell>
          <cell r="L308">
            <v>0</v>
          </cell>
          <cell r="M308">
            <v>209</v>
          </cell>
          <cell r="N308">
            <v>0.07</v>
          </cell>
          <cell r="O308">
            <v>0.375</v>
          </cell>
          <cell r="P308">
            <v>0.3</v>
          </cell>
          <cell r="Q308">
            <v>30</v>
          </cell>
        </row>
        <row r="309">
          <cell r="A309">
            <v>893</v>
          </cell>
          <cell r="B309" t="str">
            <v>Buttermilk, curdled, acidified milk</v>
          </cell>
          <cell r="C309">
            <v>1780</v>
          </cell>
          <cell r="D309">
            <v>73</v>
          </cell>
          <cell r="E309">
            <v>3.8</v>
          </cell>
          <cell r="F309">
            <v>0</v>
          </cell>
          <cell r="G309">
            <v>0.58</v>
          </cell>
          <cell r="H309">
            <v>0.1</v>
          </cell>
          <cell r="I309">
            <v>152</v>
          </cell>
          <cell r="J309">
            <v>12</v>
          </cell>
          <cell r="K309">
            <v>0.2</v>
          </cell>
          <cell r="L309">
            <v>0</v>
          </cell>
          <cell r="M309">
            <v>209</v>
          </cell>
          <cell r="N309">
            <v>0.07</v>
          </cell>
          <cell r="O309">
            <v>0.375</v>
          </cell>
          <cell r="P309">
            <v>0.3</v>
          </cell>
          <cell r="Q309">
            <v>30</v>
          </cell>
        </row>
        <row r="310">
          <cell r="A310">
            <v>894</v>
          </cell>
          <cell r="B310" t="str">
            <v>Milk, whole evaporated</v>
          </cell>
          <cell r="C310">
            <v>1780</v>
          </cell>
          <cell r="D310">
            <v>135</v>
          </cell>
          <cell r="E310">
            <v>6.81</v>
          </cell>
          <cell r="F310">
            <v>0</v>
          </cell>
          <cell r="G310">
            <v>0.77</v>
          </cell>
          <cell r="H310">
            <v>0.19</v>
          </cell>
          <cell r="I310">
            <v>261</v>
          </cell>
          <cell r="J310">
            <v>8</v>
          </cell>
          <cell r="K310">
            <v>0.316</v>
          </cell>
          <cell r="L310">
            <v>31.3</v>
          </cell>
          <cell r="M310">
            <v>303</v>
          </cell>
          <cell r="N310">
            <v>0.16</v>
          </cell>
          <cell r="O310">
            <v>0.16</v>
          </cell>
          <cell r="P310">
            <v>0.6</v>
          </cell>
          <cell r="Q310">
            <v>65</v>
          </cell>
        </row>
        <row r="311">
          <cell r="A311">
            <v>897</v>
          </cell>
          <cell r="B311" t="str">
            <v>Milk, whole dried</v>
          </cell>
          <cell r="C311">
            <v>1780</v>
          </cell>
          <cell r="D311">
            <v>57.1</v>
          </cell>
          <cell r="E311">
            <v>3.25</v>
          </cell>
          <cell r="F311">
            <v>0</v>
          </cell>
          <cell r="G311">
            <v>0.38</v>
          </cell>
          <cell r="H311">
            <v>0.15740988</v>
          </cell>
          <cell r="I311">
            <v>116.5</v>
          </cell>
          <cell r="J311">
            <v>6.5</v>
          </cell>
          <cell r="K311">
            <v>0.0548197595</v>
          </cell>
          <cell r="L311">
            <v>7.997106487</v>
          </cell>
          <cell r="M311">
            <v>130</v>
          </cell>
          <cell r="N311">
            <v>0.07</v>
          </cell>
          <cell r="O311">
            <v>0.525</v>
          </cell>
          <cell r="P311">
            <v>0.3</v>
          </cell>
          <cell r="Q311">
            <v>32.17623498</v>
          </cell>
        </row>
        <row r="312">
          <cell r="A312">
            <v>898</v>
          </cell>
          <cell r="B312" t="str">
            <v>Milk, skimmed dried</v>
          </cell>
          <cell r="C312">
            <v>1780</v>
          </cell>
          <cell r="D312">
            <v>362</v>
          </cell>
          <cell r="E312">
            <v>36.16</v>
          </cell>
          <cell r="F312">
            <v>0</v>
          </cell>
          <cell r="G312">
            <v>4.08</v>
          </cell>
          <cell r="H312">
            <v>0.32</v>
          </cell>
          <cell r="I312">
            <v>1257</v>
          </cell>
          <cell r="J312">
            <v>50</v>
          </cell>
          <cell r="K312">
            <v>1.55</v>
          </cell>
          <cell r="L312">
            <v>169.2</v>
          </cell>
          <cell r="M312">
            <v>1794</v>
          </cell>
          <cell r="N312">
            <v>0</v>
          </cell>
          <cell r="O312">
            <v>4.03</v>
          </cell>
          <cell r="P312">
            <v>0.1</v>
          </cell>
          <cell r="Q312">
            <v>6</v>
          </cell>
        </row>
        <row r="313">
          <cell r="A313">
            <v>900</v>
          </cell>
          <cell r="B313" t="str">
            <v>Whey, dry</v>
          </cell>
          <cell r="C313">
            <v>1780</v>
          </cell>
          <cell r="D313">
            <v>27</v>
          </cell>
          <cell r="E313">
            <v>0.85</v>
          </cell>
          <cell r="F313">
            <v>0</v>
          </cell>
          <cell r="G313">
            <v>0.13</v>
          </cell>
          <cell r="H313">
            <v>0.06</v>
          </cell>
          <cell r="I313">
            <v>47</v>
          </cell>
          <cell r="J313">
            <v>1</v>
          </cell>
          <cell r="K313">
            <v>0.158</v>
          </cell>
          <cell r="L313">
            <v>16</v>
          </cell>
          <cell r="M313">
            <v>161</v>
          </cell>
          <cell r="N313">
            <v>0</v>
          </cell>
          <cell r="O313">
            <v>0.28</v>
          </cell>
          <cell r="P313">
            <v>0</v>
          </cell>
          <cell r="Q313">
            <v>3</v>
          </cell>
        </row>
        <row r="314">
          <cell r="A314">
            <v>901</v>
          </cell>
          <cell r="B314" t="str">
            <v>Cheese, whole cow milk</v>
          </cell>
          <cell r="C314">
            <v>1780</v>
          </cell>
          <cell r="D314">
            <v>73</v>
          </cell>
          <cell r="E314">
            <v>3.8</v>
          </cell>
          <cell r="F314">
            <v>0</v>
          </cell>
          <cell r="G314">
            <v>0.58</v>
          </cell>
          <cell r="H314">
            <v>0.1</v>
          </cell>
          <cell r="I314">
            <v>152</v>
          </cell>
          <cell r="J314">
            <v>12</v>
          </cell>
          <cell r="K314">
            <v>0.2</v>
          </cell>
          <cell r="L314">
            <v>0</v>
          </cell>
          <cell r="M314">
            <v>209</v>
          </cell>
          <cell r="N314">
            <v>0.07</v>
          </cell>
          <cell r="O314">
            <v>0.375</v>
          </cell>
          <cell r="P314">
            <v>0.3</v>
          </cell>
          <cell r="Q314">
            <v>30</v>
          </cell>
        </row>
        <row r="315">
          <cell r="A315">
            <v>907</v>
          </cell>
          <cell r="B315" t="str">
            <v>Cheese, processed</v>
          </cell>
          <cell r="C315">
            <v>1780</v>
          </cell>
          <cell r="D315">
            <v>73</v>
          </cell>
          <cell r="E315">
            <v>3.8</v>
          </cell>
          <cell r="F315">
            <v>0</v>
          </cell>
          <cell r="G315">
            <v>0.58</v>
          </cell>
          <cell r="H315">
            <v>0.1</v>
          </cell>
          <cell r="I315">
            <v>152</v>
          </cell>
          <cell r="J315">
            <v>12</v>
          </cell>
          <cell r="K315">
            <v>0.2</v>
          </cell>
          <cell r="L315">
            <v>0</v>
          </cell>
          <cell r="M315">
            <v>209</v>
          </cell>
          <cell r="N315">
            <v>0.07</v>
          </cell>
          <cell r="O315">
            <v>0.375</v>
          </cell>
          <cell r="P315">
            <v>0.3</v>
          </cell>
          <cell r="Q315">
            <v>30</v>
          </cell>
        </row>
        <row r="316">
          <cell r="A316">
            <v>909</v>
          </cell>
          <cell r="B316" t="str">
            <v>Milk, products of natural constituents nes</v>
          </cell>
          <cell r="C316">
            <v>1780</v>
          </cell>
          <cell r="D316">
            <v>73</v>
          </cell>
          <cell r="E316">
            <v>3.8</v>
          </cell>
          <cell r="F316">
            <v>0</v>
          </cell>
          <cell r="G316">
            <v>0.58</v>
          </cell>
          <cell r="H316">
            <v>0.1</v>
          </cell>
          <cell r="I316">
            <v>152</v>
          </cell>
          <cell r="J316">
            <v>12</v>
          </cell>
          <cell r="K316">
            <v>0.2</v>
          </cell>
          <cell r="L316">
            <v>0</v>
          </cell>
          <cell r="M316">
            <v>209</v>
          </cell>
          <cell r="N316">
            <v>0.07</v>
          </cell>
          <cell r="O316">
            <v>0.375</v>
          </cell>
          <cell r="P316">
            <v>0.3</v>
          </cell>
          <cell r="Q316">
            <v>30</v>
          </cell>
        </row>
        <row r="317">
          <cell r="A317">
            <v>910</v>
          </cell>
          <cell r="B317" t="str">
            <v>Ice cream and edible ice</v>
          </cell>
          <cell r="C317">
            <v>1780</v>
          </cell>
          <cell r="D317">
            <v>166</v>
          </cell>
          <cell r="E317">
            <v>3.4</v>
          </cell>
          <cell r="F317">
            <v>0.7</v>
          </cell>
          <cell r="G317">
            <v>0.53</v>
          </cell>
          <cell r="H317">
            <v>0.2</v>
          </cell>
          <cell r="I317">
            <v>126</v>
          </cell>
          <cell r="J317">
            <v>5</v>
          </cell>
          <cell r="K317">
            <v>0.11</v>
          </cell>
          <cell r="L317">
            <v>26</v>
          </cell>
          <cell r="M317">
            <v>199</v>
          </cell>
          <cell r="N317">
            <v>0.18</v>
          </cell>
          <cell r="O317">
            <v>0.18</v>
          </cell>
          <cell r="P317">
            <v>1.1</v>
          </cell>
          <cell r="Q317">
            <v>80</v>
          </cell>
        </row>
        <row r="318">
          <cell r="A318">
            <v>953</v>
          </cell>
          <cell r="B318" t="str">
            <v>Ghee, of buffalo milk</v>
          </cell>
          <cell r="C318">
            <v>1780</v>
          </cell>
          <cell r="D318">
            <v>875</v>
          </cell>
          <cell r="E318">
            <v>0</v>
          </cell>
          <cell r="F318">
            <v>0</v>
          </cell>
          <cell r="G318">
            <v>0</v>
          </cell>
          <cell r="H318">
            <v>0</v>
          </cell>
          <cell r="I318">
            <v>0</v>
          </cell>
          <cell r="J318">
            <v>0</v>
          </cell>
          <cell r="K318">
            <v>0</v>
          </cell>
          <cell r="L318">
            <v>0</v>
          </cell>
          <cell r="M318">
            <v>0</v>
          </cell>
          <cell r="N318">
            <v>2.32</v>
          </cell>
          <cell r="O318">
            <v>0.085</v>
          </cell>
          <cell r="P318">
            <v>7</v>
          </cell>
          <cell r="Q318">
            <v>958.75</v>
          </cell>
        </row>
        <row r="319">
          <cell r="A319">
            <v>977</v>
          </cell>
          <cell r="B319" t="str">
            <v>Meat, sheep</v>
          </cell>
          <cell r="C319">
            <v>1807</v>
          </cell>
          <cell r="D319">
            <v>179.5</v>
          </cell>
          <cell r="E319">
            <v>18.8</v>
          </cell>
          <cell r="F319">
            <v>0</v>
          </cell>
          <cell r="G319">
            <v>3.33</v>
          </cell>
          <cell r="H319">
            <v>2.2</v>
          </cell>
          <cell r="I319">
            <v>11</v>
          </cell>
          <cell r="J319">
            <v>5</v>
          </cell>
          <cell r="K319">
            <v>0.2</v>
          </cell>
          <cell r="L319">
            <v>0</v>
          </cell>
          <cell r="M319">
            <v>300</v>
          </cell>
          <cell r="N319">
            <v>0.120021922207713</v>
          </cell>
          <cell r="O319">
            <v>2.14721610700734</v>
          </cell>
          <cell r="P319">
            <v>2.43385690345533</v>
          </cell>
          <cell r="Q319">
            <v>8</v>
          </cell>
        </row>
        <row r="320">
          <cell r="A320">
            <v>978</v>
          </cell>
          <cell r="B320" t="str">
            <v>Offals, sheep,edible</v>
          </cell>
          <cell r="C320">
            <v>2736</v>
          </cell>
          <cell r="D320">
            <v>124</v>
          </cell>
          <cell r="E320">
            <v>16.47</v>
          </cell>
          <cell r="F320">
            <v>0</v>
          </cell>
          <cell r="G320">
            <v>2.085</v>
          </cell>
          <cell r="H320">
            <v>5.8</v>
          </cell>
          <cell r="I320">
            <v>9.9</v>
          </cell>
          <cell r="J320">
            <v>12</v>
          </cell>
          <cell r="K320">
            <v>0.52</v>
          </cell>
          <cell r="L320">
            <v>0</v>
          </cell>
          <cell r="M320">
            <v>296</v>
          </cell>
          <cell r="N320">
            <v>0.6</v>
          </cell>
          <cell r="O320">
            <v>61.6</v>
          </cell>
          <cell r="P320">
            <v>1.6</v>
          </cell>
          <cell r="Q320">
            <v>110.5</v>
          </cell>
        </row>
        <row r="321">
          <cell r="A321">
            <v>982</v>
          </cell>
          <cell r="B321" t="str">
            <v>Milk, whole fresh sheep</v>
          </cell>
          <cell r="C321">
            <v>1780</v>
          </cell>
          <cell r="D321">
            <v>100</v>
          </cell>
          <cell r="E321">
            <v>5.9</v>
          </cell>
          <cell r="F321">
            <v>0</v>
          </cell>
          <cell r="G321">
            <v>0.54</v>
          </cell>
          <cell r="H321">
            <v>0.1</v>
          </cell>
          <cell r="I321">
            <v>200</v>
          </cell>
          <cell r="J321">
            <v>7</v>
          </cell>
          <cell r="K321">
            <v>0.355</v>
          </cell>
          <cell r="L321">
            <v>0</v>
          </cell>
          <cell r="M321">
            <v>162</v>
          </cell>
          <cell r="N321">
            <v>0</v>
          </cell>
          <cell r="O321">
            <v>0.355</v>
          </cell>
          <cell r="P321">
            <v>0</v>
          </cell>
          <cell r="Q321">
            <v>44</v>
          </cell>
        </row>
        <row r="322">
          <cell r="A322">
            <v>984</v>
          </cell>
          <cell r="B322" t="str">
            <v>Cheese, sheep milk</v>
          </cell>
          <cell r="C322">
            <v>1780</v>
          </cell>
          <cell r="D322">
            <v>323</v>
          </cell>
          <cell r="E322">
            <v>21.92</v>
          </cell>
          <cell r="F322">
            <v>0</v>
          </cell>
          <cell r="G322">
            <v>3.55</v>
          </cell>
          <cell r="H322">
            <v>0.6</v>
          </cell>
          <cell r="I322">
            <v>723</v>
          </cell>
          <cell r="J322">
            <v>6</v>
          </cell>
          <cell r="K322">
            <v>0.4</v>
          </cell>
          <cell r="L322">
            <v>0</v>
          </cell>
          <cell r="M322">
            <v>284</v>
          </cell>
          <cell r="N322">
            <v>0</v>
          </cell>
          <cell r="O322">
            <v>2.3</v>
          </cell>
          <cell r="P322">
            <v>0</v>
          </cell>
          <cell r="Q322">
            <v>237</v>
          </cell>
        </row>
        <row r="323">
          <cell r="A323">
            <v>1017</v>
          </cell>
          <cell r="B323" t="str">
            <v>Meat, goat</v>
          </cell>
          <cell r="C323">
            <v>1807</v>
          </cell>
          <cell r="D323">
            <v>179.5</v>
          </cell>
          <cell r="E323">
            <v>18.8</v>
          </cell>
          <cell r="F323">
            <v>0</v>
          </cell>
          <cell r="G323">
            <v>3.33</v>
          </cell>
          <cell r="H323">
            <v>2.2</v>
          </cell>
          <cell r="I323">
            <v>11</v>
          </cell>
          <cell r="J323">
            <v>5</v>
          </cell>
          <cell r="K323">
            <v>0.2</v>
          </cell>
          <cell r="L323">
            <v>0</v>
          </cell>
          <cell r="M323">
            <v>300</v>
          </cell>
          <cell r="N323">
            <v>0.120021922207713</v>
          </cell>
          <cell r="O323">
            <v>2.14721610700734</v>
          </cell>
          <cell r="P323">
            <v>2.43385690345533</v>
          </cell>
          <cell r="Q323">
            <v>8</v>
          </cell>
        </row>
        <row r="324">
          <cell r="A324">
            <v>1018</v>
          </cell>
          <cell r="B324" t="str">
            <v>Offals, edible, goats</v>
          </cell>
          <cell r="C324">
            <v>2736</v>
          </cell>
          <cell r="D324">
            <v>107</v>
          </cell>
          <cell r="E324">
            <v>20</v>
          </cell>
          <cell r="F324">
            <v>0</v>
          </cell>
          <cell r="G324">
            <v>0</v>
          </cell>
          <cell r="H324">
            <v>0</v>
          </cell>
          <cell r="I324">
            <v>17</v>
          </cell>
          <cell r="J324">
            <v>176</v>
          </cell>
          <cell r="K324">
            <v>0</v>
          </cell>
          <cell r="L324">
            <v>0</v>
          </cell>
          <cell r="M324">
            <v>160</v>
          </cell>
          <cell r="N324">
            <v>0.6</v>
          </cell>
          <cell r="O324">
            <v>36.25</v>
          </cell>
          <cell r="P324">
            <v>1.6</v>
          </cell>
          <cell r="Q324">
            <v>0</v>
          </cell>
        </row>
        <row r="325">
          <cell r="A325">
            <v>1035</v>
          </cell>
          <cell r="B325" t="str">
            <v>Meat, pig</v>
          </cell>
          <cell r="C325">
            <v>1035</v>
          </cell>
          <cell r="D325">
            <v>207.93</v>
          </cell>
          <cell r="E325">
            <v>19</v>
          </cell>
          <cell r="F325">
            <v>0</v>
          </cell>
          <cell r="G325">
            <v>2.055</v>
          </cell>
          <cell r="H325">
            <v>1.085</v>
          </cell>
          <cell r="I325">
            <v>10.9</v>
          </cell>
          <cell r="J325">
            <v>2.5</v>
          </cell>
          <cell r="K325">
            <v>0.2085</v>
          </cell>
          <cell r="L325">
            <v>0</v>
          </cell>
          <cell r="M325">
            <v>300.5</v>
          </cell>
          <cell r="N325">
            <v>0.197875002374958</v>
          </cell>
          <cell r="O325">
            <v>0.640552888505021</v>
          </cell>
          <cell r="P325">
            <v>0</v>
          </cell>
          <cell r="Q325">
            <v>2</v>
          </cell>
        </row>
        <row r="326">
          <cell r="A326">
            <v>1036</v>
          </cell>
          <cell r="B326" t="str">
            <v>Offals, pigs, edible</v>
          </cell>
          <cell r="C326">
            <v>2736</v>
          </cell>
          <cell r="D326">
            <v>127</v>
          </cell>
          <cell r="E326">
            <v>16.38</v>
          </cell>
          <cell r="F326">
            <v>0</v>
          </cell>
          <cell r="G326">
            <v>1.9</v>
          </cell>
          <cell r="H326">
            <v>5.045</v>
          </cell>
          <cell r="I326">
            <v>11</v>
          </cell>
          <cell r="J326">
            <v>3.5</v>
          </cell>
          <cell r="K326">
            <v>0.43</v>
          </cell>
          <cell r="L326">
            <v>194.8</v>
          </cell>
          <cell r="M326">
            <v>229</v>
          </cell>
          <cell r="N326">
            <v>0.26</v>
          </cell>
          <cell r="O326">
            <v>0.365</v>
          </cell>
          <cell r="P326">
            <v>0</v>
          </cell>
          <cell r="Q326">
            <v>9</v>
          </cell>
        </row>
        <row r="327">
          <cell r="A327">
            <v>1038</v>
          </cell>
          <cell r="B327" t="str">
            <v>Meat, pork</v>
          </cell>
          <cell r="C327">
            <v>1035</v>
          </cell>
          <cell r="D327">
            <v>207.93</v>
          </cell>
          <cell r="E327">
            <v>19</v>
          </cell>
          <cell r="F327">
            <v>0</v>
          </cell>
          <cell r="G327">
            <v>2.055</v>
          </cell>
          <cell r="H327">
            <v>1.085</v>
          </cell>
          <cell r="I327">
            <v>10.9</v>
          </cell>
          <cell r="J327">
            <v>2.5</v>
          </cell>
          <cell r="K327">
            <v>0.2085</v>
          </cell>
          <cell r="L327">
            <v>0</v>
          </cell>
          <cell r="M327">
            <v>300.5</v>
          </cell>
          <cell r="N327">
            <v>0.197875002374958</v>
          </cell>
          <cell r="O327">
            <v>0.640552888505021</v>
          </cell>
          <cell r="P327">
            <v>0</v>
          </cell>
          <cell r="Q327">
            <v>2</v>
          </cell>
        </row>
        <row r="328">
          <cell r="A328">
            <v>1039</v>
          </cell>
          <cell r="B328" t="str">
            <v>Bacon and ham</v>
          </cell>
          <cell r="C328">
            <v>1035</v>
          </cell>
          <cell r="D328">
            <v>157</v>
          </cell>
          <cell r="E328">
            <v>25.05</v>
          </cell>
          <cell r="F328">
            <v>0</v>
          </cell>
          <cell r="G328">
            <v>2.57</v>
          </cell>
          <cell r="H328">
            <v>0.94</v>
          </cell>
          <cell r="I328">
            <v>7</v>
          </cell>
          <cell r="J328">
            <v>4</v>
          </cell>
          <cell r="K328">
            <v>0.254</v>
          </cell>
          <cell r="L328">
            <v>101.9</v>
          </cell>
          <cell r="M328">
            <v>316</v>
          </cell>
          <cell r="N328">
            <v>0.26</v>
          </cell>
          <cell r="O328">
            <v>0.7</v>
          </cell>
          <cell r="P328">
            <v>0</v>
          </cell>
          <cell r="Q328">
            <v>0</v>
          </cell>
        </row>
        <row r="329">
          <cell r="A329">
            <v>1041</v>
          </cell>
          <cell r="B329" t="str">
            <v>Meat, pig sausages</v>
          </cell>
          <cell r="C329">
            <v>1035</v>
          </cell>
          <cell r="D329">
            <v>297</v>
          </cell>
          <cell r="E329">
            <v>25.69</v>
          </cell>
          <cell r="F329">
            <v>0</v>
          </cell>
          <cell r="G329">
            <v>3.21</v>
          </cell>
          <cell r="H329">
            <v>1.29</v>
          </cell>
          <cell r="I329">
            <v>22</v>
          </cell>
          <cell r="J329">
            <v>6</v>
          </cell>
          <cell r="K329">
            <v>0.22</v>
          </cell>
          <cell r="L329">
            <v>88.3</v>
          </cell>
          <cell r="M329">
            <v>362</v>
          </cell>
          <cell r="N329">
            <v>0.21</v>
          </cell>
          <cell r="O329">
            <v>0.54</v>
          </cell>
          <cell r="P329">
            <v>0</v>
          </cell>
          <cell r="Q329">
            <v>2</v>
          </cell>
        </row>
        <row r="330">
          <cell r="A330">
            <v>1042</v>
          </cell>
          <cell r="B330" t="str">
            <v>Meat, pig, preparations</v>
          </cell>
          <cell r="C330">
            <v>1035</v>
          </cell>
          <cell r="D330">
            <v>196</v>
          </cell>
          <cell r="E330">
            <v>19.4</v>
          </cell>
          <cell r="F330">
            <v>0</v>
          </cell>
          <cell r="G330">
            <v>2.77</v>
          </cell>
          <cell r="H330">
            <v>1.05</v>
          </cell>
          <cell r="I330">
            <v>5</v>
          </cell>
          <cell r="J330">
            <v>1</v>
          </cell>
          <cell r="K330">
            <v>0.18</v>
          </cell>
          <cell r="L330">
            <v>101.9</v>
          </cell>
          <cell r="M330">
            <v>243</v>
          </cell>
          <cell r="N330">
            <v>0.28</v>
          </cell>
          <cell r="O330">
            <v>0.93</v>
          </cell>
          <cell r="P330">
            <v>0</v>
          </cell>
          <cell r="Q330">
            <v>0</v>
          </cell>
        </row>
        <row r="331">
          <cell r="A331">
            <v>1043</v>
          </cell>
          <cell r="B331" t="str">
            <v>Lard</v>
          </cell>
          <cell r="C331">
            <v>1035</v>
          </cell>
          <cell r="D331">
            <v>900</v>
          </cell>
          <cell r="E331">
            <v>0</v>
          </cell>
          <cell r="F331">
            <v>0</v>
          </cell>
          <cell r="G331">
            <v>0</v>
          </cell>
          <cell r="H331">
            <v>0</v>
          </cell>
          <cell r="I331">
            <v>0</v>
          </cell>
          <cell r="J331">
            <v>0</v>
          </cell>
          <cell r="K331">
            <v>0</v>
          </cell>
          <cell r="L331">
            <v>0</v>
          </cell>
          <cell r="M331">
            <v>0</v>
          </cell>
          <cell r="N331">
            <v>2.7</v>
          </cell>
          <cell r="O331">
            <v>0</v>
          </cell>
          <cell r="P331">
            <v>0</v>
          </cell>
          <cell r="Q331">
            <v>0</v>
          </cell>
        </row>
        <row r="332">
          <cell r="A332">
            <v>1058</v>
          </cell>
          <cell r="B332" t="str">
            <v>Meat, chicken</v>
          </cell>
          <cell r="C332">
            <v>1808</v>
          </cell>
          <cell r="D332">
            <v>172.58</v>
          </cell>
          <cell r="E332">
            <v>18.045</v>
          </cell>
          <cell r="F332">
            <v>0</v>
          </cell>
          <cell r="G332">
            <v>1.33</v>
          </cell>
          <cell r="H332">
            <v>1.4</v>
          </cell>
          <cell r="I332">
            <v>11</v>
          </cell>
          <cell r="J332">
            <v>7</v>
          </cell>
          <cell r="K332">
            <v>0.155</v>
          </cell>
          <cell r="L332">
            <v>58</v>
          </cell>
          <cell r="M332">
            <v>233.5</v>
          </cell>
          <cell r="N332">
            <v>0.158251487388476</v>
          </cell>
          <cell r="O332">
            <v>0.520695613366424</v>
          </cell>
          <cell r="P332">
            <v>0.967503828501812</v>
          </cell>
          <cell r="Q332">
            <v>18</v>
          </cell>
        </row>
        <row r="333">
          <cell r="A333">
            <v>1059</v>
          </cell>
          <cell r="B333" t="str">
            <v>Offals, liver chicken</v>
          </cell>
          <cell r="C333">
            <v>2736</v>
          </cell>
          <cell r="D333">
            <v>121</v>
          </cell>
          <cell r="E333">
            <v>17.46</v>
          </cell>
          <cell r="F333">
            <v>0</v>
          </cell>
          <cell r="G333">
            <v>2.67</v>
          </cell>
          <cell r="H333">
            <v>8.7</v>
          </cell>
          <cell r="I333">
            <v>11</v>
          </cell>
          <cell r="J333">
            <v>690</v>
          </cell>
          <cell r="K333">
            <v>1.96</v>
          </cell>
          <cell r="L333">
            <v>194.4</v>
          </cell>
          <cell r="M333">
            <v>229</v>
          </cell>
          <cell r="N333">
            <v>0.82</v>
          </cell>
          <cell r="O333">
            <v>20.425</v>
          </cell>
          <cell r="P333">
            <v>0</v>
          </cell>
          <cell r="Q333">
            <v>7890</v>
          </cell>
        </row>
        <row r="334">
          <cell r="A334">
            <v>1060</v>
          </cell>
          <cell r="B334" t="str">
            <v>Fat, liver prepared (foie gras)</v>
          </cell>
          <cell r="C334">
            <v>1808</v>
          </cell>
          <cell r="D334">
            <v>167</v>
          </cell>
          <cell r="E334">
            <v>24.46</v>
          </cell>
          <cell r="F334">
            <v>0</v>
          </cell>
          <cell r="G334">
            <v>3.98</v>
          </cell>
          <cell r="H334">
            <v>11.63</v>
          </cell>
          <cell r="I334">
            <v>11</v>
          </cell>
          <cell r="J334">
            <v>578</v>
          </cell>
          <cell r="K334">
            <v>1.993</v>
          </cell>
          <cell r="L334">
            <v>290</v>
          </cell>
          <cell r="M334">
            <v>263</v>
          </cell>
          <cell r="N334">
            <v>0.82</v>
          </cell>
          <cell r="O334">
            <v>16.85</v>
          </cell>
          <cell r="P334">
            <v>0</v>
          </cell>
          <cell r="Q334">
            <v>3981</v>
          </cell>
        </row>
        <row r="335">
          <cell r="A335">
            <v>1061</v>
          </cell>
          <cell r="B335" t="str">
            <v>Meat, chicken, canned</v>
          </cell>
          <cell r="C335">
            <v>1808</v>
          </cell>
          <cell r="D335">
            <v>172.58</v>
          </cell>
          <cell r="E335">
            <v>18.045</v>
          </cell>
          <cell r="F335">
            <v>0</v>
          </cell>
          <cell r="G335">
            <v>1.33</v>
          </cell>
          <cell r="H335">
            <v>1.4</v>
          </cell>
          <cell r="I335">
            <v>11</v>
          </cell>
          <cell r="J335">
            <v>7</v>
          </cell>
          <cell r="K335">
            <v>0.155</v>
          </cell>
          <cell r="L335">
            <v>58</v>
          </cell>
          <cell r="M335">
            <v>233.5</v>
          </cell>
          <cell r="N335">
            <v>0.158251487388476</v>
          </cell>
          <cell r="O335">
            <v>0.520695613366424</v>
          </cell>
          <cell r="P335">
            <v>0.967503828501812</v>
          </cell>
          <cell r="Q335">
            <v>18</v>
          </cell>
        </row>
        <row r="336">
          <cell r="A336">
            <v>1062</v>
          </cell>
          <cell r="B336" t="str">
            <v>Eggs, hen, in shell</v>
          </cell>
          <cell r="C336">
            <v>1783</v>
          </cell>
          <cell r="D336">
            <v>149</v>
          </cell>
          <cell r="E336">
            <v>12.6</v>
          </cell>
          <cell r="F336">
            <v>0</v>
          </cell>
          <cell r="G336">
            <v>1.29</v>
          </cell>
          <cell r="H336">
            <v>2</v>
          </cell>
          <cell r="I336">
            <v>56</v>
          </cell>
          <cell r="J336">
            <v>47</v>
          </cell>
          <cell r="K336">
            <v>0.3</v>
          </cell>
          <cell r="L336">
            <v>293.8</v>
          </cell>
          <cell r="M336">
            <v>130</v>
          </cell>
          <cell r="N336">
            <v>2.04</v>
          </cell>
          <cell r="O336">
            <v>1.9</v>
          </cell>
          <cell r="P336">
            <v>0.7</v>
          </cell>
          <cell r="Q336">
            <v>197</v>
          </cell>
        </row>
        <row r="337">
          <cell r="A337">
            <v>1063</v>
          </cell>
          <cell r="B337" t="str">
            <v>Eggs, liquid</v>
          </cell>
          <cell r="C337">
            <v>1783</v>
          </cell>
          <cell r="D337">
            <v>328.63</v>
          </cell>
          <cell r="E337">
            <v>15.6</v>
          </cell>
          <cell r="F337">
            <v>0</v>
          </cell>
          <cell r="G337">
            <v>1.29</v>
          </cell>
          <cell r="H337">
            <v>5.6</v>
          </cell>
          <cell r="I337">
            <v>132</v>
          </cell>
          <cell r="J337">
            <v>47</v>
          </cell>
          <cell r="K337">
            <v>0.36</v>
          </cell>
          <cell r="L337">
            <v>293.8</v>
          </cell>
          <cell r="M337">
            <v>114</v>
          </cell>
          <cell r="N337">
            <v>1.31</v>
          </cell>
          <cell r="O337">
            <v>0.485</v>
          </cell>
          <cell r="P337">
            <v>5.6</v>
          </cell>
          <cell r="Q337">
            <v>473</v>
          </cell>
        </row>
        <row r="338">
          <cell r="A338">
            <v>1064</v>
          </cell>
          <cell r="B338" t="str">
            <v>Eggs, dried</v>
          </cell>
          <cell r="C338">
            <v>1783</v>
          </cell>
          <cell r="D338">
            <v>578.8</v>
          </cell>
          <cell r="E338">
            <v>45.8</v>
          </cell>
          <cell r="F338">
            <v>0</v>
          </cell>
          <cell r="G338">
            <v>4.29</v>
          </cell>
          <cell r="H338">
            <v>6.115</v>
          </cell>
          <cell r="I338">
            <v>224</v>
          </cell>
          <cell r="J338">
            <v>119</v>
          </cell>
          <cell r="K338">
            <v>1.17</v>
          </cell>
          <cell r="L338">
            <v>1266.7</v>
          </cell>
          <cell r="M338">
            <v>515</v>
          </cell>
          <cell r="N338">
            <v>2.17</v>
          </cell>
          <cell r="O338">
            <v>1.695</v>
          </cell>
          <cell r="P338">
            <v>1.2</v>
          </cell>
          <cell r="Q338">
            <v>368</v>
          </cell>
        </row>
        <row r="339">
          <cell r="A339">
            <v>1069</v>
          </cell>
          <cell r="B339" t="str">
            <v>Meat, duck</v>
          </cell>
          <cell r="C339">
            <v>1808</v>
          </cell>
          <cell r="D339">
            <v>151</v>
          </cell>
          <cell r="E339">
            <v>22.3</v>
          </cell>
          <cell r="F339">
            <v>0</v>
          </cell>
          <cell r="G339">
            <v>2.2</v>
          </cell>
          <cell r="H339">
            <v>3.54</v>
          </cell>
          <cell r="I339">
            <v>12</v>
          </cell>
          <cell r="J339">
            <v>7</v>
          </cell>
          <cell r="K339">
            <v>0.26</v>
          </cell>
          <cell r="L339">
            <v>0</v>
          </cell>
          <cell r="M339">
            <v>243</v>
          </cell>
          <cell r="N339">
            <v>0.21</v>
          </cell>
          <cell r="O339">
            <v>2.515</v>
          </cell>
          <cell r="P339">
            <v>0</v>
          </cell>
          <cell r="Q339">
            <v>53</v>
          </cell>
        </row>
        <row r="340">
          <cell r="A340">
            <v>1073</v>
          </cell>
          <cell r="B340" t="str">
            <v>Meat, goose and guinea fowl</v>
          </cell>
          <cell r="C340">
            <v>1808</v>
          </cell>
          <cell r="D340">
            <v>116.39</v>
          </cell>
          <cell r="E340">
            <v>20.4</v>
          </cell>
          <cell r="F340">
            <v>0</v>
          </cell>
          <cell r="G340">
            <v>0</v>
          </cell>
          <cell r="H340">
            <v>3.3</v>
          </cell>
          <cell r="I340">
            <v>16</v>
          </cell>
          <cell r="J340">
            <v>0</v>
          </cell>
          <cell r="K340">
            <v>0.21</v>
          </cell>
          <cell r="L340">
            <v>0</v>
          </cell>
          <cell r="M340">
            <v>326</v>
          </cell>
          <cell r="N340">
            <v>0.4</v>
          </cell>
          <cell r="O340">
            <v>3.255</v>
          </cell>
          <cell r="P340">
            <v>1.4</v>
          </cell>
          <cell r="Q340">
            <v>0</v>
          </cell>
        </row>
        <row r="341">
          <cell r="A341">
            <v>1074</v>
          </cell>
          <cell r="B341" t="str">
            <v>Offals, liver geese</v>
          </cell>
          <cell r="C341">
            <v>2736</v>
          </cell>
          <cell r="D341">
            <v>131</v>
          </cell>
          <cell r="E341">
            <v>15.785</v>
          </cell>
          <cell r="F341">
            <v>0</v>
          </cell>
          <cell r="G341">
            <v>3.315</v>
          </cell>
          <cell r="H341">
            <v>19.165</v>
          </cell>
          <cell r="I341">
            <v>22.5</v>
          </cell>
          <cell r="J341">
            <v>738</v>
          </cell>
          <cell r="K341">
            <v>0.571</v>
          </cell>
          <cell r="L341">
            <v>0</v>
          </cell>
          <cell r="M341">
            <v>230</v>
          </cell>
          <cell r="N341">
            <v>0</v>
          </cell>
          <cell r="O341">
            <v>27</v>
          </cell>
          <cell r="P341">
            <v>0</v>
          </cell>
          <cell r="Q341">
            <v>7704.5</v>
          </cell>
        </row>
        <row r="342">
          <cell r="A342">
            <v>1075</v>
          </cell>
          <cell r="B342" t="str">
            <v>Offals, liver duck</v>
          </cell>
          <cell r="C342">
            <v>2736</v>
          </cell>
          <cell r="D342">
            <v>128</v>
          </cell>
          <cell r="E342">
            <v>16.4</v>
          </cell>
          <cell r="F342">
            <v>0</v>
          </cell>
          <cell r="G342">
            <v>3.075</v>
          </cell>
          <cell r="H342">
            <v>23.1</v>
          </cell>
          <cell r="I342">
            <v>18</v>
          </cell>
          <cell r="J342">
            <v>738</v>
          </cell>
          <cell r="K342">
            <v>1.05</v>
          </cell>
          <cell r="L342">
            <v>0</v>
          </cell>
          <cell r="M342">
            <v>230</v>
          </cell>
          <cell r="N342">
            <v>0</v>
          </cell>
          <cell r="O342">
            <v>27</v>
          </cell>
          <cell r="P342">
            <v>0</v>
          </cell>
          <cell r="Q342">
            <v>1040</v>
          </cell>
        </row>
        <row r="343">
          <cell r="A343">
            <v>1080</v>
          </cell>
          <cell r="B343" t="str">
            <v>Meat, turkey</v>
          </cell>
          <cell r="C343">
            <v>1808</v>
          </cell>
          <cell r="D343">
            <v>172.58</v>
          </cell>
          <cell r="E343">
            <v>18.045</v>
          </cell>
          <cell r="F343">
            <v>0</v>
          </cell>
          <cell r="G343">
            <v>1.33</v>
          </cell>
          <cell r="H343">
            <v>1.4</v>
          </cell>
          <cell r="I343">
            <v>11</v>
          </cell>
          <cell r="J343">
            <v>7</v>
          </cell>
          <cell r="K343">
            <v>0.155</v>
          </cell>
          <cell r="L343">
            <v>58</v>
          </cell>
          <cell r="M343">
            <v>233.5</v>
          </cell>
          <cell r="N343">
            <v>0.158251487388476</v>
          </cell>
          <cell r="O343">
            <v>0.520695613366424</v>
          </cell>
          <cell r="P343">
            <v>0.967503828501812</v>
          </cell>
          <cell r="Q343">
            <v>18</v>
          </cell>
        </row>
        <row r="344">
          <cell r="A344">
            <v>1091</v>
          </cell>
          <cell r="B344" t="str">
            <v>Eggs, other bird, in shell</v>
          </cell>
          <cell r="C344">
            <v>1783</v>
          </cell>
          <cell r="D344">
            <v>179.5</v>
          </cell>
          <cell r="E344">
            <v>12.81</v>
          </cell>
          <cell r="F344">
            <v>0</v>
          </cell>
          <cell r="G344">
            <v>1.42</v>
          </cell>
          <cell r="H344">
            <v>3.64</v>
          </cell>
          <cell r="I344">
            <v>64</v>
          </cell>
          <cell r="J344">
            <v>76</v>
          </cell>
          <cell r="K344">
            <v>0.391</v>
          </cell>
          <cell r="L344">
            <v>263.4</v>
          </cell>
          <cell r="M344">
            <v>176</v>
          </cell>
          <cell r="N344">
            <v>0</v>
          </cell>
          <cell r="O344">
            <v>0.845</v>
          </cell>
          <cell r="P344">
            <v>0</v>
          </cell>
          <cell r="Q344">
            <v>187</v>
          </cell>
        </row>
        <row r="345">
          <cell r="A345">
            <v>1780</v>
          </cell>
          <cell r="B345" t="str">
            <v>Milk,Total</v>
          </cell>
          <cell r="C345">
            <v>1780</v>
          </cell>
          <cell r="D345">
            <v>57.1</v>
          </cell>
          <cell r="E345">
            <v>3.25</v>
          </cell>
          <cell r="F345">
            <v>0</v>
          </cell>
          <cell r="G345">
            <v>0.38</v>
          </cell>
          <cell r="H345">
            <v>0.15740988</v>
          </cell>
          <cell r="I345">
            <v>116.5</v>
          </cell>
          <cell r="J345">
            <v>6.5</v>
          </cell>
          <cell r="K345">
            <v>0.0548197595</v>
          </cell>
          <cell r="L345">
            <v>7.997106487</v>
          </cell>
          <cell r="M345">
            <v>130</v>
          </cell>
          <cell r="N345">
            <v>0.07</v>
          </cell>
          <cell r="O345">
            <v>0.525</v>
          </cell>
          <cell r="P345">
            <v>0.3</v>
          </cell>
          <cell r="Q345">
            <v>32.17623498</v>
          </cell>
        </row>
        <row r="346">
          <cell r="A346">
            <v>1783</v>
          </cell>
          <cell r="B346" t="str">
            <v>Eggs Primary</v>
          </cell>
          <cell r="C346">
            <v>1783</v>
          </cell>
          <cell r="D346">
            <v>149</v>
          </cell>
          <cell r="E346">
            <v>12.6</v>
          </cell>
          <cell r="F346">
            <v>0</v>
          </cell>
          <cell r="G346">
            <v>1.29</v>
          </cell>
          <cell r="H346">
            <v>2</v>
          </cell>
          <cell r="I346">
            <v>56</v>
          </cell>
          <cell r="J346">
            <v>47</v>
          </cell>
          <cell r="K346">
            <v>0.3</v>
          </cell>
          <cell r="L346">
            <v>293.8</v>
          </cell>
          <cell r="M346">
            <v>130</v>
          </cell>
          <cell r="N346">
            <v>2.04</v>
          </cell>
          <cell r="O346">
            <v>1.9</v>
          </cell>
          <cell r="P346">
            <v>0.7</v>
          </cell>
          <cell r="Q346">
            <v>197</v>
          </cell>
        </row>
        <row r="347">
          <cell r="A347">
            <v>1806</v>
          </cell>
          <cell r="B347" t="str">
            <v>Beef and Buffalo Meat</v>
          </cell>
          <cell r="C347">
            <v>1806</v>
          </cell>
          <cell r="D347">
            <v>130.85</v>
          </cell>
          <cell r="E347">
            <v>20</v>
          </cell>
          <cell r="F347">
            <v>0</v>
          </cell>
          <cell r="G347">
            <v>4.295</v>
          </cell>
          <cell r="H347">
            <v>2.45</v>
          </cell>
          <cell r="I347">
            <v>8</v>
          </cell>
          <cell r="J347">
            <v>7</v>
          </cell>
          <cell r="K347">
            <v>0.18</v>
          </cell>
          <cell r="L347">
            <v>0</v>
          </cell>
          <cell r="M347">
            <v>325</v>
          </cell>
          <cell r="N347">
            <v>0.268147031084254</v>
          </cell>
          <cell r="O347">
            <v>1.5969321383876</v>
          </cell>
          <cell r="P347">
            <v>1.06374802268471</v>
          </cell>
          <cell r="Q347">
            <v>0</v>
          </cell>
        </row>
        <row r="348">
          <cell r="A348">
            <v>1807</v>
          </cell>
          <cell r="B348" t="str">
            <v>Sheep and Goat Meat</v>
          </cell>
          <cell r="C348">
            <v>1807</v>
          </cell>
          <cell r="D348">
            <v>179.5</v>
          </cell>
          <cell r="E348">
            <v>18.8</v>
          </cell>
          <cell r="F348">
            <v>0</v>
          </cell>
          <cell r="G348">
            <v>3.33</v>
          </cell>
          <cell r="H348">
            <v>2.2</v>
          </cell>
          <cell r="I348">
            <v>11</v>
          </cell>
          <cell r="J348">
            <v>5</v>
          </cell>
          <cell r="K348">
            <v>0.2</v>
          </cell>
          <cell r="L348">
            <v>0</v>
          </cell>
          <cell r="M348">
            <v>300</v>
          </cell>
          <cell r="N348">
            <v>0.120021922207713</v>
          </cell>
          <cell r="O348">
            <v>2.14721610700734</v>
          </cell>
          <cell r="P348">
            <v>2.43385690345533</v>
          </cell>
          <cell r="Q348">
            <v>8</v>
          </cell>
        </row>
        <row r="349">
          <cell r="A349">
            <v>1808</v>
          </cell>
          <cell r="B349" t="str">
            <v>Meat, Poultry</v>
          </cell>
          <cell r="C349">
            <v>1808</v>
          </cell>
          <cell r="D349">
            <v>172.58</v>
          </cell>
          <cell r="E349">
            <v>18.045</v>
          </cell>
          <cell r="F349">
            <v>0</v>
          </cell>
          <cell r="G349">
            <v>1.33</v>
          </cell>
          <cell r="H349">
            <v>1.4</v>
          </cell>
          <cell r="I349">
            <v>11</v>
          </cell>
          <cell r="J349">
            <v>7</v>
          </cell>
          <cell r="K349">
            <v>0.155</v>
          </cell>
          <cell r="L349">
            <v>58</v>
          </cell>
          <cell r="M349">
            <v>233.5</v>
          </cell>
          <cell r="N349">
            <v>0.158251487388476</v>
          </cell>
          <cell r="O349">
            <v>0.520695613366424</v>
          </cell>
          <cell r="P349">
            <v>0.967503828501812</v>
          </cell>
          <cell r="Q349">
            <v>18</v>
          </cell>
        </row>
        <row r="350">
          <cell r="A350">
            <v>2736</v>
          </cell>
          <cell r="B350" t="str">
            <v>Offals, edible</v>
          </cell>
          <cell r="C350">
            <v>2736</v>
          </cell>
          <cell r="D350">
            <v>131</v>
          </cell>
          <cell r="E350">
            <v>16.81</v>
          </cell>
          <cell r="F350">
            <v>0</v>
          </cell>
          <cell r="G350">
            <v>2.085</v>
          </cell>
          <cell r="H350">
            <v>3.7</v>
          </cell>
          <cell r="I350">
            <v>10</v>
          </cell>
          <cell r="J350">
            <v>4</v>
          </cell>
          <cell r="K350">
            <v>0.405</v>
          </cell>
          <cell r="L350">
            <v>194.8</v>
          </cell>
          <cell r="M350">
            <v>268.5</v>
          </cell>
          <cell r="N350">
            <v>0</v>
          </cell>
          <cell r="O350">
            <v>6.105</v>
          </cell>
          <cell r="P350">
            <v>0</v>
          </cell>
          <cell r="Q350">
            <v>0</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525"/>
  <sheetViews>
    <sheetView showFormulas="false" showGridLines="true" showRowColHeaders="true" showZeros="true" rightToLeft="false" tabSelected="true" showOutlineSymbols="true" defaultGridColor="true" view="normal" topLeftCell="A396" colorId="64" zoomScale="100" zoomScaleNormal="100" zoomScalePageLayoutView="100" workbookViewId="0">
      <selection pane="topLeft" activeCell="I428" activeCellId="0" sqref="I428"/>
    </sheetView>
  </sheetViews>
  <sheetFormatPr defaultColWidth="8.88671875" defaultRowHeight="14.25" customHeight="true" zeroHeight="false" outlineLevelRow="0" outlineLevelCol="0"/>
  <cols>
    <col collapsed="false" customWidth="true" hidden="false" outlineLevel="0" max="2" min="2" style="0" width="39"/>
    <col collapsed="false" customWidth="true" hidden="false" outlineLevel="0" max="9" min="9" style="0" width="23.38"/>
  </cols>
  <sheetData>
    <row r="1" customFormat="false" ht="14.25" hidden="false" customHeight="false" outlineLevel="0" collapsed="false">
      <c r="A1" s="0" t="s">
        <v>0</v>
      </c>
      <c r="B1" s="0" t="s">
        <v>0</v>
      </c>
      <c r="C1" s="0" t="s">
        <v>0</v>
      </c>
      <c r="D1" s="0" t="s">
        <v>0</v>
      </c>
      <c r="E1" s="0" t="s">
        <v>0</v>
      </c>
      <c r="F1" s="0" t="s">
        <v>0</v>
      </c>
      <c r="G1" s="0" t="s">
        <v>0</v>
      </c>
      <c r="H1" s="0" t="s">
        <v>0</v>
      </c>
      <c r="I1" s="1" t="s">
        <v>1</v>
      </c>
      <c r="J1" s="2" t="s">
        <v>2</v>
      </c>
      <c r="K1" s="0" t="s">
        <v>1</v>
      </c>
      <c r="L1" s="2" t="s">
        <v>1</v>
      </c>
      <c r="M1" s="3" t="s">
        <v>3</v>
      </c>
      <c r="N1" s="3" t="s">
        <v>3</v>
      </c>
      <c r="O1" s="3" t="s">
        <v>3</v>
      </c>
      <c r="P1" s="3" t="s">
        <v>4</v>
      </c>
      <c r="Q1" s="3" t="s">
        <v>3</v>
      </c>
      <c r="R1" s="3" t="s">
        <v>3</v>
      </c>
      <c r="S1" s="3" t="s">
        <v>3</v>
      </c>
      <c r="T1" s="3" t="s">
        <v>3</v>
      </c>
      <c r="U1" s="3" t="s">
        <v>4</v>
      </c>
      <c r="V1" s="3" t="s">
        <v>5</v>
      </c>
      <c r="W1" s="3" t="s">
        <v>3</v>
      </c>
      <c r="X1" s="3" t="s">
        <v>3</v>
      </c>
      <c r="Y1" s="3" t="s">
        <v>3</v>
      </c>
      <c r="Z1" s="3" t="s">
        <v>3</v>
      </c>
      <c r="AA1" s="3" t="s">
        <v>4</v>
      </c>
      <c r="AB1" s="3" t="s">
        <v>3</v>
      </c>
      <c r="AC1" s="3" t="s">
        <v>3</v>
      </c>
      <c r="AD1" s="3" t="s">
        <v>3</v>
      </c>
      <c r="AE1" s="3" t="s">
        <v>3</v>
      </c>
      <c r="AF1" s="3" t="s">
        <v>4</v>
      </c>
      <c r="AG1" s="2" t="s">
        <v>1</v>
      </c>
    </row>
    <row r="2" customFormat="false" ht="14.25" hidden="false" customHeight="false" outlineLevel="0" collapsed="false">
      <c r="A2" s="0" t="s">
        <v>6</v>
      </c>
      <c r="B2" s="0" t="s">
        <v>7</v>
      </c>
      <c r="C2" s="0" t="s">
        <v>8</v>
      </c>
      <c r="D2" s="0" t="s">
        <v>9</v>
      </c>
      <c r="E2" s="0" t="s">
        <v>10</v>
      </c>
      <c r="F2" s="0" t="s">
        <v>11</v>
      </c>
      <c r="G2" s="0" t="s">
        <v>12</v>
      </c>
      <c r="I2" s="1" t="s">
        <v>13</v>
      </c>
      <c r="J2" s="2" t="s">
        <v>14</v>
      </c>
      <c r="K2" s="0" t="s">
        <v>15</v>
      </c>
      <c r="L2" s="2" t="s">
        <v>16</v>
      </c>
      <c r="M2" s="3" t="s">
        <v>17</v>
      </c>
      <c r="N2" s="3" t="s">
        <v>18</v>
      </c>
      <c r="O2" s="3" t="s">
        <v>19</v>
      </c>
      <c r="P2" s="3" t="s">
        <v>20</v>
      </c>
      <c r="Q2" s="3" t="s">
        <v>21</v>
      </c>
      <c r="R2" s="3" t="s">
        <v>22</v>
      </c>
      <c r="S2" s="3" t="s">
        <v>23</v>
      </c>
      <c r="T2" s="3" t="s">
        <v>24</v>
      </c>
      <c r="U2" s="3" t="s">
        <v>25</v>
      </c>
      <c r="V2" s="3" t="s">
        <v>26</v>
      </c>
      <c r="W2" s="3" t="s">
        <v>27</v>
      </c>
      <c r="X2" s="0" t="s">
        <v>28</v>
      </c>
      <c r="Y2" s="0" t="s">
        <v>29</v>
      </c>
      <c r="Z2" s="0" t="s">
        <v>30</v>
      </c>
      <c r="AA2" s="0" t="s">
        <v>31</v>
      </c>
      <c r="AB2" s="0" t="s">
        <v>32</v>
      </c>
      <c r="AC2" s="0" t="s">
        <v>33</v>
      </c>
      <c r="AD2" s="0" t="s">
        <v>34</v>
      </c>
      <c r="AE2" s="0" t="s">
        <v>35</v>
      </c>
      <c r="AF2" s="3" t="s">
        <v>36</v>
      </c>
      <c r="AG2" s="3" t="s">
        <v>37</v>
      </c>
    </row>
    <row r="3" customFormat="false" ht="14.25" hidden="false" customHeight="false" outlineLevel="0" collapsed="false">
      <c r="A3" s="0" t="n">
        <v>15</v>
      </c>
      <c r="B3" s="0" t="s">
        <v>38</v>
      </c>
      <c r="C3" s="0" t="s">
        <v>39</v>
      </c>
      <c r="E3" s="0" t="s">
        <v>40</v>
      </c>
      <c r="F3" s="0" t="s">
        <v>41</v>
      </c>
      <c r="G3" s="0" t="n">
        <v>111</v>
      </c>
      <c r="I3" s="0" t="n">
        <f aca="false">VLOOKUP($A3,content_factors_backup!$A$2:$Q$468,I$525,FALSE())</f>
        <v>86</v>
      </c>
      <c r="J3" s="0" t="n">
        <f aca="false">VLOOKUP($A3,content_factors_backup!$A$2:$Q$468,J$525,FALSE())</f>
        <v>341</v>
      </c>
      <c r="K3" s="0" t="n">
        <f aca="false">VLOOKUP($A3,content_factors_backup!$A$2:$Q$468,K$525,FALSE())</f>
        <v>11.95</v>
      </c>
      <c r="L3" s="0" t="n">
        <f aca="false">VLOOKUP($A3,content_factors_backup!$A$2:$Q$468,L$525,FALSE())</f>
        <v>2</v>
      </c>
      <c r="M3" s="0" t="n">
        <f aca="false">VLOOKUP($A3,content_factors_backup!$A$2:$Q$468,M$525,FALSE())</f>
        <v>2.465</v>
      </c>
      <c r="N3" s="0" t="n">
        <f aca="false">VLOOKUP($A3,content_factors_backup!$A$2:$Q$468,N$525,FALSE())</f>
        <v>4</v>
      </c>
      <c r="O3" s="0" t="n">
        <f aca="false">VLOOKUP($A3,content_factors_backup!$A$2:$Q$468,O$525,FALSE())</f>
        <v>38.5</v>
      </c>
      <c r="P3" s="0" t="n">
        <f aca="false">VLOOKUP($A3,content_factors_backup!$A$2:$Q$468,P$525,FALSE())</f>
        <v>40.5</v>
      </c>
      <c r="Q3" s="0" t="n">
        <f aca="false">VLOOKUP($A3,content_factors_backup!$A$2:$Q$468,Q$525,FALSE())</f>
        <v>0.16</v>
      </c>
      <c r="R3" s="0" t="n">
        <f aca="false">VLOOKUP($A3,content_factors_backup!$A$2:$Q$468,R$525,FALSE())</f>
        <v>31.2</v>
      </c>
      <c r="S3" s="0" t="n">
        <f aca="false">VLOOKUP($A3,content_factors_backup!$A$2:$Q$468,S$525,FALSE())</f>
        <v>349</v>
      </c>
      <c r="T3" s="0" t="n">
        <f aca="false">VLOOKUP($A3,content_factors_backup!$A$2:$Q$468,T$525,FALSE())</f>
        <v>0.904227240565099</v>
      </c>
      <c r="U3" s="0" t="n">
        <f aca="false">VLOOKUP($A3,content_factors_backup!$A$2:$Q$468,U$525,FALSE())</f>
        <v>0.000105622147075484</v>
      </c>
      <c r="V3" s="0" t="n">
        <f aca="false">VLOOKUP($A3,content_factors_backup!$A$2:$Q$468,V$525,FALSE())</f>
        <v>2.98541766221414</v>
      </c>
      <c r="W3" s="0" t="n">
        <f aca="false">VLOOKUP($A3,content_factors_backup!$A$2:$Q$468,W$525,FALSE())</f>
        <v>0</v>
      </c>
    </row>
    <row r="4" customFormat="false" ht="14.25" hidden="false" customHeight="false" outlineLevel="0" collapsed="false">
      <c r="A4" s="0" t="n">
        <v>16</v>
      </c>
      <c r="B4" s="0" t="s">
        <v>42</v>
      </c>
      <c r="C4" s="0" t="s">
        <v>43</v>
      </c>
      <c r="E4" s="0" t="s">
        <v>44</v>
      </c>
      <c r="F4" s="0" t="s">
        <v>44</v>
      </c>
      <c r="G4" s="0" t="n">
        <v>23110</v>
      </c>
      <c r="I4" s="0" t="n">
        <f aca="false">VLOOKUP($A4,content_factors_backup!$A$2:$Q$468,I$525,FALSE())</f>
        <v>88</v>
      </c>
      <c r="J4" s="0" t="n">
        <f aca="false">VLOOKUP($A4,content_factors_backup!$A$2:$Q$468,J$525,FALSE())</f>
        <v>348</v>
      </c>
      <c r="K4" s="0" t="n">
        <f aca="false">VLOOKUP($A4,content_factors_backup!$A$2:$Q$468,K$525,FALSE())</f>
        <v>11.4</v>
      </c>
      <c r="L4" s="0" t="n">
        <f aca="false">VLOOKUP($A4,content_factors_backup!$A$2:$Q$468,L$525,FALSE())</f>
        <v>0.4</v>
      </c>
      <c r="M4" s="0" t="n">
        <f aca="false">VLOOKUP($A4,content_factors_backup!$A$2:$Q$468,M$525,FALSE())</f>
        <v>1.1</v>
      </c>
      <c r="N4" s="0" t="n">
        <f aca="false">VLOOKUP($A4,content_factors_backup!$A$2:$Q$468,N$525,FALSE())</f>
        <v>2.2</v>
      </c>
      <c r="O4" s="0" t="n">
        <f aca="false">VLOOKUP($A4,content_factors_backup!$A$2:$Q$468,O$525,FALSE())</f>
        <v>29.5</v>
      </c>
      <c r="P4" s="0" t="n">
        <f aca="false">VLOOKUP($A4,content_factors_backup!$A$2:$Q$468,P$525,FALSE())</f>
        <v>25</v>
      </c>
      <c r="Q4" s="0" t="n">
        <f aca="false">VLOOKUP($A4,content_factors_backup!$A$2:$Q$468,Q$525,FALSE())</f>
        <v>0.103333333</v>
      </c>
      <c r="R4" s="0" t="n">
        <f aca="false">VLOOKUP($A4,content_factors_backup!$A$2:$Q$468,R$525,FALSE())</f>
        <v>10.4</v>
      </c>
      <c r="S4" s="0" t="n">
        <f aca="false">VLOOKUP($A4,content_factors_backup!$A$2:$Q$468,S$525,FALSE())</f>
        <v>132.5</v>
      </c>
      <c r="T4" s="0" t="n">
        <f aca="false">VLOOKUP($A4,content_factors_backup!$A$2:$Q$468,T$525,FALSE())</f>
        <v>0.71</v>
      </c>
      <c r="U4" s="0" t="n">
        <f aca="false">VLOOKUP($A4,content_factors_backup!$A$2:$Q$468,U$525,FALSE())</f>
        <v>0</v>
      </c>
      <c r="V4" s="0" t="n">
        <f aca="false">VLOOKUP($A4,content_factors_backup!$A$2:$Q$468,V$525,FALSE())</f>
        <v>1.9</v>
      </c>
      <c r="W4" s="0" t="n">
        <f aca="false">VLOOKUP($A4,content_factors_backup!$A$2:$Q$468,W$525,FALSE())</f>
        <v>0</v>
      </c>
    </row>
    <row r="5" customFormat="false" ht="14.25" hidden="false" customHeight="false" outlineLevel="0" collapsed="false">
      <c r="A5" s="0" t="n">
        <v>17</v>
      </c>
      <c r="B5" s="0" t="s">
        <v>45</v>
      </c>
      <c r="C5" s="0" t="s">
        <v>46</v>
      </c>
      <c r="E5" s="0" t="n">
        <v>230230</v>
      </c>
      <c r="F5" s="0" t="n">
        <v>230230</v>
      </c>
      <c r="G5" s="0" t="n">
        <v>39120.01</v>
      </c>
      <c r="I5" s="0" t="n">
        <f aca="false">VLOOKUP($A5,content_factors_backup!$A$2:$Q$468,I$525,FALSE())</f>
        <v>88.5</v>
      </c>
      <c r="J5" s="0" t="n">
        <f aca="false">VLOOKUP($A5,content_factors_backup!$A$2:$Q$468,J$525,FALSE())</f>
        <v>216</v>
      </c>
      <c r="K5" s="0" t="n">
        <f aca="false">VLOOKUP($A5,content_factors_backup!$A$2:$Q$468,K$525,FALSE())</f>
        <v>15.55</v>
      </c>
      <c r="L5" s="0" t="n">
        <f aca="false">VLOOKUP($A5,content_factors_backup!$A$2:$Q$468,L$525,FALSE())</f>
        <v>42.8</v>
      </c>
      <c r="M5" s="0" t="n">
        <f aca="false">VLOOKUP($A5,content_factors_backup!$A$2:$Q$468,M$525,FALSE())</f>
        <v>7.27</v>
      </c>
      <c r="N5" s="0" t="n">
        <f aca="false">VLOOKUP($A5,content_factors_backup!$A$2:$Q$468,N$525,FALSE())</f>
        <v>10.57</v>
      </c>
      <c r="O5" s="0" t="n">
        <f aca="false">VLOOKUP($A5,content_factors_backup!$A$2:$Q$468,O$525,FALSE())</f>
        <v>73</v>
      </c>
      <c r="P5" s="0" t="n">
        <f aca="false">VLOOKUP($A5,content_factors_backup!$A$2:$Q$468,P$525,FALSE())</f>
        <v>79</v>
      </c>
      <c r="Q5" s="0" t="n">
        <f aca="false">VLOOKUP($A5,content_factors_backup!$A$2:$Q$468,Q$525,FALSE())</f>
        <v>0.577</v>
      </c>
      <c r="R5" s="0" t="n">
        <f aca="false">VLOOKUP($A5,content_factors_backup!$A$2:$Q$468,R$525,FALSE())</f>
        <v>74.4</v>
      </c>
      <c r="S5" s="0" t="n">
        <f aca="false">VLOOKUP($A5,content_factors_backup!$A$2:$Q$468,S$525,FALSE())</f>
        <v>1182</v>
      </c>
      <c r="T5" s="0" t="n">
        <f aca="false">VLOOKUP($A5,content_factors_backup!$A$2:$Q$468,T$525,FALSE())</f>
        <v>1.49</v>
      </c>
      <c r="U5" s="0" t="n">
        <f aca="false">VLOOKUP($A5,content_factors_backup!$A$2:$Q$468,U$525,FALSE())</f>
        <v>0</v>
      </c>
      <c r="V5" s="0" t="n">
        <f aca="false">VLOOKUP($A5,content_factors_backup!$A$2:$Q$468,V$525,FALSE())</f>
        <v>1.9</v>
      </c>
      <c r="W5" s="0" t="n">
        <f aca="false">VLOOKUP($A5,content_factors_backup!$A$2:$Q$468,W$525,FALSE())</f>
        <v>0</v>
      </c>
    </row>
    <row r="6" customFormat="false" ht="14.25" hidden="false" customHeight="false" outlineLevel="0" collapsed="false">
      <c r="A6" s="0" t="n">
        <v>18</v>
      </c>
      <c r="B6" s="0" t="s">
        <v>47</v>
      </c>
      <c r="C6" s="0" t="s">
        <v>48</v>
      </c>
      <c r="E6" s="0" t="s">
        <v>49</v>
      </c>
      <c r="F6" s="0" t="s">
        <v>49</v>
      </c>
      <c r="G6" s="0" t="n">
        <v>23710</v>
      </c>
      <c r="I6" s="0" t="n">
        <f aca="false">VLOOKUP($A6,content_factors_backup!$A$2:$Q$468,I$525,FALSE())</f>
        <v>89.6</v>
      </c>
      <c r="J6" s="0" t="n">
        <f aca="false">VLOOKUP($A6,content_factors_backup!$A$2:$Q$468,J$525,FALSE())</f>
        <v>124</v>
      </c>
      <c r="K6" s="0" t="n">
        <f aca="false">VLOOKUP($A6,content_factors_backup!$A$2:$Q$468,K$525,FALSE())</f>
        <v>5.33</v>
      </c>
      <c r="L6" s="0" t="n">
        <f aca="false">VLOOKUP($A6,content_factors_backup!$A$2:$Q$468,L$525,FALSE())</f>
        <v>2.8</v>
      </c>
      <c r="M6" s="0" t="n">
        <f aca="false">VLOOKUP($A6,content_factors_backup!$A$2:$Q$468,M$525,FALSE())</f>
        <v>0.81</v>
      </c>
      <c r="N6" s="0" t="n">
        <f aca="false">VLOOKUP($A6,content_factors_backup!$A$2:$Q$468,N$525,FALSE())</f>
        <v>1.06</v>
      </c>
      <c r="O6" s="0" t="n">
        <f aca="false">VLOOKUP($A6,content_factors_backup!$A$2:$Q$468,O$525,FALSE())</f>
        <v>15</v>
      </c>
      <c r="P6" s="0" t="n">
        <f aca="false">VLOOKUP($A6,content_factors_backup!$A$2:$Q$468,P$525,FALSE())</f>
        <v>5</v>
      </c>
      <c r="Q6" s="0" t="n">
        <f aca="false">VLOOKUP($A6,content_factors_backup!$A$2:$Q$468,Q$525,FALSE())</f>
        <v>0.045</v>
      </c>
      <c r="R6" s="0" t="n">
        <f aca="false">VLOOKUP($A6,content_factors_backup!$A$2:$Q$468,R$525,FALSE())</f>
        <v>10.7</v>
      </c>
      <c r="S6" s="0" t="n">
        <f aca="false">VLOOKUP($A6,content_factors_backup!$A$2:$Q$468,S$525,FALSE())</f>
        <v>44</v>
      </c>
      <c r="T6" s="0" t="n">
        <f aca="false">VLOOKUP($A6,content_factors_backup!$A$2:$Q$468,T$525,FALSE())</f>
        <v>0.3</v>
      </c>
      <c r="U6" s="0" t="n">
        <f aca="false">VLOOKUP($A6,content_factors_backup!$A$2:$Q$468,U$525,FALSE())</f>
        <v>0</v>
      </c>
      <c r="V6" s="0" t="n">
        <f aca="false">VLOOKUP($A6,content_factors_backup!$A$2:$Q$468,V$525,FALSE())</f>
        <v>0.7</v>
      </c>
      <c r="W6" s="0" t="n">
        <f aca="false">VLOOKUP($A6,content_factors_backup!$A$2:$Q$468,W$525,FALSE())</f>
        <v>0</v>
      </c>
    </row>
    <row r="7" customFormat="false" ht="14.25" hidden="false" customHeight="false" outlineLevel="0" collapsed="false">
      <c r="A7" s="0" t="n">
        <v>20</v>
      </c>
      <c r="B7" s="0" t="s">
        <v>50</v>
      </c>
      <c r="C7" s="0" t="s">
        <v>51</v>
      </c>
      <c r="E7" s="0" t="s">
        <v>52</v>
      </c>
      <c r="F7" s="0" t="s">
        <v>52</v>
      </c>
      <c r="G7" s="0" t="s">
        <v>53</v>
      </c>
      <c r="I7" s="0" t="n">
        <f aca="false">VLOOKUP($A7,content_factors_backup!$A$2:$Q$468,I$525,FALSE())</f>
        <v>65</v>
      </c>
      <c r="J7" s="0" t="n">
        <f aca="false">VLOOKUP($A7,content_factors_backup!$A$2:$Q$468,J$525,FALSE())</f>
        <v>313</v>
      </c>
      <c r="K7" s="0" t="n">
        <f aca="false">VLOOKUP($A7,content_factors_backup!$A$2:$Q$468,K$525,FALSE())</f>
        <v>12.96</v>
      </c>
      <c r="L7" s="0" t="n">
        <f aca="false">VLOOKUP($A7,content_factors_backup!$A$2:$Q$468,L$525,FALSE())</f>
        <v>4.7</v>
      </c>
      <c r="M7" s="0" t="n">
        <f aca="false">VLOOKUP($A7,content_factors_backup!$A$2:$Q$468,M$525,FALSE())</f>
        <v>1.47</v>
      </c>
      <c r="N7" s="0" t="n">
        <f aca="false">VLOOKUP($A7,content_factors_backup!$A$2:$Q$468,N$525,FALSE())</f>
        <v>4.09</v>
      </c>
      <c r="O7" s="0" t="n">
        <f aca="false">VLOOKUP($A7,content_factors_backup!$A$2:$Q$468,O$525,FALSE())</f>
        <v>165</v>
      </c>
      <c r="P7" s="0" t="n">
        <f aca="false">VLOOKUP($A7,content_factors_backup!$A$2:$Q$468,P$525,FALSE())</f>
        <v>86</v>
      </c>
      <c r="Q7" s="0" t="n">
        <f aca="false">VLOOKUP($A7,content_factors_backup!$A$2:$Q$468,Q$525,FALSE())</f>
        <v>0.382</v>
      </c>
      <c r="R7" s="0" t="n">
        <f aca="false">VLOOKUP($A7,content_factors_backup!$A$2:$Q$468,R$525,FALSE())</f>
        <v>22.1</v>
      </c>
      <c r="S7" s="0" t="n">
        <f aca="false">VLOOKUP($A7,content_factors_backup!$A$2:$Q$468,S$525,FALSE())</f>
        <v>223</v>
      </c>
      <c r="T7" s="0" t="n">
        <f aca="false">VLOOKUP($A7,content_factors_backup!$A$2:$Q$468,T$525,FALSE())</f>
        <v>0.24</v>
      </c>
      <c r="U7" s="0" t="n">
        <f aca="false">VLOOKUP($A7,content_factors_backup!$A$2:$Q$468,U$525,FALSE())</f>
        <v>0</v>
      </c>
      <c r="V7" s="0" t="n">
        <f aca="false">VLOOKUP($A7,content_factors_backup!$A$2:$Q$468,V$525,FALSE())</f>
        <v>5.7</v>
      </c>
      <c r="W7" s="0" t="n">
        <f aca="false">VLOOKUP($A7,content_factors_backup!$A$2:$Q$468,W$525,FALSE())</f>
        <v>0</v>
      </c>
    </row>
    <row r="8" customFormat="false" ht="14.25" hidden="false" customHeight="false" outlineLevel="0" collapsed="false">
      <c r="A8" s="0" t="n">
        <v>21</v>
      </c>
      <c r="B8" s="0" t="s">
        <v>54</v>
      </c>
      <c r="C8" s="0" t="s">
        <v>55</v>
      </c>
      <c r="E8" s="0" t="n">
        <v>190430</v>
      </c>
      <c r="F8" s="0" t="n">
        <v>190430</v>
      </c>
      <c r="G8" s="0" t="n">
        <v>23140.02</v>
      </c>
      <c r="I8" s="0" t="n">
        <f aca="false">VLOOKUP($A8,content_factors_backup!$A$2:$Q$468,I$525,FALSE())</f>
        <v>90</v>
      </c>
      <c r="J8" s="0" t="n">
        <f aca="false">VLOOKUP($A8,content_factors_backup!$A$2:$Q$468,J$525,FALSE())</f>
        <v>83</v>
      </c>
      <c r="K8" s="0" t="n">
        <f aca="false">VLOOKUP($A8,content_factors_backup!$A$2:$Q$468,K$525,FALSE())</f>
        <v>3.08</v>
      </c>
      <c r="L8" s="0" t="n">
        <f aca="false">VLOOKUP($A8,content_factors_backup!$A$2:$Q$468,L$525,FALSE())</f>
        <v>4.5</v>
      </c>
      <c r="M8" s="0" t="n">
        <f aca="false">VLOOKUP($A8,content_factors_backup!$A$2:$Q$468,M$525,FALSE())</f>
        <v>0.57</v>
      </c>
      <c r="N8" s="0" t="n">
        <f aca="false">VLOOKUP($A8,content_factors_backup!$A$2:$Q$468,N$525,FALSE())</f>
        <v>0.96</v>
      </c>
      <c r="O8" s="0" t="n">
        <f aca="false">VLOOKUP($A8,content_factors_backup!$A$2:$Q$468,O$525,FALSE())</f>
        <v>10</v>
      </c>
      <c r="P8" s="0" t="n">
        <f aca="false">VLOOKUP($A8,content_factors_backup!$A$2:$Q$468,P$525,FALSE())</f>
        <v>18</v>
      </c>
      <c r="Q8" s="0" t="n">
        <f aca="false">VLOOKUP($A8,content_factors_backup!$A$2:$Q$468,Q$525,FALSE())</f>
        <v>0.028</v>
      </c>
      <c r="R8" s="0" t="n">
        <f aca="false">VLOOKUP($A8,content_factors_backup!$A$2:$Q$468,R$525,FALSE())</f>
        <v>6.9</v>
      </c>
      <c r="S8" s="0" t="n">
        <f aca="false">VLOOKUP($A8,content_factors_backup!$A$2:$Q$468,S$525,FALSE())</f>
        <v>68</v>
      </c>
      <c r="T8" s="0" t="n">
        <f aca="false">VLOOKUP($A8,content_factors_backup!$A$2:$Q$468,T$525,FALSE())</f>
        <v>0.01</v>
      </c>
      <c r="U8" s="0" t="n">
        <f aca="false">VLOOKUP($A8,content_factors_backup!$A$2:$Q$468,U$525,FALSE())</f>
        <v>0</v>
      </c>
      <c r="V8" s="0" t="n">
        <f aca="false">VLOOKUP($A8,content_factors_backup!$A$2:$Q$468,V$525,FALSE())</f>
        <v>0.5</v>
      </c>
      <c r="W8" s="0" t="n">
        <f aca="false">VLOOKUP($A8,content_factors_backup!$A$2:$Q$468,W$525,FALSE())</f>
        <v>0</v>
      </c>
    </row>
    <row r="9" customFormat="false" ht="14.25" hidden="false" customHeight="false" outlineLevel="0" collapsed="false">
      <c r="A9" s="0" t="n">
        <v>22</v>
      </c>
      <c r="B9" s="0" t="s">
        <v>56</v>
      </c>
      <c r="C9" s="0" t="s">
        <v>57</v>
      </c>
      <c r="E9" s="0" t="s">
        <v>58</v>
      </c>
      <c r="F9" s="0" t="s">
        <v>58</v>
      </c>
      <c r="G9" s="0" t="s">
        <v>59</v>
      </c>
      <c r="I9" s="0" t="n">
        <f aca="false">VLOOKUP($A9,content_factors_backup!$A$2:$Q$468,I$525,FALSE())</f>
        <v>65</v>
      </c>
      <c r="J9" s="0" t="n">
        <f aca="false">VLOOKUP($A9,content_factors_backup!$A$2:$Q$468,J$525,FALSE())</f>
        <v>558</v>
      </c>
      <c r="K9" s="0" t="n">
        <f aca="false">VLOOKUP($A9,content_factors_backup!$A$2:$Q$468,K$525,FALSE())</f>
        <v>7.4</v>
      </c>
      <c r="L9" s="0" t="n">
        <f aca="false">VLOOKUP($A9,content_factors_backup!$A$2:$Q$468,L$525,FALSE())</f>
        <v>1.5</v>
      </c>
      <c r="M9" s="0" t="n">
        <f aca="false">VLOOKUP($A9,content_factors_backup!$A$2:$Q$468,M$525,FALSE())</f>
        <v>0.54</v>
      </c>
      <c r="N9" s="0" t="n">
        <f aca="false">VLOOKUP($A9,content_factors_backup!$A$2:$Q$468,N$525,FALSE())</f>
        <v>2.6</v>
      </c>
      <c r="O9" s="0" t="n">
        <f aca="false">VLOOKUP($A9,content_factors_backup!$A$2:$Q$468,O$525,FALSE())</f>
        <v>10</v>
      </c>
      <c r="P9" s="0" t="n">
        <f aca="false">VLOOKUP($A9,content_factors_backup!$A$2:$Q$468,P$525,FALSE())</f>
        <v>55</v>
      </c>
      <c r="Q9" s="0" t="n">
        <f aca="false">VLOOKUP($A9,content_factors_backup!$A$2:$Q$468,Q$525,FALSE())</f>
        <v>0.258</v>
      </c>
      <c r="R9" s="0" t="n">
        <f aca="false">VLOOKUP($A9,content_factors_backup!$A$2:$Q$468,R$525,FALSE())</f>
        <v>6.2</v>
      </c>
      <c r="S9" s="0" t="n">
        <f aca="false">VLOOKUP($A9,content_factors_backup!$A$2:$Q$468,S$525,FALSE())</f>
        <v>62</v>
      </c>
      <c r="T9" s="0" t="n">
        <f aca="false">VLOOKUP($A9,content_factors_backup!$A$2:$Q$468,T$525,FALSE())</f>
        <v>0.55</v>
      </c>
      <c r="U9" s="0" t="n">
        <f aca="false">VLOOKUP($A9,content_factors_backup!$A$2:$Q$468,U$525,FALSE())</f>
        <v>0</v>
      </c>
      <c r="V9" s="0" t="n">
        <f aca="false">VLOOKUP($A9,content_factors_backup!$A$2:$Q$468,V$525,FALSE())</f>
        <v>16.3</v>
      </c>
      <c r="W9" s="0" t="n">
        <f aca="false">VLOOKUP($A9,content_factors_backup!$A$2:$Q$468,W$525,FALSE())</f>
        <v>0</v>
      </c>
    </row>
    <row r="10" customFormat="false" ht="14.25" hidden="false" customHeight="false" outlineLevel="0" collapsed="false">
      <c r="A10" s="0" t="n">
        <v>27</v>
      </c>
      <c r="B10" s="0" t="s">
        <v>60</v>
      </c>
      <c r="C10" s="0" t="s">
        <v>61</v>
      </c>
      <c r="E10" s="0" t="n">
        <v>100610</v>
      </c>
      <c r="F10" s="0" t="n">
        <v>100610</v>
      </c>
      <c r="G10" s="0" t="n">
        <v>113</v>
      </c>
      <c r="I10" s="0" t="n">
        <f aca="false">VLOOKUP($A10,content_factors_backup!$A$2:$Q$468,I$525,FALSE())</f>
        <v>86</v>
      </c>
      <c r="J10" s="0" t="n">
        <f aca="false">VLOOKUP($A10,content_factors_backup!$A$2:$Q$468,J$525,FALSE())</f>
        <v>353.4</v>
      </c>
      <c r="K10" s="0" t="n">
        <f aca="false">VLOOKUP($A10,content_factors_backup!$A$2:$Q$468,K$525,FALSE())</f>
        <v>7.3</v>
      </c>
      <c r="L10" s="0" t="n">
        <f aca="false">VLOOKUP($A10,content_factors_backup!$A$2:$Q$468,L$525,FALSE())</f>
        <v>0.7</v>
      </c>
      <c r="M10" s="0" t="n">
        <f aca="false">VLOOKUP($A10,content_factors_backup!$A$2:$Q$468,M$525,FALSE())</f>
        <v>1.4</v>
      </c>
      <c r="N10" s="0" t="n">
        <f aca="false">VLOOKUP($A10,content_factors_backup!$A$2:$Q$468,N$525,FALSE())</f>
        <v>1.6</v>
      </c>
      <c r="O10" s="0" t="n">
        <f aca="false">VLOOKUP($A10,content_factors_backup!$A$2:$Q$468,O$525,FALSE())</f>
        <v>12</v>
      </c>
      <c r="P10" s="0" t="n">
        <f aca="false">VLOOKUP($A10,content_factors_backup!$A$2:$Q$468,P$525,FALSE())</f>
        <v>20</v>
      </c>
      <c r="Q10" s="0" t="n">
        <f aca="false">VLOOKUP($A10,content_factors_backup!$A$2:$Q$468,Q$525,FALSE())</f>
        <v>0.05</v>
      </c>
      <c r="R10" s="0" t="n">
        <f aca="false">VLOOKUP($A10,content_factors_backup!$A$2:$Q$468,R$525,FALSE())</f>
        <v>0</v>
      </c>
      <c r="S10" s="0" t="n">
        <f aca="false">VLOOKUP($A10,content_factors_backup!$A$2:$Q$468,S$525,FALSE())</f>
        <v>91.6</v>
      </c>
      <c r="T10" s="0" t="n">
        <f aca="false">VLOOKUP($A10,content_factors_backup!$A$2:$Q$468,T$525,FALSE())</f>
        <v>0.04</v>
      </c>
      <c r="U10" s="0" t="n">
        <f aca="false">VLOOKUP($A10,content_factors_backup!$A$2:$Q$468,U$525,FALSE())</f>
        <v>0</v>
      </c>
      <c r="V10" s="0" t="n">
        <f aca="false">VLOOKUP($A10,content_factors_backup!$A$2:$Q$468,V$525,FALSE())</f>
        <v>0</v>
      </c>
      <c r="W10" s="0" t="n">
        <f aca="false">VLOOKUP($A10,content_factors_backup!$A$2:$Q$468,W$525,FALSE())</f>
        <v>0</v>
      </c>
    </row>
    <row r="11" customFormat="false" ht="14.25" hidden="false" customHeight="false" outlineLevel="0" collapsed="false">
      <c r="A11" s="0" t="n">
        <v>28</v>
      </c>
      <c r="B11" s="0" t="s">
        <v>62</v>
      </c>
      <c r="C11" s="0" t="s">
        <v>63</v>
      </c>
      <c r="E11" s="0" t="n">
        <v>100620</v>
      </c>
      <c r="F11" s="0" t="n">
        <v>100620</v>
      </c>
      <c r="G11" s="0" t="n">
        <v>23162</v>
      </c>
      <c r="I11" s="0" t="n">
        <f aca="false">VLOOKUP($A11,content_factors_backup!$A$2:$Q$468,I$525,FALSE())</f>
        <v>0</v>
      </c>
      <c r="J11" s="0" t="e">
        <f aca="false">VLOOKUP($A11,content_factors_backup!$A$2:$Q$468,J$525,FALSE())</f>
        <v>#N/A</v>
      </c>
      <c r="K11" s="0" t="e">
        <f aca="false">VLOOKUP($A11,content_factors_backup!$A$2:$Q$468,K$525,FALSE())</f>
        <v>#N/A</v>
      </c>
      <c r="L11" s="0" t="e">
        <f aca="false">VLOOKUP($A11,content_factors_backup!$A$2:$Q$468,L$525,FALSE())</f>
        <v>#N/A</v>
      </c>
      <c r="M11" s="0" t="e">
        <f aca="false">VLOOKUP($A11,content_factors_backup!$A$2:$Q$468,M$525,FALSE())</f>
        <v>#N/A</v>
      </c>
      <c r="N11" s="0" t="e">
        <f aca="false">VLOOKUP($A11,content_factors_backup!$A$2:$Q$468,N$525,FALSE())</f>
        <v>#N/A</v>
      </c>
      <c r="O11" s="0" t="e">
        <f aca="false">VLOOKUP($A11,content_factors_backup!$A$2:$Q$468,O$525,FALSE())</f>
        <v>#N/A</v>
      </c>
      <c r="P11" s="0" t="e">
        <f aca="false">VLOOKUP($A11,content_factors_backup!$A$2:$Q$468,P$525,FALSE())</f>
        <v>#N/A</v>
      </c>
      <c r="Q11" s="0" t="e">
        <f aca="false">VLOOKUP($A11,content_factors_backup!$A$2:$Q$468,Q$525,FALSE())</f>
        <v>#N/A</v>
      </c>
      <c r="R11" s="0" t="e">
        <f aca="false">VLOOKUP($A11,content_factors_backup!$A$2:$Q$468,R$525,FALSE())</f>
        <v>#N/A</v>
      </c>
      <c r="S11" s="0" t="e">
        <f aca="false">VLOOKUP($A11,content_factors_backup!$A$2:$Q$468,S$525,FALSE())</f>
        <v>#N/A</v>
      </c>
      <c r="T11" s="0" t="e">
        <f aca="false">VLOOKUP($A11,content_factors_backup!$A$2:$Q$468,T$525,FALSE())</f>
        <v>#N/A</v>
      </c>
      <c r="U11" s="0" t="e">
        <f aca="false">VLOOKUP($A11,content_factors_backup!$A$2:$Q$468,U$525,FALSE())</f>
        <v>#N/A</v>
      </c>
      <c r="V11" s="0" t="e">
        <f aca="false">VLOOKUP($A11,content_factors_backup!$A$2:$Q$468,V$525,FALSE())</f>
        <v>#N/A</v>
      </c>
      <c r="W11" s="0" t="e">
        <f aca="false">VLOOKUP($A11,content_factors_backup!$A$2:$Q$468,W$525,FALSE())</f>
        <v>#N/A</v>
      </c>
    </row>
    <row r="12" customFormat="false" ht="14.25" hidden="false" customHeight="false" outlineLevel="0" collapsed="false">
      <c r="A12" s="0" t="n">
        <v>30</v>
      </c>
      <c r="B12" s="0" t="s">
        <v>64</v>
      </c>
      <c r="I12" s="0" t="n">
        <f aca="false">VLOOKUP($A12,content_factors_backup!$A$2:$Q$468,I$525,FALSE())</f>
        <v>88</v>
      </c>
      <c r="J12" s="0" t="n">
        <f aca="false">VLOOKUP($A12,content_factors_backup!$A$2:$Q$468,J$525,FALSE())</f>
        <v>353.4</v>
      </c>
      <c r="K12" s="0" t="n">
        <f aca="false">VLOOKUP($A12,content_factors_backup!$A$2:$Q$468,K$525,FALSE())</f>
        <v>7.3</v>
      </c>
      <c r="L12" s="0" t="n">
        <f aca="false">VLOOKUP($A12,content_factors_backup!$A$2:$Q$468,L$525,FALSE())</f>
        <v>0.7</v>
      </c>
      <c r="M12" s="0" t="n">
        <f aca="false">VLOOKUP($A12,content_factors_backup!$A$2:$Q$468,M$525,FALSE())</f>
        <v>1.4</v>
      </c>
      <c r="N12" s="0" t="n">
        <f aca="false">VLOOKUP($A12,content_factors_backup!$A$2:$Q$468,N$525,FALSE())</f>
        <v>1.6</v>
      </c>
      <c r="O12" s="0" t="n">
        <f aca="false">VLOOKUP($A12,content_factors_backup!$A$2:$Q$468,O$525,FALSE())</f>
        <v>12</v>
      </c>
      <c r="P12" s="0" t="n">
        <f aca="false">VLOOKUP($A12,content_factors_backup!$A$2:$Q$468,P$525,FALSE())</f>
        <v>20</v>
      </c>
      <c r="Q12" s="0" t="n">
        <f aca="false">VLOOKUP($A12,content_factors_backup!$A$2:$Q$468,Q$525,FALSE())</f>
        <v>0.05</v>
      </c>
      <c r="R12" s="0" t="n">
        <f aca="false">VLOOKUP($A12,content_factors_backup!$A$2:$Q$468,R$525,FALSE())</f>
        <v>0</v>
      </c>
      <c r="S12" s="0" t="n">
        <f aca="false">VLOOKUP($A12,content_factors_backup!$A$2:$Q$468,S$525,FALSE())</f>
        <v>91.6</v>
      </c>
      <c r="T12" s="0" t="n">
        <f aca="false">VLOOKUP($A12,content_factors_backup!$A$2:$Q$468,T$525,FALSE())</f>
        <v>0.04</v>
      </c>
      <c r="U12" s="0" t="n">
        <f aca="false">VLOOKUP($A12,content_factors_backup!$A$2:$Q$468,U$525,FALSE())</f>
        <v>0</v>
      </c>
      <c r="V12" s="0" t="n">
        <f aca="false">VLOOKUP($A12,content_factors_backup!$A$2:$Q$468,V$525,FALSE())</f>
        <v>0</v>
      </c>
      <c r="W12" s="0" t="n">
        <f aca="false">VLOOKUP($A12,content_factors_backup!$A$2:$Q$468,W$525,FALSE())</f>
        <v>0</v>
      </c>
    </row>
    <row r="13" customFormat="false" ht="14.25" hidden="false" customHeight="false" outlineLevel="0" collapsed="false">
      <c r="A13" s="0" t="n">
        <v>31</v>
      </c>
      <c r="B13" s="0" t="s">
        <v>65</v>
      </c>
      <c r="C13" s="0" t="s">
        <v>66</v>
      </c>
      <c r="E13" s="0" t="n">
        <v>100630</v>
      </c>
      <c r="F13" s="0" t="n">
        <v>100630</v>
      </c>
      <c r="G13" s="0" t="n">
        <v>23161.02</v>
      </c>
      <c r="I13" s="0" t="n">
        <f aca="false">VLOOKUP($A13,content_factors_backup!$A$2:$Q$468,I$525,FALSE())</f>
        <v>0</v>
      </c>
      <c r="J13" s="0" t="e">
        <f aca="false">VLOOKUP($A13,content_factors_backup!$A$2:$Q$468,J$525,FALSE())</f>
        <v>#N/A</v>
      </c>
      <c r="K13" s="0" t="e">
        <f aca="false">VLOOKUP($A13,content_factors_backup!$A$2:$Q$468,K$525,FALSE())</f>
        <v>#N/A</v>
      </c>
      <c r="L13" s="0" t="e">
        <f aca="false">VLOOKUP($A13,content_factors_backup!$A$2:$Q$468,L$525,FALSE())</f>
        <v>#N/A</v>
      </c>
      <c r="M13" s="0" t="e">
        <f aca="false">VLOOKUP($A13,content_factors_backup!$A$2:$Q$468,M$525,FALSE())</f>
        <v>#N/A</v>
      </c>
      <c r="N13" s="0" t="e">
        <f aca="false">VLOOKUP($A13,content_factors_backup!$A$2:$Q$468,N$525,FALSE())</f>
        <v>#N/A</v>
      </c>
      <c r="O13" s="0" t="e">
        <f aca="false">VLOOKUP($A13,content_factors_backup!$A$2:$Q$468,O$525,FALSE())</f>
        <v>#N/A</v>
      </c>
      <c r="P13" s="0" t="e">
        <f aca="false">VLOOKUP($A13,content_factors_backup!$A$2:$Q$468,P$525,FALSE())</f>
        <v>#N/A</v>
      </c>
      <c r="Q13" s="0" t="e">
        <f aca="false">VLOOKUP($A13,content_factors_backup!$A$2:$Q$468,Q$525,FALSE())</f>
        <v>#N/A</v>
      </c>
      <c r="R13" s="0" t="e">
        <f aca="false">VLOOKUP($A13,content_factors_backup!$A$2:$Q$468,R$525,FALSE())</f>
        <v>#N/A</v>
      </c>
      <c r="S13" s="0" t="e">
        <f aca="false">VLOOKUP($A13,content_factors_backup!$A$2:$Q$468,S$525,FALSE())</f>
        <v>#N/A</v>
      </c>
      <c r="T13" s="0" t="e">
        <f aca="false">VLOOKUP($A13,content_factors_backup!$A$2:$Q$468,T$525,FALSE())</f>
        <v>#N/A</v>
      </c>
      <c r="U13" s="0" t="e">
        <f aca="false">VLOOKUP($A13,content_factors_backup!$A$2:$Q$468,U$525,FALSE())</f>
        <v>#N/A</v>
      </c>
      <c r="V13" s="0" t="e">
        <f aca="false">VLOOKUP($A13,content_factors_backup!$A$2:$Q$468,V$525,FALSE())</f>
        <v>#N/A</v>
      </c>
      <c r="W13" s="0" t="e">
        <f aca="false">VLOOKUP($A13,content_factors_backup!$A$2:$Q$468,W$525,FALSE())</f>
        <v>#N/A</v>
      </c>
    </row>
    <row r="14" customFormat="false" ht="14.25" hidden="false" customHeight="false" outlineLevel="0" collapsed="false">
      <c r="A14" s="0" t="n">
        <v>32</v>
      </c>
      <c r="B14" s="0" t="s">
        <v>67</v>
      </c>
      <c r="C14" s="0" t="s">
        <v>68</v>
      </c>
      <c r="E14" s="0" t="n">
        <v>100640</v>
      </c>
      <c r="F14" s="0" t="n">
        <v>100640</v>
      </c>
      <c r="G14" s="0" t="n">
        <v>23161.03</v>
      </c>
      <c r="I14" s="0" t="n">
        <f aca="false">VLOOKUP($A14,content_factors_backup!$A$2:$Q$468,I$525,FALSE())</f>
        <v>0</v>
      </c>
      <c r="J14" s="0" t="e">
        <f aca="false">VLOOKUP($A14,content_factors_backup!$A$2:$Q$468,J$525,FALSE())</f>
        <v>#N/A</v>
      </c>
      <c r="K14" s="0" t="e">
        <f aca="false">VLOOKUP($A14,content_factors_backup!$A$2:$Q$468,K$525,FALSE())</f>
        <v>#N/A</v>
      </c>
      <c r="L14" s="0" t="e">
        <f aca="false">VLOOKUP($A14,content_factors_backup!$A$2:$Q$468,L$525,FALSE())</f>
        <v>#N/A</v>
      </c>
      <c r="M14" s="0" t="e">
        <f aca="false">VLOOKUP($A14,content_factors_backup!$A$2:$Q$468,M$525,FALSE())</f>
        <v>#N/A</v>
      </c>
      <c r="N14" s="0" t="e">
        <f aca="false">VLOOKUP($A14,content_factors_backup!$A$2:$Q$468,N$525,FALSE())</f>
        <v>#N/A</v>
      </c>
      <c r="O14" s="0" t="e">
        <f aca="false">VLOOKUP($A14,content_factors_backup!$A$2:$Q$468,O$525,FALSE())</f>
        <v>#N/A</v>
      </c>
      <c r="P14" s="0" t="e">
        <f aca="false">VLOOKUP($A14,content_factors_backup!$A$2:$Q$468,P$525,FALSE())</f>
        <v>#N/A</v>
      </c>
      <c r="Q14" s="0" t="e">
        <f aca="false">VLOOKUP($A14,content_factors_backup!$A$2:$Q$468,Q$525,FALSE())</f>
        <v>#N/A</v>
      </c>
      <c r="R14" s="0" t="e">
        <f aca="false">VLOOKUP($A14,content_factors_backup!$A$2:$Q$468,R$525,FALSE())</f>
        <v>#N/A</v>
      </c>
      <c r="S14" s="0" t="e">
        <f aca="false">VLOOKUP($A14,content_factors_backup!$A$2:$Q$468,S$525,FALSE())</f>
        <v>#N/A</v>
      </c>
      <c r="T14" s="0" t="e">
        <f aca="false">VLOOKUP($A14,content_factors_backup!$A$2:$Q$468,T$525,FALSE())</f>
        <v>#N/A</v>
      </c>
      <c r="U14" s="0" t="e">
        <f aca="false">VLOOKUP($A14,content_factors_backup!$A$2:$Q$468,U$525,FALSE())</f>
        <v>#N/A</v>
      </c>
      <c r="V14" s="0" t="e">
        <f aca="false">VLOOKUP($A14,content_factors_backup!$A$2:$Q$468,V$525,FALSE())</f>
        <v>#N/A</v>
      </c>
      <c r="W14" s="0" t="e">
        <f aca="false">VLOOKUP($A14,content_factors_backup!$A$2:$Q$468,W$525,FALSE())</f>
        <v>#N/A</v>
      </c>
    </row>
    <row r="15" customFormat="false" ht="14.25" hidden="false" customHeight="false" outlineLevel="0" collapsed="false">
      <c r="A15" s="0" t="n">
        <v>36</v>
      </c>
      <c r="B15" s="0" t="s">
        <v>69</v>
      </c>
      <c r="C15" s="0" t="s">
        <v>70</v>
      </c>
      <c r="E15" s="0" t="n">
        <v>151590</v>
      </c>
      <c r="F15" s="0" t="n">
        <v>151590</v>
      </c>
      <c r="G15" s="0" t="n">
        <v>21691.01</v>
      </c>
      <c r="I15" s="0" t="n">
        <f aca="false">VLOOKUP($A15,content_factors_backup!$A$2:$Q$468,I$525,FALSE())</f>
        <v>100</v>
      </c>
      <c r="J15" s="0" t="n">
        <f aca="false">VLOOKUP($A15,content_factors_backup!$A$2:$Q$468,J$525,FALSE())</f>
        <v>900</v>
      </c>
      <c r="K15" s="0" t="n">
        <f aca="false">VLOOKUP($A15,content_factors_backup!$A$2:$Q$468,K$525,FALSE())</f>
        <v>0</v>
      </c>
      <c r="L15" s="0" t="n">
        <f aca="false">VLOOKUP($A15,content_factors_backup!$A$2:$Q$468,L$525,FALSE())</f>
        <v>0</v>
      </c>
      <c r="M15" s="0" t="n">
        <f aca="false">VLOOKUP($A15,content_factors_backup!$A$2:$Q$468,M$525,FALSE())</f>
        <v>0.285</v>
      </c>
      <c r="N15" s="0" t="n">
        <f aca="false">VLOOKUP($A15,content_factors_backup!$A$2:$Q$468,N$525,FALSE())</f>
        <v>0.235</v>
      </c>
      <c r="O15" s="0" t="n">
        <f aca="false">VLOOKUP($A15,content_factors_backup!$A$2:$Q$468,O$525,FALSE())</f>
        <v>1</v>
      </c>
      <c r="P15" s="0" t="n">
        <f aca="false">VLOOKUP($A15,content_factors_backup!$A$2:$Q$468,P$525,FALSE())</f>
        <v>0</v>
      </c>
      <c r="Q15" s="0" t="n">
        <f aca="false">VLOOKUP($A15,content_factors_backup!$A$2:$Q$468,Q$525,FALSE())</f>
        <v>0</v>
      </c>
      <c r="R15" s="0" t="n">
        <f aca="false">VLOOKUP($A15,content_factors_backup!$A$2:$Q$468,R$525,FALSE())</f>
        <v>0</v>
      </c>
      <c r="S15" s="0" t="n">
        <f aca="false">VLOOKUP($A15,content_factors_backup!$A$2:$Q$468,S$525,FALSE())</f>
        <v>0</v>
      </c>
      <c r="T15" s="0" t="n">
        <f aca="false">VLOOKUP($A15,content_factors_backup!$A$2:$Q$468,T$525,FALSE())</f>
        <v>32.3</v>
      </c>
      <c r="U15" s="0" t="n">
        <f aca="false">VLOOKUP($A15,content_factors_backup!$A$2:$Q$468,U$525,FALSE())</f>
        <v>0</v>
      </c>
      <c r="V15" s="0" t="n">
        <f aca="false">VLOOKUP($A15,content_factors_backup!$A$2:$Q$468,V$525,FALSE())</f>
        <v>24.7</v>
      </c>
      <c r="W15" s="0" t="n">
        <f aca="false">VLOOKUP($A15,content_factors_backup!$A$2:$Q$468,W$525,FALSE())</f>
        <v>0</v>
      </c>
    </row>
    <row r="16" customFormat="false" ht="14.25" hidden="false" customHeight="false" outlineLevel="0" collapsed="false">
      <c r="A16" s="0" t="n">
        <v>37</v>
      </c>
      <c r="B16" s="0" t="s">
        <v>71</v>
      </c>
      <c r="C16" s="0" t="s">
        <v>72</v>
      </c>
      <c r="E16" s="0" t="n">
        <v>230690</v>
      </c>
      <c r="F16" s="0" t="n">
        <v>230690</v>
      </c>
      <c r="G16" s="0" t="n">
        <v>21910.01</v>
      </c>
      <c r="I16" s="0" t="n">
        <f aca="false">VLOOKUP($A16,content_factors_backup!$A$2:$Q$468,I$525,FALSE())</f>
        <v>90</v>
      </c>
      <c r="J16" s="0" t="n">
        <f aca="false">VLOOKUP($A16,content_factors_backup!$A$2:$Q$468,J$525,FALSE())</f>
        <v>316</v>
      </c>
      <c r="K16" s="0" t="n">
        <f aca="false">VLOOKUP($A16,content_factors_backup!$A$2:$Q$468,K$525,FALSE())</f>
        <v>13.35</v>
      </c>
      <c r="L16" s="0" t="n">
        <f aca="false">VLOOKUP($A16,content_factors_backup!$A$2:$Q$468,L$525,FALSE())</f>
        <v>21</v>
      </c>
      <c r="M16" s="0" t="n">
        <f aca="false">VLOOKUP($A16,content_factors_backup!$A$2:$Q$468,M$525,FALSE())</f>
        <v>6.04</v>
      </c>
      <c r="N16" s="0" t="n">
        <f aca="false">VLOOKUP($A16,content_factors_backup!$A$2:$Q$468,N$525,FALSE())</f>
        <v>18.54</v>
      </c>
      <c r="O16" s="0" t="n">
        <f aca="false">VLOOKUP($A16,content_factors_backup!$A$2:$Q$468,O$525,FALSE())</f>
        <v>57</v>
      </c>
      <c r="P16" s="0" t="n">
        <f aca="false">VLOOKUP($A16,content_factors_backup!$A$2:$Q$468,P$525,FALSE())</f>
        <v>63</v>
      </c>
      <c r="Q16" s="0" t="n">
        <f aca="false">VLOOKUP($A16,content_factors_backup!$A$2:$Q$468,Q$525,FALSE())</f>
        <v>0.284</v>
      </c>
      <c r="R16" s="0" t="n">
        <f aca="false">VLOOKUP($A16,content_factors_backup!$A$2:$Q$468,R$525,FALSE())</f>
        <v>32.2</v>
      </c>
      <c r="S16" s="0" t="n">
        <f aca="false">VLOOKUP($A16,content_factors_backup!$A$2:$Q$468,S$525,FALSE())</f>
        <v>1485</v>
      </c>
      <c r="T16" s="0" t="n">
        <f aca="false">VLOOKUP($A16,content_factors_backup!$A$2:$Q$468,T$525,FALSE())</f>
        <v>4.92</v>
      </c>
      <c r="U16" s="0" t="n">
        <f aca="false">VLOOKUP($A16,content_factors_backup!$A$2:$Q$468,U$525,FALSE())</f>
        <v>0</v>
      </c>
      <c r="V16" s="0" t="n">
        <f aca="false">VLOOKUP($A16,content_factors_backup!$A$2:$Q$468,V$525,FALSE())</f>
        <v>1.9</v>
      </c>
      <c r="W16" s="0" t="n">
        <f aca="false">VLOOKUP($A16,content_factors_backup!$A$2:$Q$468,W$525,FALSE())</f>
        <v>0</v>
      </c>
    </row>
    <row r="17" customFormat="false" ht="14.25" hidden="false" customHeight="false" outlineLevel="0" collapsed="false">
      <c r="A17" s="0" t="n">
        <v>38</v>
      </c>
      <c r="B17" s="0" t="s">
        <v>73</v>
      </c>
      <c r="C17" s="0" t="s">
        <v>74</v>
      </c>
      <c r="E17" s="0" t="s">
        <v>75</v>
      </c>
      <c r="F17" s="0" t="s">
        <v>75</v>
      </c>
      <c r="G17" s="0" t="n">
        <v>23120.01</v>
      </c>
      <c r="I17" s="0" t="n">
        <f aca="false">VLOOKUP($A17,content_factors_backup!$A$2:$Q$468,I$525,FALSE())</f>
        <v>88</v>
      </c>
      <c r="J17" s="0" t="e">
        <f aca="false">VLOOKUP($A17,content_factors_backup!$A$2:$Q$468,J$525,FALSE())</f>
        <v>#N/A</v>
      </c>
      <c r="K17" s="0" t="e">
        <f aca="false">VLOOKUP($A17,content_factors_backup!$A$2:$Q$468,K$525,FALSE())</f>
        <v>#N/A</v>
      </c>
      <c r="L17" s="0" t="e">
        <f aca="false">VLOOKUP($A17,content_factors_backup!$A$2:$Q$468,L$525,FALSE())</f>
        <v>#N/A</v>
      </c>
      <c r="M17" s="0" t="e">
        <f aca="false">VLOOKUP($A17,content_factors_backup!$A$2:$Q$468,M$525,FALSE())</f>
        <v>#N/A</v>
      </c>
      <c r="N17" s="0" t="e">
        <f aca="false">VLOOKUP($A17,content_factors_backup!$A$2:$Q$468,N$525,FALSE())</f>
        <v>#N/A</v>
      </c>
      <c r="O17" s="0" t="e">
        <f aca="false">VLOOKUP($A17,content_factors_backup!$A$2:$Q$468,O$525,FALSE())</f>
        <v>#N/A</v>
      </c>
      <c r="P17" s="0" t="e">
        <f aca="false">VLOOKUP($A17,content_factors_backup!$A$2:$Q$468,P$525,FALSE())</f>
        <v>#N/A</v>
      </c>
      <c r="Q17" s="0" t="e">
        <f aca="false">VLOOKUP($A17,content_factors_backup!$A$2:$Q$468,Q$525,FALSE())</f>
        <v>#N/A</v>
      </c>
      <c r="R17" s="0" t="e">
        <f aca="false">VLOOKUP($A17,content_factors_backup!$A$2:$Q$468,R$525,FALSE())</f>
        <v>#N/A</v>
      </c>
      <c r="S17" s="0" t="e">
        <f aca="false">VLOOKUP($A17,content_factors_backup!$A$2:$Q$468,S$525,FALSE())</f>
        <v>#N/A</v>
      </c>
      <c r="T17" s="0" t="e">
        <f aca="false">VLOOKUP($A17,content_factors_backup!$A$2:$Q$468,T$525,FALSE())</f>
        <v>#N/A</v>
      </c>
      <c r="U17" s="0" t="e">
        <f aca="false">VLOOKUP($A17,content_factors_backup!$A$2:$Q$468,U$525,FALSE())</f>
        <v>#N/A</v>
      </c>
      <c r="V17" s="0" t="e">
        <f aca="false">VLOOKUP($A17,content_factors_backup!$A$2:$Q$468,V$525,FALSE())</f>
        <v>#N/A</v>
      </c>
      <c r="W17" s="0" t="e">
        <f aca="false">VLOOKUP($A17,content_factors_backup!$A$2:$Q$468,W$525,FALSE())</f>
        <v>#N/A</v>
      </c>
    </row>
    <row r="18" customFormat="false" ht="14.25" hidden="false" customHeight="false" outlineLevel="0" collapsed="false">
      <c r="A18" s="0" t="n">
        <v>39</v>
      </c>
      <c r="B18" s="0" t="s">
        <v>76</v>
      </c>
      <c r="C18" s="0" t="s">
        <v>77</v>
      </c>
      <c r="E18" s="0" t="n">
        <v>220600</v>
      </c>
      <c r="F18" s="0" t="n">
        <v>220600</v>
      </c>
      <c r="G18" s="0" t="n">
        <v>24230.02</v>
      </c>
      <c r="I18" s="0" t="n">
        <f aca="false">VLOOKUP($A18,content_factors_backup!$A$2:$Q$468,I$525,FALSE())</f>
        <v>10</v>
      </c>
      <c r="J18" s="0" t="n">
        <f aca="false">VLOOKUP($A18,content_factors_backup!$A$2:$Q$468,J$525,FALSE())</f>
        <v>47</v>
      </c>
      <c r="K18" s="0" t="n">
        <f aca="false">VLOOKUP($A18,content_factors_backup!$A$2:$Q$468,K$525,FALSE())</f>
        <v>0.28</v>
      </c>
      <c r="L18" s="0" t="n">
        <f aca="false">VLOOKUP($A18,content_factors_backup!$A$2:$Q$468,L$525,FALSE())</f>
        <v>0.3</v>
      </c>
      <c r="M18" s="0" t="n">
        <f aca="false">VLOOKUP($A18,content_factors_backup!$A$2:$Q$468,M$525,FALSE())</f>
        <v>0.13</v>
      </c>
      <c r="N18" s="0" t="n">
        <f aca="false">VLOOKUP($A18,content_factors_backup!$A$2:$Q$468,N$525,FALSE())</f>
        <v>0.2</v>
      </c>
      <c r="O18" s="0" t="n">
        <f aca="false">VLOOKUP($A18,content_factors_backup!$A$2:$Q$468,O$525,FALSE())</f>
        <v>118</v>
      </c>
      <c r="P18" s="0" t="n">
        <f aca="false">VLOOKUP($A18,content_factors_backup!$A$2:$Q$468,P$525,FALSE())</f>
        <v>2</v>
      </c>
      <c r="Q18" s="0" t="n">
        <f aca="false">VLOOKUP($A18,content_factors_backup!$A$2:$Q$468,Q$525,FALSE())</f>
        <v>0.142</v>
      </c>
      <c r="R18" s="0" t="n">
        <f aca="false">VLOOKUP($A18,content_factors_backup!$A$2:$Q$468,R$525,FALSE())</f>
        <v>2.1</v>
      </c>
      <c r="S18" s="0" t="n">
        <f aca="false">VLOOKUP($A18,content_factors_backup!$A$2:$Q$468,S$525,FALSE())</f>
        <v>27</v>
      </c>
      <c r="T18" s="0" t="n">
        <f aca="false">VLOOKUP($A18,content_factors_backup!$A$2:$Q$468,T$525,FALSE())</f>
        <v>0.47</v>
      </c>
      <c r="U18" s="0" t="n">
        <f aca="false">VLOOKUP($A18,content_factors_backup!$A$2:$Q$468,U$525,FALSE())</f>
        <v>0.63</v>
      </c>
      <c r="V18" s="0" t="n">
        <f aca="false">VLOOKUP($A18,content_factors_backup!$A$2:$Q$468,V$525,FALSE())</f>
        <v>0.2</v>
      </c>
      <c r="W18" s="0" t="n">
        <f aca="false">VLOOKUP($A18,content_factors_backup!$A$2:$Q$468,W$525,FALSE())</f>
        <v>63</v>
      </c>
    </row>
    <row r="19" customFormat="false" ht="14.25" hidden="false" customHeight="false" outlineLevel="0" collapsed="false">
      <c r="A19" s="0" t="n">
        <v>41</v>
      </c>
      <c r="B19" s="0" t="s">
        <v>78</v>
      </c>
      <c r="C19" s="0" t="s">
        <v>79</v>
      </c>
      <c r="E19" s="0" t="s">
        <v>80</v>
      </c>
      <c r="F19" s="0" t="s">
        <v>80</v>
      </c>
      <c r="G19" s="0" t="n">
        <v>23140.03</v>
      </c>
      <c r="I19" s="0" t="n">
        <f aca="false">VLOOKUP($A19,content_factors_backup!$A$2:$Q$468,I$525,FALSE())</f>
        <v>96.5</v>
      </c>
      <c r="J19" s="0" t="n">
        <f aca="false">VLOOKUP($A19,content_factors_backup!$A$2:$Q$468,J$525,FALSE())</f>
        <v>62</v>
      </c>
      <c r="K19" s="0" t="n">
        <f aca="false">VLOOKUP($A19,content_factors_backup!$A$2:$Q$468,K$525,FALSE())</f>
        <v>2</v>
      </c>
      <c r="L19" s="0" t="n">
        <f aca="false">VLOOKUP($A19,content_factors_backup!$A$2:$Q$468,L$525,FALSE())</f>
        <v>1.6</v>
      </c>
      <c r="M19" s="0" t="n">
        <f aca="false">VLOOKUP($A19,content_factors_backup!$A$2:$Q$468,M$525,FALSE())</f>
        <v>0.48</v>
      </c>
      <c r="N19" s="0" t="n">
        <f aca="false">VLOOKUP($A19,content_factors_backup!$A$2:$Q$468,N$525,FALSE())</f>
        <v>0.62</v>
      </c>
      <c r="O19" s="0" t="n">
        <f aca="false">VLOOKUP($A19,content_factors_backup!$A$2:$Q$468,O$525,FALSE())</f>
        <v>7</v>
      </c>
      <c r="P19" s="0" t="n">
        <f aca="false">VLOOKUP($A19,content_factors_backup!$A$2:$Q$468,P$525,FALSE())</f>
        <v>14</v>
      </c>
      <c r="Q19" s="0" t="n">
        <f aca="false">VLOOKUP($A19,content_factors_backup!$A$2:$Q$468,Q$525,FALSE())</f>
        <v>0.05</v>
      </c>
      <c r="R19" s="0" t="n">
        <f aca="false">VLOOKUP($A19,content_factors_backup!$A$2:$Q$468,R$525,FALSE())</f>
        <v>4.2</v>
      </c>
      <c r="S19" s="0" t="n">
        <f aca="false">VLOOKUP($A19,content_factors_backup!$A$2:$Q$468,S$525,FALSE())</f>
        <v>71</v>
      </c>
      <c r="T19" s="0" t="n">
        <f aca="false">VLOOKUP($A19,content_factors_backup!$A$2:$Q$468,T$525,FALSE())</f>
        <v>0.24</v>
      </c>
      <c r="U19" s="0" t="n">
        <f aca="false">VLOOKUP($A19,content_factors_backup!$A$2:$Q$468,U$525,FALSE())</f>
        <v>0</v>
      </c>
      <c r="V19" s="0" t="n">
        <f aca="false">VLOOKUP($A19,content_factors_backup!$A$2:$Q$468,V$525,FALSE())</f>
        <v>0.4</v>
      </c>
      <c r="W19" s="0" t="n">
        <f aca="false">VLOOKUP($A19,content_factors_backup!$A$2:$Q$468,W$525,FALSE())</f>
        <v>0</v>
      </c>
    </row>
    <row r="20" customFormat="false" ht="14.25" hidden="false" customHeight="false" outlineLevel="0" collapsed="false">
      <c r="A20" s="0" t="n">
        <v>44</v>
      </c>
      <c r="B20" s="0" t="s">
        <v>81</v>
      </c>
      <c r="C20" s="0" t="s">
        <v>82</v>
      </c>
      <c r="E20" s="0" t="n">
        <v>100300</v>
      </c>
      <c r="F20" s="0" t="s">
        <v>83</v>
      </c>
      <c r="G20" s="0" t="n">
        <v>115</v>
      </c>
      <c r="I20" s="0" t="n">
        <f aca="false">VLOOKUP($A20,content_factors_backup!$A$2:$Q$468,I$525,FALSE())</f>
        <v>86</v>
      </c>
      <c r="J20" s="0" t="n">
        <f aca="false">VLOOKUP($A20,content_factors_backup!$A$2:$Q$468,J$525,FALSE())</f>
        <v>342</v>
      </c>
      <c r="K20" s="0" t="n">
        <f aca="false">VLOOKUP($A20,content_factors_backup!$A$2:$Q$468,K$525,FALSE())</f>
        <v>9.85</v>
      </c>
      <c r="L20" s="0" t="n">
        <f aca="false">VLOOKUP($A20,content_factors_backup!$A$2:$Q$468,L$525,FALSE())</f>
        <v>5.2</v>
      </c>
      <c r="M20" s="0" t="n">
        <f aca="false">VLOOKUP($A20,content_factors_backup!$A$2:$Q$468,M$525,FALSE())</f>
        <v>2.38</v>
      </c>
      <c r="N20" s="0" t="n">
        <f aca="false">VLOOKUP($A20,content_factors_backup!$A$2:$Q$468,N$525,FALSE())</f>
        <v>4.5</v>
      </c>
      <c r="O20" s="0" t="n">
        <f aca="false">VLOOKUP($A20,content_factors_backup!$A$2:$Q$468,O$525,FALSE())</f>
        <v>54.5</v>
      </c>
      <c r="P20" s="0" t="n">
        <f aca="false">VLOOKUP($A20,content_factors_backup!$A$2:$Q$468,P$525,FALSE())</f>
        <v>21</v>
      </c>
      <c r="Q20" s="0" t="n">
        <f aca="false">VLOOKUP($A20,content_factors_backup!$A$2:$Q$468,Q$525,FALSE())</f>
        <v>0.114</v>
      </c>
      <c r="R20" s="0" t="n">
        <f aca="false">VLOOKUP($A20,content_factors_backup!$A$2:$Q$468,R$525,FALSE())</f>
        <v>37.8</v>
      </c>
      <c r="S20" s="0" t="n">
        <f aca="false">VLOOKUP($A20,content_factors_backup!$A$2:$Q$468,S$525,FALSE())</f>
        <v>220</v>
      </c>
      <c r="T20" s="0" t="n">
        <f aca="false">VLOOKUP($A20,content_factors_backup!$A$2:$Q$468,T$525,FALSE())</f>
        <v>0.57</v>
      </c>
      <c r="U20" s="0" t="n">
        <f aca="false">VLOOKUP($A20,content_factors_backup!$A$2:$Q$468,U$525,FALSE())</f>
        <v>0</v>
      </c>
      <c r="V20" s="0" t="n">
        <f aca="false">VLOOKUP($A20,content_factors_backup!$A$2:$Q$468,V$525,FALSE())</f>
        <v>2.2</v>
      </c>
      <c r="W20" s="0" t="n">
        <f aca="false">VLOOKUP($A20,content_factors_backup!$A$2:$Q$468,W$525,FALSE())</f>
        <v>0</v>
      </c>
    </row>
    <row r="21" customFormat="false" ht="14.25" hidden="false" customHeight="false" outlineLevel="0" collapsed="false">
      <c r="A21" s="0" t="n">
        <v>46</v>
      </c>
      <c r="B21" s="0" t="s">
        <v>84</v>
      </c>
      <c r="C21" s="0" t="s">
        <v>85</v>
      </c>
      <c r="E21" s="0" t="s">
        <v>86</v>
      </c>
      <c r="F21" s="0" t="s">
        <v>86</v>
      </c>
      <c r="G21" s="0" t="n">
        <v>23140.05</v>
      </c>
      <c r="I21" s="0" t="n">
        <f aca="false">VLOOKUP($A21,content_factors_backup!$A$2:$Q$468,I$525,FALSE())</f>
        <v>88</v>
      </c>
      <c r="J21" s="0" t="n">
        <f aca="false">VLOOKUP($A21,content_factors_backup!$A$2:$Q$468,J$525,FALSE())</f>
        <v>123</v>
      </c>
      <c r="K21" s="0" t="n">
        <f aca="false">VLOOKUP($A21,content_factors_backup!$A$2:$Q$468,K$525,FALSE())</f>
        <v>2.26</v>
      </c>
      <c r="L21" s="0" t="n">
        <f aca="false">VLOOKUP($A21,content_factors_backup!$A$2:$Q$468,L$525,FALSE())</f>
        <v>3.8</v>
      </c>
      <c r="M21" s="0" t="n">
        <f aca="false">VLOOKUP($A21,content_factors_backup!$A$2:$Q$468,M$525,FALSE())</f>
        <v>0.82</v>
      </c>
      <c r="N21" s="0" t="n">
        <f aca="false">VLOOKUP($A21,content_factors_backup!$A$2:$Q$468,N$525,FALSE())</f>
        <v>1.33</v>
      </c>
      <c r="O21" s="0" t="n">
        <f aca="false">VLOOKUP($A21,content_factors_backup!$A$2:$Q$468,O$525,FALSE())</f>
        <v>11</v>
      </c>
      <c r="P21" s="0" t="n">
        <f aca="false">VLOOKUP($A21,content_factors_backup!$A$2:$Q$468,P$525,FALSE())</f>
        <v>16</v>
      </c>
      <c r="Q21" s="0" t="n">
        <f aca="false">VLOOKUP($A21,content_factors_backup!$A$2:$Q$468,Q$525,FALSE())</f>
        <v>0.062</v>
      </c>
      <c r="R21" s="0" t="n">
        <f aca="false">VLOOKUP($A21,content_factors_backup!$A$2:$Q$468,R$525,FALSE())</f>
        <v>13.4</v>
      </c>
      <c r="S21" s="0" t="n">
        <f aca="false">VLOOKUP($A21,content_factors_backup!$A$2:$Q$468,S$525,FALSE())</f>
        <v>93</v>
      </c>
      <c r="T21" s="0" t="n">
        <f aca="false">VLOOKUP($A21,content_factors_backup!$A$2:$Q$468,T$525,FALSE())</f>
        <v>0.01</v>
      </c>
      <c r="U21" s="0" t="n">
        <f aca="false">VLOOKUP($A21,content_factors_backup!$A$2:$Q$468,U$525,FALSE())</f>
        <v>0</v>
      </c>
      <c r="V21" s="0" t="n">
        <f aca="false">VLOOKUP($A21,content_factors_backup!$A$2:$Q$468,V$525,FALSE())</f>
        <v>0.8</v>
      </c>
      <c r="W21" s="0" t="n">
        <f aca="false">VLOOKUP($A21,content_factors_backup!$A$2:$Q$468,W$525,FALSE())</f>
        <v>0</v>
      </c>
    </row>
    <row r="22" customFormat="false" ht="14.25" hidden="false" customHeight="false" outlineLevel="0" collapsed="false">
      <c r="A22" s="0" t="n">
        <v>49</v>
      </c>
      <c r="B22" s="0" t="s">
        <v>87</v>
      </c>
      <c r="C22" s="0" t="s">
        <v>88</v>
      </c>
      <c r="E22" s="0" t="s">
        <v>89</v>
      </c>
      <c r="F22" s="0" t="s">
        <v>89</v>
      </c>
      <c r="G22" s="0" t="n">
        <v>24320</v>
      </c>
      <c r="I22" s="0" t="n">
        <f aca="false">VLOOKUP($A22,content_factors_backup!$A$2:$Q$468,I$525,FALSE())</f>
        <v>95</v>
      </c>
      <c r="J22" s="0" t="n">
        <f aca="false">VLOOKUP($A22,content_factors_backup!$A$2:$Q$468,J$525,FALSE())</f>
        <v>361</v>
      </c>
      <c r="K22" s="0" t="n">
        <f aca="false">VLOOKUP($A22,content_factors_backup!$A$2:$Q$468,K$525,FALSE())</f>
        <v>10.28</v>
      </c>
      <c r="L22" s="0" t="n">
        <f aca="false">VLOOKUP($A22,content_factors_backup!$A$2:$Q$468,L$525,FALSE())</f>
        <v>7.1</v>
      </c>
      <c r="M22" s="0" t="n">
        <f aca="false">VLOOKUP($A22,content_factors_backup!$A$2:$Q$468,M$525,FALSE())</f>
        <v>2.06</v>
      </c>
      <c r="N22" s="0" t="n">
        <f aca="false">VLOOKUP($A22,content_factors_backup!$A$2:$Q$468,N$525,FALSE())</f>
        <v>4.71</v>
      </c>
      <c r="O22" s="0" t="n">
        <f aca="false">VLOOKUP($A22,content_factors_backup!$A$2:$Q$468,O$525,FALSE())</f>
        <v>37</v>
      </c>
      <c r="P22" s="0" t="n">
        <f aca="false">VLOOKUP($A22,content_factors_backup!$A$2:$Q$468,P$525,FALSE())</f>
        <v>38</v>
      </c>
      <c r="Q22" s="0" t="n">
        <f aca="false">VLOOKUP($A22,content_factors_backup!$A$2:$Q$468,Q$525,FALSE())</f>
        <v>0.308</v>
      </c>
      <c r="R22" s="0" t="n">
        <f aca="false">VLOOKUP($A22,content_factors_backup!$A$2:$Q$468,R$525,FALSE())</f>
        <v>0</v>
      </c>
      <c r="S22" s="0" t="n">
        <f aca="false">VLOOKUP($A22,content_factors_backup!$A$2:$Q$468,S$525,FALSE())</f>
        <v>224</v>
      </c>
      <c r="T22" s="0" t="n">
        <f aca="false">VLOOKUP($A22,content_factors_backup!$A$2:$Q$468,T$525,FALSE())</f>
        <v>0.57</v>
      </c>
      <c r="U22" s="0" t="n">
        <f aca="false">VLOOKUP($A22,content_factors_backup!$A$2:$Q$468,U$525,FALSE())</f>
        <v>0</v>
      </c>
      <c r="V22" s="0" t="n">
        <f aca="false">VLOOKUP($A22,content_factors_backup!$A$2:$Q$468,V$525,FALSE())</f>
        <v>2.2</v>
      </c>
      <c r="W22" s="0" t="n">
        <f aca="false">VLOOKUP($A22,content_factors_backup!$A$2:$Q$468,W$525,FALSE())</f>
        <v>1</v>
      </c>
    </row>
    <row r="23" customFormat="false" ht="14.25" hidden="false" customHeight="false" outlineLevel="0" collapsed="false">
      <c r="A23" s="0" t="n">
        <v>51</v>
      </c>
      <c r="B23" s="0" t="s">
        <v>90</v>
      </c>
      <c r="C23" s="0" t="s">
        <v>91</v>
      </c>
      <c r="E23" s="0" t="n">
        <v>220300</v>
      </c>
      <c r="F23" s="0" t="n">
        <v>220300</v>
      </c>
      <c r="G23" s="0" t="n">
        <v>24310.01</v>
      </c>
      <c r="I23" s="0" t="n">
        <f aca="false">VLOOKUP($A23,content_factors_backup!$A$2:$Q$468,I$525,FALSE())</f>
        <v>10</v>
      </c>
      <c r="J23" s="0" t="n">
        <f aca="false">VLOOKUP($A23,content_factors_backup!$A$2:$Q$468,J$525,FALSE())</f>
        <v>33.5</v>
      </c>
      <c r="K23" s="0" t="n">
        <f aca="false">VLOOKUP($A23,content_factors_backup!$A$2:$Q$468,K$525,FALSE())</f>
        <v>0.35</v>
      </c>
      <c r="L23" s="0" t="n">
        <f aca="false">VLOOKUP($A23,content_factors_backup!$A$2:$Q$468,L$525,FALSE())</f>
        <v>0</v>
      </c>
      <c r="M23" s="0" t="n">
        <f aca="false">VLOOKUP($A23,content_factors_backup!$A$2:$Q$468,M$525,FALSE())</f>
        <v>0.01</v>
      </c>
      <c r="N23" s="0" t="n">
        <f aca="false">VLOOKUP($A23,content_factors_backup!$A$2:$Q$468,N$525,FALSE())</f>
        <v>0.1</v>
      </c>
      <c r="O23" s="0" t="n">
        <f aca="false">VLOOKUP($A23,content_factors_backup!$A$2:$Q$468,O$525,FALSE())</f>
        <v>4</v>
      </c>
      <c r="P23" s="0" t="n">
        <f aca="false">VLOOKUP($A23,content_factors_backup!$A$2:$Q$468,P$525,FALSE())</f>
        <v>5.5</v>
      </c>
      <c r="Q23" s="0" t="n">
        <f aca="false">VLOOKUP($A23,content_factors_backup!$A$2:$Q$468,Q$525,FALSE())</f>
        <v>0.03</v>
      </c>
      <c r="R23" s="0" t="n">
        <f aca="false">VLOOKUP($A23,content_factors_backup!$A$2:$Q$468,R$525,FALSE())</f>
        <v>10.1</v>
      </c>
      <c r="S23" s="0" t="n">
        <f aca="false">VLOOKUP($A23,content_factors_backup!$A$2:$Q$468,S$525,FALSE())</f>
        <v>27.95</v>
      </c>
      <c r="T23" s="0" t="n">
        <f aca="false">VLOOKUP($A23,content_factors_backup!$A$2:$Q$468,T$525,FALSE())</f>
        <v>0</v>
      </c>
      <c r="U23" s="0" t="n">
        <f aca="false">VLOOKUP($A23,content_factors_backup!$A$2:$Q$468,U$525,FALSE())</f>
        <v>0.01</v>
      </c>
      <c r="V23" s="0" t="n">
        <f aca="false">VLOOKUP($A23,content_factors_backup!$A$2:$Q$468,V$525,FALSE())</f>
        <v>0</v>
      </c>
      <c r="W23" s="0" t="n">
        <f aca="false">VLOOKUP($A23,content_factors_backup!$A$2:$Q$468,W$525,FALSE())</f>
        <v>0</v>
      </c>
    </row>
    <row r="24" customFormat="false" ht="14.25" hidden="false" customHeight="false" outlineLevel="0" collapsed="false">
      <c r="A24" s="0" t="n">
        <v>56</v>
      </c>
      <c r="B24" s="0" t="s">
        <v>92</v>
      </c>
      <c r="C24" s="0" t="s">
        <v>93</v>
      </c>
      <c r="E24" s="0" t="s">
        <v>94</v>
      </c>
      <c r="F24" s="0" t="s">
        <v>94</v>
      </c>
      <c r="G24" s="0" t="n">
        <v>112</v>
      </c>
      <c r="I24" s="0" t="n">
        <f aca="false">VLOOKUP($A24,content_factors_backup!$A$2:$Q$468,I$525,FALSE())</f>
        <v>86</v>
      </c>
      <c r="J24" s="0" t="n">
        <f aca="false">VLOOKUP($A24,content_factors_backup!$A$2:$Q$468,J$525,FALSE())</f>
        <v>353.65</v>
      </c>
      <c r="K24" s="0" t="n">
        <f aca="false">VLOOKUP($A24,content_factors_backup!$A$2:$Q$468,K$525,FALSE())</f>
        <v>8.6</v>
      </c>
      <c r="L24" s="0" t="n">
        <f aca="false">VLOOKUP($A24,content_factors_backup!$A$2:$Q$468,L$525,FALSE())</f>
        <v>3</v>
      </c>
      <c r="M24" s="0" t="n">
        <f aca="false">VLOOKUP($A24,content_factors_backup!$A$2:$Q$468,M$525,FALSE())</f>
        <v>1.7</v>
      </c>
      <c r="N24" s="0" t="n">
        <f aca="false">VLOOKUP($A24,content_factors_backup!$A$2:$Q$468,N$525,FALSE())</f>
        <v>2.755</v>
      </c>
      <c r="O24" s="0" t="n">
        <f aca="false">VLOOKUP($A24,content_factors_backup!$A$2:$Q$468,O$525,FALSE())</f>
        <v>10</v>
      </c>
      <c r="P24" s="0" t="n">
        <f aca="false">VLOOKUP($A24,content_factors_backup!$A$2:$Q$468,P$525,FALSE())</f>
        <v>25.41175807</v>
      </c>
      <c r="Q24" s="0" t="n">
        <f aca="false">VLOOKUP($A24,content_factors_backup!$A$2:$Q$468,Q$525,FALSE())</f>
        <v>0.12</v>
      </c>
      <c r="R24" s="0" t="n">
        <f aca="false">VLOOKUP($A24,content_factors_backup!$A$2:$Q$468,R$525,FALSE())</f>
        <v>0</v>
      </c>
      <c r="S24" s="0" t="n">
        <f aca="false">VLOOKUP($A24,content_factors_backup!$A$2:$Q$468,S$525,FALSE())</f>
        <v>287</v>
      </c>
      <c r="T24" s="0" t="n">
        <f aca="false">VLOOKUP($A24,content_factors_backup!$A$2:$Q$468,T$525,FALSE())</f>
        <v>0.49</v>
      </c>
      <c r="U24" s="0" t="n">
        <f aca="false">VLOOKUP($A24,content_factors_backup!$A$2:$Q$468,U$525,FALSE())</f>
        <v>0</v>
      </c>
      <c r="V24" s="0" t="n">
        <f aca="false">VLOOKUP($A24,content_factors_backup!$A$2:$Q$468,V$525,FALSE())</f>
        <v>0.3</v>
      </c>
      <c r="W24" s="0" t="n">
        <f aca="false">VLOOKUP($A24,content_factors_backup!$A$2:$Q$468,W$525,FALSE())</f>
        <v>1.3333333335</v>
      </c>
    </row>
    <row r="25" customFormat="false" ht="14.25" hidden="false" customHeight="false" outlineLevel="0" collapsed="false">
      <c r="A25" s="0" t="n">
        <v>57</v>
      </c>
      <c r="B25" s="0" t="s">
        <v>95</v>
      </c>
      <c r="C25" s="0" t="s">
        <v>96</v>
      </c>
      <c r="E25" s="0" t="n">
        <v>110430</v>
      </c>
      <c r="F25" s="0" t="n">
        <v>110430</v>
      </c>
      <c r="G25" s="0" t="n">
        <v>23140.06</v>
      </c>
      <c r="I25" s="0" t="n">
        <f aca="false">VLOOKUP($A25,content_factors_backup!$A$2:$Q$468,I$525,FALSE())</f>
        <v>96</v>
      </c>
      <c r="J25" s="0" t="n">
        <f aca="false">VLOOKUP($A25,content_factors_backup!$A$2:$Q$468,J$525,FALSE())</f>
        <v>381</v>
      </c>
      <c r="K25" s="0" t="n">
        <f aca="false">VLOOKUP($A25,content_factors_backup!$A$2:$Q$468,K$525,FALSE())</f>
        <v>0.26</v>
      </c>
      <c r="L25" s="0" t="n">
        <f aca="false">VLOOKUP($A25,content_factors_backup!$A$2:$Q$468,L$525,FALSE())</f>
        <v>0.9</v>
      </c>
      <c r="M25" s="0" t="n">
        <f aca="false">VLOOKUP($A25,content_factors_backup!$A$2:$Q$468,M$525,FALSE())</f>
        <v>0.06</v>
      </c>
      <c r="N25" s="0" t="n">
        <f aca="false">VLOOKUP($A25,content_factors_backup!$A$2:$Q$468,N$525,FALSE())</f>
        <v>0.47</v>
      </c>
      <c r="O25" s="0" t="n">
        <f aca="false">VLOOKUP($A25,content_factors_backup!$A$2:$Q$468,O$525,FALSE())</f>
        <v>2</v>
      </c>
      <c r="P25" s="0" t="n">
        <f aca="false">VLOOKUP($A25,content_factors_backup!$A$2:$Q$468,P$525,FALSE())</f>
        <v>0</v>
      </c>
      <c r="Q25" s="0" t="n">
        <f aca="false">VLOOKUP($A25,content_factors_backup!$A$2:$Q$468,Q$525,FALSE())</f>
        <v>0</v>
      </c>
      <c r="R25" s="0" t="n">
        <f aca="false">VLOOKUP($A25,content_factors_backup!$A$2:$Q$468,R$525,FALSE())</f>
        <v>0.4</v>
      </c>
      <c r="S25" s="0" t="n">
        <f aca="false">VLOOKUP($A25,content_factors_backup!$A$2:$Q$468,S$525,FALSE())</f>
        <v>3</v>
      </c>
      <c r="T25" s="0" t="n">
        <f aca="false">VLOOKUP($A25,content_factors_backup!$A$2:$Q$468,T$525,FALSE())</f>
        <v>0</v>
      </c>
      <c r="U25" s="0" t="n">
        <f aca="false">VLOOKUP($A25,content_factors_backup!$A$2:$Q$468,U$525,FALSE())</f>
        <v>0</v>
      </c>
      <c r="V25" s="0" t="n">
        <f aca="false">VLOOKUP($A25,content_factors_backup!$A$2:$Q$468,V$525,FALSE())</f>
        <v>0</v>
      </c>
      <c r="W25" s="0" t="n">
        <f aca="false">VLOOKUP($A25,content_factors_backup!$A$2:$Q$468,W$525,FALSE())</f>
        <v>0</v>
      </c>
    </row>
    <row r="26" customFormat="false" ht="14.25" hidden="false" customHeight="false" outlineLevel="0" collapsed="false">
      <c r="A26" s="0" t="n">
        <v>58</v>
      </c>
      <c r="B26" s="0" t="s">
        <v>97</v>
      </c>
      <c r="C26" s="0" t="s">
        <v>98</v>
      </c>
      <c r="E26" s="0" t="s">
        <v>99</v>
      </c>
      <c r="F26" s="0" t="s">
        <v>99</v>
      </c>
      <c r="G26" s="0" t="n">
        <v>23120.03</v>
      </c>
      <c r="I26" s="0" t="n">
        <f aca="false">VLOOKUP($A26,content_factors_backup!$A$2:$Q$468,I$525,FALSE())</f>
        <v>88</v>
      </c>
      <c r="J26" s="0" t="n">
        <f aca="false">VLOOKUP($A26,content_factors_backup!$A$2:$Q$468,J$525,FALSE())</f>
        <v>353</v>
      </c>
      <c r="K26" s="0" t="n">
        <f aca="false">VLOOKUP($A26,content_factors_backup!$A$2:$Q$468,K$525,FALSE())</f>
        <v>8.7</v>
      </c>
      <c r="L26" s="0" t="n">
        <f aca="false">VLOOKUP($A26,content_factors_backup!$A$2:$Q$468,L$525,FALSE())</f>
        <v>3.4</v>
      </c>
      <c r="M26" s="0" t="n">
        <f aca="false">VLOOKUP($A26,content_factors_backup!$A$2:$Q$468,M$525,FALSE())</f>
        <v>1.475</v>
      </c>
      <c r="N26" s="0" t="n">
        <f aca="false">VLOOKUP($A26,content_factors_backup!$A$2:$Q$468,N$525,FALSE())</f>
        <v>2.9</v>
      </c>
      <c r="O26" s="0" t="n">
        <f aca="false">VLOOKUP($A26,content_factors_backup!$A$2:$Q$468,O$525,FALSE())</f>
        <v>17.5</v>
      </c>
      <c r="P26" s="0" t="n">
        <f aca="false">VLOOKUP($A26,content_factors_backup!$A$2:$Q$468,P$525,FALSE())</f>
        <v>10</v>
      </c>
      <c r="Q26" s="0" t="n">
        <f aca="false">VLOOKUP($A26,content_factors_backup!$A$2:$Q$468,Q$525,FALSE())</f>
        <v>0.095</v>
      </c>
      <c r="R26" s="0" t="n">
        <f aca="false">VLOOKUP($A26,content_factors_backup!$A$2:$Q$468,R$525,FALSE())</f>
        <v>0</v>
      </c>
      <c r="S26" s="0" t="n">
        <f aca="false">VLOOKUP($A26,content_factors_backup!$A$2:$Q$468,S$525,FALSE())</f>
        <v>180</v>
      </c>
      <c r="T26" s="0" t="n">
        <f aca="false">VLOOKUP($A26,content_factors_backup!$A$2:$Q$468,T$525,FALSE())</f>
        <v>0.42</v>
      </c>
      <c r="U26" s="0" t="n">
        <f aca="false">VLOOKUP($A26,content_factors_backup!$A$2:$Q$468,U$525,FALSE())</f>
        <v>0</v>
      </c>
      <c r="V26" s="0" t="n">
        <f aca="false">VLOOKUP($A26,content_factors_backup!$A$2:$Q$468,V$525,FALSE())</f>
        <v>0.3</v>
      </c>
      <c r="W26" s="0" t="n">
        <f aca="false">VLOOKUP($A26,content_factors_backup!$A$2:$Q$468,W$525,FALSE())</f>
        <v>0.0416666665</v>
      </c>
    </row>
    <row r="27" customFormat="false" ht="14.25" hidden="false" customHeight="false" outlineLevel="0" collapsed="false">
      <c r="A27" s="0" t="n">
        <v>59</v>
      </c>
      <c r="B27" s="0" t="s">
        <v>100</v>
      </c>
      <c r="C27" s="0" t="s">
        <v>101</v>
      </c>
      <c r="E27" s="0" t="n">
        <v>230210</v>
      </c>
      <c r="F27" s="0" t="n">
        <v>230210</v>
      </c>
      <c r="G27" s="0" t="n">
        <v>39120.04</v>
      </c>
      <c r="I27" s="0" t="n">
        <f aca="false">VLOOKUP($A27,content_factors_backup!$A$2:$Q$468,I$525,FALSE())</f>
        <v>88</v>
      </c>
      <c r="J27" s="0" t="n">
        <f aca="false">VLOOKUP($A27,content_factors_backup!$A$2:$Q$468,J$525,FALSE())</f>
        <v>224</v>
      </c>
      <c r="K27" s="0" t="n">
        <f aca="false">VLOOKUP($A27,content_factors_backup!$A$2:$Q$468,K$525,FALSE())</f>
        <v>8.36</v>
      </c>
      <c r="L27" s="0" t="n">
        <f aca="false">VLOOKUP($A27,content_factors_backup!$A$2:$Q$468,L$525,FALSE())</f>
        <v>79</v>
      </c>
      <c r="M27" s="0" t="n">
        <f aca="false">VLOOKUP($A27,content_factors_backup!$A$2:$Q$468,M$525,FALSE())</f>
        <v>1.56</v>
      </c>
      <c r="N27" s="0" t="n">
        <f aca="false">VLOOKUP($A27,content_factors_backup!$A$2:$Q$468,N$525,FALSE())</f>
        <v>2.79</v>
      </c>
      <c r="O27" s="0" t="n">
        <f aca="false">VLOOKUP($A27,content_factors_backup!$A$2:$Q$468,O$525,FALSE())</f>
        <v>42</v>
      </c>
      <c r="P27" s="0" t="n">
        <f aca="false">VLOOKUP($A27,content_factors_backup!$A$2:$Q$468,P$525,FALSE())</f>
        <v>4</v>
      </c>
      <c r="Q27" s="0" t="n">
        <f aca="false">VLOOKUP($A27,content_factors_backup!$A$2:$Q$468,Q$525,FALSE())</f>
        <v>0.1</v>
      </c>
      <c r="R27" s="0" t="n">
        <f aca="false">VLOOKUP($A27,content_factors_backup!$A$2:$Q$468,R$525,FALSE())</f>
        <v>18.1</v>
      </c>
      <c r="S27" s="0" t="n">
        <f aca="false">VLOOKUP($A27,content_factors_backup!$A$2:$Q$468,S$525,FALSE())</f>
        <v>44</v>
      </c>
      <c r="T27" s="0" t="n">
        <f aca="false">VLOOKUP($A27,content_factors_backup!$A$2:$Q$468,T$525,FALSE())</f>
        <v>0.42</v>
      </c>
      <c r="U27" s="0" t="n">
        <f aca="false">VLOOKUP($A27,content_factors_backup!$A$2:$Q$468,U$525,FALSE())</f>
        <v>0</v>
      </c>
      <c r="V27" s="0" t="n">
        <f aca="false">VLOOKUP($A27,content_factors_backup!$A$2:$Q$468,V$525,FALSE())</f>
        <v>0.3</v>
      </c>
      <c r="W27" s="0" t="n">
        <f aca="false">VLOOKUP($A27,content_factors_backup!$A$2:$Q$468,W$525,FALSE())</f>
        <v>4</v>
      </c>
    </row>
    <row r="28" customFormat="false" ht="14.25" hidden="false" customHeight="false" outlineLevel="0" collapsed="false">
      <c r="A28" s="0" t="n">
        <v>60</v>
      </c>
      <c r="B28" s="0" t="s">
        <v>102</v>
      </c>
      <c r="C28" s="0" t="s">
        <v>103</v>
      </c>
      <c r="E28" s="0" t="s">
        <v>104</v>
      </c>
      <c r="F28" s="0" t="s">
        <v>104</v>
      </c>
      <c r="G28" s="0" t="n">
        <v>21691.02</v>
      </c>
      <c r="I28" s="0" t="n">
        <f aca="false">VLOOKUP($A28,content_factors_backup!$A$2:$Q$468,I$525,FALSE())</f>
        <v>100</v>
      </c>
      <c r="J28" s="0" t="n">
        <f aca="false">VLOOKUP($A28,content_factors_backup!$A$2:$Q$468,J$525,FALSE())</f>
        <v>900</v>
      </c>
      <c r="K28" s="0" t="n">
        <f aca="false">VLOOKUP($A28,content_factors_backup!$A$2:$Q$468,K$525,FALSE())</f>
        <v>0</v>
      </c>
      <c r="L28" s="0" t="n">
        <f aca="false">VLOOKUP($A28,content_factors_backup!$A$2:$Q$468,L$525,FALSE())</f>
        <v>0</v>
      </c>
      <c r="M28" s="0" t="n">
        <f aca="false">VLOOKUP($A28,content_factors_backup!$A$2:$Q$468,M$525,FALSE())</f>
        <v>0</v>
      </c>
      <c r="N28" s="0" t="n">
        <f aca="false">VLOOKUP($A28,content_factors_backup!$A$2:$Q$468,N$525,FALSE())</f>
        <v>0</v>
      </c>
      <c r="O28" s="0" t="n">
        <f aca="false">VLOOKUP($A28,content_factors_backup!$A$2:$Q$468,O$525,FALSE())</f>
        <v>0</v>
      </c>
      <c r="P28" s="0" t="n">
        <f aca="false">VLOOKUP($A28,content_factors_backup!$A$2:$Q$468,P$525,FALSE())</f>
        <v>0</v>
      </c>
      <c r="Q28" s="0" t="n">
        <f aca="false">VLOOKUP($A28,content_factors_backup!$A$2:$Q$468,Q$525,FALSE())</f>
        <v>0</v>
      </c>
      <c r="R28" s="0" t="n">
        <f aca="false">VLOOKUP($A28,content_factors_backup!$A$2:$Q$468,R$525,FALSE())</f>
        <v>0.2</v>
      </c>
      <c r="S28" s="0" t="n">
        <f aca="false">VLOOKUP($A28,content_factors_backup!$A$2:$Q$468,S$525,FALSE())</f>
        <v>0</v>
      </c>
      <c r="T28" s="0" t="n">
        <f aca="false">VLOOKUP($A28,content_factors_backup!$A$2:$Q$468,T$525,FALSE())</f>
        <v>14.3</v>
      </c>
      <c r="U28" s="0" t="n">
        <f aca="false">VLOOKUP($A28,content_factors_backup!$A$2:$Q$468,U$525,FALSE())</f>
        <v>0</v>
      </c>
      <c r="V28" s="0" t="n">
        <f aca="false">VLOOKUP($A28,content_factors_backup!$A$2:$Q$468,V$525,FALSE())</f>
        <v>1.9</v>
      </c>
      <c r="W28" s="0" t="n">
        <f aca="false">VLOOKUP($A28,content_factors_backup!$A$2:$Q$468,W$525,FALSE())</f>
        <v>0</v>
      </c>
    </row>
    <row r="29" customFormat="false" ht="14.25" hidden="false" customHeight="false" outlineLevel="0" collapsed="false">
      <c r="A29" s="0" t="n">
        <v>61</v>
      </c>
      <c r="B29" s="0" t="s">
        <v>105</v>
      </c>
      <c r="C29" s="0" t="s">
        <v>106</v>
      </c>
      <c r="E29" s="0" t="n">
        <v>230690</v>
      </c>
      <c r="F29" s="0" t="n">
        <v>230690</v>
      </c>
      <c r="G29" s="0" t="n">
        <v>21910.02</v>
      </c>
      <c r="I29" s="0" t="n">
        <f aca="false">VLOOKUP($A29,content_factors_backup!$A$2:$Q$468,I$525,FALSE())</f>
        <v>88</v>
      </c>
      <c r="J29" s="0" t="n">
        <f aca="false">VLOOKUP($A29,content_factors_backup!$A$2:$Q$468,J$525,FALSE())</f>
        <v>381</v>
      </c>
      <c r="K29" s="0" t="n">
        <f aca="false">VLOOKUP($A29,content_factors_backup!$A$2:$Q$468,K$525,FALSE())</f>
        <v>0.26</v>
      </c>
      <c r="L29" s="0" t="n">
        <f aca="false">VLOOKUP($A29,content_factors_backup!$A$2:$Q$468,L$525,FALSE())</f>
        <v>0.9</v>
      </c>
      <c r="M29" s="0" t="n">
        <f aca="false">VLOOKUP($A29,content_factors_backup!$A$2:$Q$468,M$525,FALSE())</f>
        <v>0.06</v>
      </c>
      <c r="N29" s="0" t="n">
        <f aca="false">VLOOKUP($A29,content_factors_backup!$A$2:$Q$468,N$525,FALSE())</f>
        <v>0.47</v>
      </c>
      <c r="O29" s="0" t="n">
        <f aca="false">VLOOKUP($A29,content_factors_backup!$A$2:$Q$468,O$525,FALSE())</f>
        <v>2</v>
      </c>
      <c r="P29" s="0" t="n">
        <f aca="false">VLOOKUP($A29,content_factors_backup!$A$2:$Q$468,P$525,FALSE())</f>
        <v>0</v>
      </c>
      <c r="Q29" s="0" t="n">
        <f aca="false">VLOOKUP($A29,content_factors_backup!$A$2:$Q$468,Q$525,FALSE())</f>
        <v>0</v>
      </c>
      <c r="R29" s="0" t="n">
        <f aca="false">VLOOKUP($A29,content_factors_backup!$A$2:$Q$468,R$525,FALSE())</f>
        <v>0.4</v>
      </c>
      <c r="S29" s="0" t="n">
        <f aca="false">VLOOKUP($A29,content_factors_backup!$A$2:$Q$468,S$525,FALSE())</f>
        <v>3</v>
      </c>
      <c r="T29" s="0" t="n">
        <f aca="false">VLOOKUP($A29,content_factors_backup!$A$2:$Q$468,T$525,FALSE())</f>
        <v>0</v>
      </c>
      <c r="U29" s="0" t="n">
        <f aca="false">VLOOKUP($A29,content_factors_backup!$A$2:$Q$468,U$525,FALSE())</f>
        <v>0</v>
      </c>
      <c r="V29" s="0" t="n">
        <f aca="false">VLOOKUP($A29,content_factors_backup!$A$2:$Q$468,V$525,FALSE())</f>
        <v>0</v>
      </c>
      <c r="W29" s="0" t="n">
        <f aca="false">VLOOKUP($A29,content_factors_backup!$A$2:$Q$468,W$525,FALSE())</f>
        <v>0</v>
      </c>
    </row>
    <row r="30" customFormat="false" ht="14.25" hidden="false" customHeight="false" outlineLevel="0" collapsed="false">
      <c r="A30" s="0" t="n">
        <v>68</v>
      </c>
      <c r="B30" s="0" t="s">
        <v>107</v>
      </c>
      <c r="C30" s="0" t="s">
        <v>108</v>
      </c>
      <c r="E30" s="0" t="s">
        <v>94</v>
      </c>
      <c r="F30" s="0" t="s">
        <v>94</v>
      </c>
      <c r="I30" s="0" t="e">
        <f aca="false">VLOOKUP($A30,content_factors_backup!$A$2:$Q$468,I$525,FALSE())</f>
        <v>#N/A</v>
      </c>
      <c r="J30" s="0" t="e">
        <f aca="false">VLOOKUP($A30,content_factors_backup!$A$2:$Q$468,J$525,FALSE())</f>
        <v>#N/A</v>
      </c>
      <c r="K30" s="0" t="e">
        <f aca="false">VLOOKUP($A30,content_factors_backup!$A$2:$Q$468,K$525,FALSE())</f>
        <v>#N/A</v>
      </c>
      <c r="L30" s="0" t="e">
        <f aca="false">VLOOKUP($A30,content_factors_backup!$A$2:$Q$468,L$525,FALSE())</f>
        <v>#N/A</v>
      </c>
      <c r="M30" s="0" t="e">
        <f aca="false">VLOOKUP($A30,content_factors_backup!$A$2:$Q$468,M$525,FALSE())</f>
        <v>#N/A</v>
      </c>
      <c r="N30" s="0" t="e">
        <f aca="false">VLOOKUP($A30,content_factors_backup!$A$2:$Q$468,N$525,FALSE())</f>
        <v>#N/A</v>
      </c>
      <c r="O30" s="0" t="e">
        <f aca="false">VLOOKUP($A30,content_factors_backup!$A$2:$Q$468,O$525,FALSE())</f>
        <v>#N/A</v>
      </c>
      <c r="P30" s="0" t="e">
        <f aca="false">VLOOKUP($A30,content_factors_backup!$A$2:$Q$468,P$525,FALSE())</f>
        <v>#N/A</v>
      </c>
      <c r="Q30" s="0" t="e">
        <f aca="false">VLOOKUP($A30,content_factors_backup!$A$2:$Q$468,Q$525,FALSE())</f>
        <v>#N/A</v>
      </c>
      <c r="R30" s="0" t="e">
        <f aca="false">VLOOKUP($A30,content_factors_backup!$A$2:$Q$468,R$525,FALSE())</f>
        <v>#N/A</v>
      </c>
      <c r="S30" s="0" t="e">
        <f aca="false">VLOOKUP($A30,content_factors_backup!$A$2:$Q$468,S$525,FALSE())</f>
        <v>#N/A</v>
      </c>
      <c r="T30" s="0" t="e">
        <f aca="false">VLOOKUP($A30,content_factors_backup!$A$2:$Q$468,T$525,FALSE())</f>
        <v>#N/A</v>
      </c>
      <c r="U30" s="0" t="e">
        <f aca="false">VLOOKUP($A30,content_factors_backup!$A$2:$Q$468,U$525,FALSE())</f>
        <v>#N/A</v>
      </c>
      <c r="V30" s="0" t="e">
        <f aca="false">VLOOKUP($A30,content_factors_backup!$A$2:$Q$468,V$525,FALSE())</f>
        <v>#N/A</v>
      </c>
      <c r="W30" s="0" t="e">
        <f aca="false">VLOOKUP($A30,content_factors_backup!$A$2:$Q$468,W$525,FALSE())</f>
        <v>#N/A</v>
      </c>
    </row>
    <row r="31" customFormat="false" ht="14.25" hidden="false" customHeight="false" outlineLevel="0" collapsed="false">
      <c r="A31" s="0" t="n">
        <v>71</v>
      </c>
      <c r="B31" s="0" t="s">
        <v>109</v>
      </c>
      <c r="C31" s="0" t="s">
        <v>110</v>
      </c>
      <c r="E31" s="0" t="n">
        <v>100200</v>
      </c>
      <c r="F31" s="0" t="s">
        <v>111</v>
      </c>
      <c r="G31" s="0" t="n">
        <v>116</v>
      </c>
      <c r="I31" s="0" t="n">
        <f aca="false">VLOOKUP($A31,content_factors_backup!$A$2:$Q$468,I$525,FALSE())</f>
        <v>86</v>
      </c>
      <c r="J31" s="0" t="n">
        <f aca="false">VLOOKUP($A31,content_factors_backup!$A$2:$Q$468,J$525,FALSE())</f>
        <v>338</v>
      </c>
      <c r="K31" s="0" t="n">
        <f aca="false">VLOOKUP($A31,content_factors_backup!$A$2:$Q$468,K$525,FALSE())</f>
        <v>10.42</v>
      </c>
      <c r="L31" s="0" t="n">
        <f aca="false">VLOOKUP($A31,content_factors_backup!$A$2:$Q$468,L$525,FALSE())</f>
        <v>2</v>
      </c>
      <c r="M31" s="0" t="n">
        <f aca="false">VLOOKUP($A31,content_factors_backup!$A$2:$Q$468,M$525,FALSE())</f>
        <v>2.65</v>
      </c>
      <c r="N31" s="0" t="n">
        <f aca="false">VLOOKUP($A31,content_factors_backup!$A$2:$Q$468,N$525,FALSE())</f>
        <v>2.7</v>
      </c>
      <c r="O31" s="0" t="n">
        <f aca="false">VLOOKUP($A31,content_factors_backup!$A$2:$Q$468,O$525,FALSE())</f>
        <v>27</v>
      </c>
      <c r="P31" s="0" t="n">
        <f aca="false">VLOOKUP($A31,content_factors_backup!$A$2:$Q$468,P$525,FALSE())</f>
        <v>38</v>
      </c>
      <c r="Q31" s="0" t="n">
        <f aca="false">VLOOKUP($A31,content_factors_backup!$A$2:$Q$468,Q$525,FALSE())</f>
        <v>0.235</v>
      </c>
      <c r="R31" s="0" t="n">
        <f aca="false">VLOOKUP($A31,content_factors_backup!$A$2:$Q$468,R$525,FALSE())</f>
        <v>30.4</v>
      </c>
      <c r="S31" s="0" t="n">
        <f aca="false">VLOOKUP($A31,content_factors_backup!$A$2:$Q$468,S$525,FALSE())</f>
        <v>203</v>
      </c>
      <c r="T31" s="0" t="n">
        <f aca="false">VLOOKUP($A31,content_factors_backup!$A$2:$Q$468,T$525,FALSE())</f>
        <v>0.850000000000001</v>
      </c>
      <c r="U31" s="0" t="n">
        <f aca="false">VLOOKUP($A31,content_factors_backup!$A$2:$Q$468,U$525,FALSE())</f>
        <v>0</v>
      </c>
      <c r="V31" s="0" t="n">
        <f aca="false">VLOOKUP($A31,content_factors_backup!$A$2:$Q$468,V$525,FALSE())</f>
        <v>5.89999999999999</v>
      </c>
      <c r="W31" s="0" t="n">
        <f aca="false">VLOOKUP($A31,content_factors_backup!$A$2:$Q$468,W$525,FALSE())</f>
        <v>0</v>
      </c>
    </row>
    <row r="32" customFormat="false" ht="14.25" hidden="false" customHeight="false" outlineLevel="0" collapsed="false">
      <c r="A32" s="0" t="n">
        <v>75</v>
      </c>
      <c r="B32" s="0" t="s">
        <v>112</v>
      </c>
      <c r="C32" s="0" t="s">
        <v>113</v>
      </c>
      <c r="E32" s="0" t="n">
        <v>100400</v>
      </c>
      <c r="F32" s="0" t="s">
        <v>114</v>
      </c>
      <c r="G32" s="0" t="n">
        <v>117</v>
      </c>
      <c r="I32" s="0" t="n">
        <f aca="false">VLOOKUP($A32,content_factors_backup!$A$2:$Q$468,I$525,FALSE())</f>
        <v>86</v>
      </c>
      <c r="J32" s="0" t="n">
        <f aca="false">VLOOKUP($A32,content_factors_backup!$A$2:$Q$468,J$525,FALSE())</f>
        <v>374</v>
      </c>
      <c r="K32" s="0" t="n">
        <f aca="false">VLOOKUP($A32,content_factors_backup!$A$2:$Q$468,K$525,FALSE())</f>
        <v>13.45</v>
      </c>
      <c r="L32" s="0" t="n">
        <f aca="false">VLOOKUP($A32,content_factors_backup!$A$2:$Q$468,L$525,FALSE())</f>
        <v>2.65</v>
      </c>
      <c r="M32" s="0" t="n">
        <f aca="false">VLOOKUP($A32,content_factors_backup!$A$2:$Q$468,M$525,FALSE())</f>
        <v>3.52</v>
      </c>
      <c r="N32" s="0" t="n">
        <f aca="false">VLOOKUP($A32,content_factors_backup!$A$2:$Q$468,N$525,FALSE())</f>
        <v>4.46</v>
      </c>
      <c r="O32" s="0" t="n">
        <f aca="false">VLOOKUP($A32,content_factors_backup!$A$2:$Q$468,O$525,FALSE())</f>
        <v>53</v>
      </c>
      <c r="P32" s="0" t="n">
        <f aca="false">VLOOKUP($A32,content_factors_backup!$A$2:$Q$468,P$525,FALSE())</f>
        <v>45</v>
      </c>
      <c r="Q32" s="0" t="n">
        <f aca="false">VLOOKUP($A32,content_factors_backup!$A$2:$Q$468,Q$525,FALSE())</f>
        <v>0.1295</v>
      </c>
      <c r="R32" s="0" t="n">
        <f aca="false">VLOOKUP($A32,content_factors_backup!$A$2:$Q$468,R$525,FALSE())</f>
        <v>0</v>
      </c>
      <c r="S32" s="0" t="n">
        <f aca="false">VLOOKUP($A32,content_factors_backup!$A$2:$Q$468,S$525,FALSE())</f>
        <v>410</v>
      </c>
      <c r="T32" s="0" t="n">
        <f aca="false">VLOOKUP($A32,content_factors_backup!$A$2:$Q$468,T$525,FALSE())</f>
        <v>0</v>
      </c>
      <c r="U32" s="0" t="n">
        <f aca="false">VLOOKUP($A32,content_factors_backup!$A$2:$Q$468,U$525,FALSE())</f>
        <v>0</v>
      </c>
      <c r="V32" s="0" t="n">
        <f aca="false">VLOOKUP($A32,content_factors_backup!$A$2:$Q$468,V$525,FALSE())</f>
        <v>0</v>
      </c>
      <c r="W32" s="0" t="n">
        <f aca="false">VLOOKUP($A32,content_factors_backup!$A$2:$Q$468,W$525,FALSE())</f>
        <v>0</v>
      </c>
    </row>
    <row r="33" customFormat="false" ht="14.25" hidden="false" customHeight="false" outlineLevel="0" collapsed="false">
      <c r="A33" s="0" t="n">
        <v>76</v>
      </c>
      <c r="B33" s="0" t="s">
        <v>115</v>
      </c>
      <c r="C33" s="0" t="s">
        <v>116</v>
      </c>
      <c r="E33" s="0" t="s">
        <v>117</v>
      </c>
      <c r="F33" s="0" t="s">
        <v>117</v>
      </c>
      <c r="G33" s="0" t="n">
        <v>23140.07</v>
      </c>
      <c r="I33" s="0" t="n">
        <f aca="false">VLOOKUP($A33,content_factors_backup!$A$2:$Q$468,I$525,FALSE())</f>
        <v>88</v>
      </c>
      <c r="J33" s="0" t="n">
        <f aca="false">VLOOKUP($A33,content_factors_backup!$A$2:$Q$468,J$525,FALSE())</f>
        <v>374</v>
      </c>
      <c r="K33" s="0" t="n">
        <f aca="false">VLOOKUP($A33,content_factors_backup!$A$2:$Q$468,K$525,FALSE())</f>
        <v>13.45</v>
      </c>
      <c r="L33" s="0" t="n">
        <f aca="false">VLOOKUP($A33,content_factors_backup!$A$2:$Q$468,L$525,FALSE())</f>
        <v>2.65</v>
      </c>
      <c r="M33" s="0" t="n">
        <f aca="false">VLOOKUP($A33,content_factors_backup!$A$2:$Q$468,M$525,FALSE())</f>
        <v>3.52</v>
      </c>
      <c r="N33" s="0" t="n">
        <f aca="false">VLOOKUP($A33,content_factors_backup!$A$2:$Q$468,N$525,FALSE())</f>
        <v>4.46</v>
      </c>
      <c r="O33" s="0" t="n">
        <f aca="false">VLOOKUP($A33,content_factors_backup!$A$2:$Q$468,O$525,FALSE())</f>
        <v>53</v>
      </c>
      <c r="P33" s="0" t="n">
        <f aca="false">VLOOKUP($A33,content_factors_backup!$A$2:$Q$468,P$525,FALSE())</f>
        <v>45</v>
      </c>
      <c r="Q33" s="0" t="n">
        <f aca="false">VLOOKUP($A33,content_factors_backup!$A$2:$Q$468,Q$525,FALSE())</f>
        <v>0.1295</v>
      </c>
      <c r="R33" s="0" t="n">
        <f aca="false">VLOOKUP($A33,content_factors_backup!$A$2:$Q$468,R$525,FALSE())</f>
        <v>0</v>
      </c>
      <c r="S33" s="0" t="n">
        <f aca="false">VLOOKUP($A33,content_factors_backup!$A$2:$Q$468,S$525,FALSE())</f>
        <v>410</v>
      </c>
      <c r="T33" s="0" t="n">
        <f aca="false">VLOOKUP($A33,content_factors_backup!$A$2:$Q$468,T$525,FALSE())</f>
        <v>0</v>
      </c>
      <c r="U33" s="0" t="n">
        <f aca="false">VLOOKUP($A33,content_factors_backup!$A$2:$Q$468,U$525,FALSE())</f>
        <v>0</v>
      </c>
      <c r="V33" s="0" t="n">
        <f aca="false">VLOOKUP($A33,content_factors_backup!$A$2:$Q$468,V$525,FALSE())</f>
        <v>0</v>
      </c>
      <c r="W33" s="0" t="n">
        <f aca="false">VLOOKUP($A33,content_factors_backup!$A$2:$Q$468,W$525,FALSE())</f>
        <v>0</v>
      </c>
    </row>
    <row r="34" customFormat="false" ht="14.25" hidden="false" customHeight="false" outlineLevel="0" collapsed="false">
      <c r="A34" s="0" t="n">
        <v>79</v>
      </c>
      <c r="B34" s="0" t="s">
        <v>118</v>
      </c>
      <c r="C34" s="0" t="s">
        <v>119</v>
      </c>
      <c r="E34" s="0" t="n">
        <v>100820</v>
      </c>
      <c r="F34" s="0" t="s">
        <v>120</v>
      </c>
      <c r="G34" s="0" t="n">
        <v>118</v>
      </c>
      <c r="I34" s="0" t="n">
        <f aca="false">VLOOKUP($A34,content_factors_backup!$A$2:$Q$468,I$525,FALSE())</f>
        <v>86</v>
      </c>
      <c r="J34" s="0" t="n">
        <f aca="false">VLOOKUP($A34,content_factors_backup!$A$2:$Q$468,J$525,FALSE())</f>
        <v>341</v>
      </c>
      <c r="K34" s="0" t="n">
        <f aca="false">VLOOKUP($A34,content_factors_backup!$A$2:$Q$468,K$525,FALSE())</f>
        <v>9.6</v>
      </c>
      <c r="L34" s="0" t="n">
        <f aca="false">VLOOKUP($A34,content_factors_backup!$A$2:$Q$468,L$525,FALSE())</f>
        <v>6.15</v>
      </c>
      <c r="M34" s="0" t="n">
        <f aca="false">VLOOKUP($A34,content_factors_backup!$A$2:$Q$468,M$525,FALSE())</f>
        <v>2.07</v>
      </c>
      <c r="N34" s="0" t="n">
        <f aca="false">VLOOKUP($A34,content_factors_backup!$A$2:$Q$468,N$525,FALSE())</f>
        <v>7.5</v>
      </c>
      <c r="O34" s="0" t="n">
        <f aca="false">VLOOKUP($A34,content_factors_backup!$A$2:$Q$468,O$525,FALSE())</f>
        <v>22.5</v>
      </c>
      <c r="P34" s="0" t="n">
        <f aca="false">VLOOKUP($A34,content_factors_backup!$A$2:$Q$468,P$525,FALSE())</f>
        <v>29.2876506</v>
      </c>
      <c r="Q34" s="0" t="n">
        <f aca="false">VLOOKUP($A34,content_factors_backup!$A$2:$Q$468,Q$525,FALSE())</f>
        <v>0.123579167</v>
      </c>
      <c r="R34" s="0" t="n">
        <f aca="false">VLOOKUP($A34,content_factors_backup!$A$2:$Q$468,R$525,FALSE())</f>
        <v>748</v>
      </c>
      <c r="S34" s="0" t="n">
        <f aca="false">VLOOKUP($A34,content_factors_backup!$A$2:$Q$468,S$525,FALSE())</f>
        <v>250</v>
      </c>
      <c r="T34" s="0" t="n">
        <f aca="false">VLOOKUP($A34,content_factors_backup!$A$2:$Q$468,T$525,FALSE())</f>
        <v>0.02</v>
      </c>
      <c r="U34" s="0" t="n">
        <f aca="false">VLOOKUP($A34,content_factors_backup!$A$2:$Q$468,U$525,FALSE())</f>
        <v>0</v>
      </c>
      <c r="V34" s="0" t="n">
        <f aca="false">VLOOKUP($A34,content_factors_backup!$A$2:$Q$468,V$525,FALSE())</f>
        <v>0.3</v>
      </c>
      <c r="W34" s="0" t="n">
        <f aca="false">VLOOKUP($A34,content_factors_backup!$A$2:$Q$468,W$525,FALSE())</f>
        <v>0</v>
      </c>
    </row>
    <row r="35" customFormat="false" ht="14.25" hidden="false" customHeight="false" outlineLevel="0" collapsed="false">
      <c r="A35" s="0" t="n">
        <v>81</v>
      </c>
      <c r="B35" s="0" t="s">
        <v>121</v>
      </c>
      <c r="C35" s="0" t="s">
        <v>122</v>
      </c>
      <c r="E35" s="0" t="n">
        <v>230240</v>
      </c>
      <c r="F35" s="0" t="n">
        <v>230240</v>
      </c>
      <c r="G35" s="0" t="n">
        <v>39120.07</v>
      </c>
      <c r="I35" s="0" t="n">
        <f aca="false">VLOOKUP($A35,content_factors_backup!$A$2:$Q$468,I$525,FALSE())</f>
        <v>88.5</v>
      </c>
      <c r="J35" s="0" t="n">
        <f aca="false">VLOOKUP($A35,content_factors_backup!$A$2:$Q$468,J$525,FALSE())</f>
        <v>119</v>
      </c>
      <c r="K35" s="0" t="n">
        <f aca="false">VLOOKUP($A35,content_factors_backup!$A$2:$Q$468,K$525,FALSE())</f>
        <v>3.51</v>
      </c>
      <c r="L35" s="0" t="n">
        <f aca="false">VLOOKUP($A35,content_factors_backup!$A$2:$Q$468,L$525,FALSE())</f>
        <v>1.3</v>
      </c>
      <c r="M35" s="0" t="n">
        <f aca="false">VLOOKUP($A35,content_factors_backup!$A$2:$Q$468,M$525,FALSE())</f>
        <v>0.91</v>
      </c>
      <c r="N35" s="0" t="n">
        <f aca="false">VLOOKUP($A35,content_factors_backup!$A$2:$Q$468,N$525,FALSE())</f>
        <v>0.63</v>
      </c>
      <c r="O35" s="0" t="n">
        <f aca="false">VLOOKUP($A35,content_factors_backup!$A$2:$Q$468,O$525,FALSE())</f>
        <v>3</v>
      </c>
      <c r="P35" s="0" t="n">
        <f aca="false">VLOOKUP($A35,content_factors_backup!$A$2:$Q$468,P$525,FALSE())</f>
        <v>19</v>
      </c>
      <c r="Q35" s="0" t="n">
        <f aca="false">VLOOKUP($A35,content_factors_backup!$A$2:$Q$468,Q$525,FALSE())</f>
        <v>0.082</v>
      </c>
      <c r="R35" s="0" t="n">
        <f aca="false">VLOOKUP($A35,content_factors_backup!$A$2:$Q$468,R$525,FALSE())</f>
        <v>11.2</v>
      </c>
      <c r="S35" s="0" t="n">
        <f aca="false">VLOOKUP($A35,content_factors_backup!$A$2:$Q$468,S$525,FALSE())</f>
        <v>62</v>
      </c>
      <c r="T35" s="0" t="n">
        <f aca="false">VLOOKUP($A35,content_factors_backup!$A$2:$Q$468,T$525,FALSE())</f>
        <v>0.02</v>
      </c>
      <c r="U35" s="0" t="n">
        <f aca="false">VLOOKUP($A35,content_factors_backup!$A$2:$Q$468,U$525,FALSE())</f>
        <v>0</v>
      </c>
      <c r="V35" s="0" t="n">
        <f aca="false">VLOOKUP($A35,content_factors_backup!$A$2:$Q$468,V$525,FALSE())</f>
        <v>0.3</v>
      </c>
      <c r="W35" s="0" t="n">
        <f aca="false">VLOOKUP($A35,content_factors_backup!$A$2:$Q$468,W$525,FALSE())</f>
        <v>0</v>
      </c>
    </row>
    <row r="36" customFormat="false" ht="14.25" hidden="false" customHeight="false" outlineLevel="0" collapsed="false">
      <c r="A36" s="0" t="n">
        <v>83</v>
      </c>
      <c r="B36" s="0" t="s">
        <v>123</v>
      </c>
      <c r="C36" s="0" t="s">
        <v>124</v>
      </c>
      <c r="E36" s="0" t="n">
        <v>100700</v>
      </c>
      <c r="F36" s="0" t="s">
        <v>125</v>
      </c>
      <c r="G36" s="0" t="n">
        <v>114</v>
      </c>
      <c r="I36" s="0" t="n">
        <f aca="false">VLOOKUP($A36,content_factors_backup!$A$2:$Q$468,I$525,FALSE())</f>
        <v>86</v>
      </c>
      <c r="J36" s="0" t="n">
        <f aca="false">VLOOKUP($A36,content_factors_backup!$A$2:$Q$468,J$525,FALSE())</f>
        <v>348.5</v>
      </c>
      <c r="K36" s="0" t="n">
        <f aca="false">VLOOKUP($A36,content_factors_backup!$A$2:$Q$468,K$525,FALSE())</f>
        <v>10.7</v>
      </c>
      <c r="L36" s="0" t="n">
        <f aca="false">VLOOKUP($A36,content_factors_backup!$A$2:$Q$468,L$525,FALSE())</f>
        <v>2</v>
      </c>
      <c r="M36" s="0" t="n">
        <f aca="false">VLOOKUP($A36,content_factors_backup!$A$2:$Q$468,M$525,FALSE())</f>
        <v>1.8785166665</v>
      </c>
      <c r="N36" s="0" t="n">
        <f aca="false">VLOOKUP($A36,content_factors_backup!$A$2:$Q$468,N$525,FALSE())</f>
        <v>4.5</v>
      </c>
      <c r="O36" s="0" t="n">
        <f aca="false">VLOOKUP($A36,content_factors_backup!$A$2:$Q$468,O$525,FALSE())</f>
        <v>23</v>
      </c>
      <c r="P36" s="0" t="n">
        <f aca="false">VLOOKUP($A36,content_factors_backup!$A$2:$Q$468,P$525,FALSE())</f>
        <v>29.28663746</v>
      </c>
      <c r="Q36" s="0" t="n">
        <f aca="false">VLOOKUP($A36,content_factors_backup!$A$2:$Q$468,Q$525,FALSE())</f>
        <v>0.12</v>
      </c>
      <c r="R36" s="0" t="n">
        <f aca="false">VLOOKUP($A36,content_factors_backup!$A$2:$Q$468,R$525,FALSE())</f>
        <v>0</v>
      </c>
      <c r="S36" s="0" t="n">
        <f aca="false">VLOOKUP($A36,content_factors_backup!$A$2:$Q$468,S$525,FALSE())</f>
        <v>363</v>
      </c>
      <c r="T36" s="0" t="n">
        <f aca="false">VLOOKUP($A36,content_factors_backup!$A$2:$Q$468,T$525,FALSE())</f>
        <v>0.5</v>
      </c>
      <c r="U36" s="0" t="n">
        <f aca="false">VLOOKUP($A36,content_factors_backup!$A$2:$Q$468,U$525,FALSE())</f>
        <v>0</v>
      </c>
      <c r="V36" s="0" t="n">
        <f aca="false">VLOOKUP($A36,content_factors_backup!$A$2:$Q$468,V$525,FALSE())</f>
        <v>0</v>
      </c>
      <c r="W36" s="0" t="n">
        <f aca="false">VLOOKUP($A36,content_factors_backup!$A$2:$Q$468,W$525,FALSE())</f>
        <v>0.4166666665</v>
      </c>
    </row>
    <row r="37" customFormat="false" ht="14.25" hidden="false" customHeight="false" outlineLevel="0" collapsed="false">
      <c r="A37" s="0" t="n">
        <v>85</v>
      </c>
      <c r="B37" s="0" t="s">
        <v>126</v>
      </c>
      <c r="C37" s="0" t="s">
        <v>122</v>
      </c>
      <c r="E37" s="0" t="n">
        <v>230240</v>
      </c>
      <c r="F37" s="0" t="n">
        <v>230240</v>
      </c>
      <c r="G37" s="0" t="n">
        <v>39120.08</v>
      </c>
      <c r="I37" s="0" t="n">
        <f aca="false">VLOOKUP($A37,content_factors_backup!$A$2:$Q$468,I$525,FALSE())</f>
        <v>88</v>
      </c>
      <c r="J37" s="0" t="n">
        <f aca="false">VLOOKUP($A37,content_factors_backup!$A$2:$Q$468,J$525,FALSE())</f>
        <v>357</v>
      </c>
      <c r="K37" s="0" t="n">
        <f aca="false">VLOOKUP($A37,content_factors_backup!$A$2:$Q$468,K$525,FALSE())</f>
        <v>9.53</v>
      </c>
      <c r="L37" s="0" t="n">
        <f aca="false">VLOOKUP($A37,content_factors_backup!$A$2:$Q$468,L$525,FALSE())</f>
        <v>1.9</v>
      </c>
      <c r="M37" s="0" t="n">
        <f aca="false">VLOOKUP($A37,content_factors_backup!$A$2:$Q$468,M$525,FALSE())</f>
        <v>0.47</v>
      </c>
      <c r="N37" s="0" t="n">
        <f aca="false">VLOOKUP($A37,content_factors_backup!$A$2:$Q$468,N$525,FALSE())</f>
        <v>0.97</v>
      </c>
      <c r="O37" s="0" t="n">
        <f aca="false">VLOOKUP($A37,content_factors_backup!$A$2:$Q$468,O$525,FALSE())</f>
        <v>6</v>
      </c>
      <c r="P37" s="0" t="n">
        <f aca="false">VLOOKUP($A37,content_factors_backup!$A$2:$Q$468,P$525,FALSE())</f>
        <v>0</v>
      </c>
      <c r="Q37" s="0" t="n">
        <f aca="false">VLOOKUP($A37,content_factors_backup!$A$2:$Q$468,Q$525,FALSE())</f>
        <v>0.005</v>
      </c>
      <c r="R37" s="0" t="n">
        <f aca="false">VLOOKUP($A37,content_factors_backup!$A$2:$Q$468,R$525,FALSE())</f>
        <v>0</v>
      </c>
      <c r="S37" s="0" t="n">
        <f aca="false">VLOOKUP($A37,content_factors_backup!$A$2:$Q$468,S$525,FALSE())</f>
        <v>145</v>
      </c>
      <c r="T37" s="0" t="n">
        <f aca="false">VLOOKUP($A37,content_factors_backup!$A$2:$Q$468,T$525,FALSE())</f>
        <v>0</v>
      </c>
      <c r="U37" s="0" t="n">
        <f aca="false">VLOOKUP($A37,content_factors_backup!$A$2:$Q$468,U$525,FALSE())</f>
        <v>0</v>
      </c>
      <c r="V37" s="0" t="n">
        <f aca="false">VLOOKUP($A37,content_factors_backup!$A$2:$Q$468,V$525,FALSE())</f>
        <v>0</v>
      </c>
      <c r="W37" s="0" t="n">
        <f aca="false">VLOOKUP($A37,content_factors_backup!$A$2:$Q$468,W$525,FALSE())</f>
        <v>0</v>
      </c>
    </row>
    <row r="38" customFormat="false" ht="14.25" hidden="false" customHeight="false" outlineLevel="0" collapsed="false">
      <c r="A38" s="0" t="n">
        <v>86</v>
      </c>
      <c r="B38" s="0" t="s">
        <v>127</v>
      </c>
      <c r="C38" s="0" t="s">
        <v>128</v>
      </c>
      <c r="E38" s="0" t="n">
        <v>220300</v>
      </c>
      <c r="F38" s="0" t="n">
        <v>220300</v>
      </c>
      <c r="G38" s="0" t="n">
        <v>24310.04</v>
      </c>
      <c r="I38" s="0" t="e">
        <f aca="false">VLOOKUP($A38,content_factors_backup!$A$2:$Q$468,I$525,FALSE())</f>
        <v>#N/A</v>
      </c>
      <c r="J38" s="0" t="e">
        <f aca="false">VLOOKUP($A38,content_factors_backup!$A$2:$Q$468,J$525,FALSE())</f>
        <v>#N/A</v>
      </c>
      <c r="K38" s="0" t="e">
        <f aca="false">VLOOKUP($A38,content_factors_backup!$A$2:$Q$468,K$525,FALSE())</f>
        <v>#N/A</v>
      </c>
      <c r="L38" s="0" t="e">
        <f aca="false">VLOOKUP($A38,content_factors_backup!$A$2:$Q$468,L$525,FALSE())</f>
        <v>#N/A</v>
      </c>
      <c r="M38" s="0" t="e">
        <f aca="false">VLOOKUP($A38,content_factors_backup!$A$2:$Q$468,M$525,FALSE())</f>
        <v>#N/A</v>
      </c>
      <c r="N38" s="0" t="e">
        <f aca="false">VLOOKUP($A38,content_factors_backup!$A$2:$Q$468,N$525,FALSE())</f>
        <v>#N/A</v>
      </c>
      <c r="O38" s="0" t="e">
        <f aca="false">VLOOKUP($A38,content_factors_backup!$A$2:$Q$468,O$525,FALSE())</f>
        <v>#N/A</v>
      </c>
      <c r="P38" s="0" t="e">
        <f aca="false">VLOOKUP($A38,content_factors_backup!$A$2:$Q$468,P$525,FALSE())</f>
        <v>#N/A</v>
      </c>
      <c r="Q38" s="0" t="e">
        <f aca="false">VLOOKUP($A38,content_factors_backup!$A$2:$Q$468,Q$525,FALSE())</f>
        <v>#N/A</v>
      </c>
      <c r="R38" s="0" t="e">
        <f aca="false">VLOOKUP($A38,content_factors_backup!$A$2:$Q$468,R$525,FALSE())</f>
        <v>#N/A</v>
      </c>
      <c r="S38" s="0" t="e">
        <f aca="false">VLOOKUP($A38,content_factors_backup!$A$2:$Q$468,S$525,FALSE())</f>
        <v>#N/A</v>
      </c>
      <c r="T38" s="0" t="e">
        <f aca="false">VLOOKUP($A38,content_factors_backup!$A$2:$Q$468,T$525,FALSE())</f>
        <v>#N/A</v>
      </c>
      <c r="U38" s="0" t="e">
        <f aca="false">VLOOKUP($A38,content_factors_backup!$A$2:$Q$468,U$525,FALSE())</f>
        <v>#N/A</v>
      </c>
      <c r="V38" s="0" t="e">
        <f aca="false">VLOOKUP($A38,content_factors_backup!$A$2:$Q$468,V$525,FALSE())</f>
        <v>#N/A</v>
      </c>
      <c r="W38" s="0" t="e">
        <f aca="false">VLOOKUP($A38,content_factors_backup!$A$2:$Q$468,W$525,FALSE())</f>
        <v>#N/A</v>
      </c>
    </row>
    <row r="39" customFormat="false" ht="14.25" hidden="false" customHeight="false" outlineLevel="0" collapsed="false">
      <c r="A39" s="0" t="n">
        <v>89</v>
      </c>
      <c r="B39" s="0" t="s">
        <v>129</v>
      </c>
      <c r="C39" s="0" t="s">
        <v>130</v>
      </c>
      <c r="E39" s="0" t="n">
        <v>100810</v>
      </c>
      <c r="F39" s="0" t="n">
        <v>100810</v>
      </c>
      <c r="G39" s="0" t="n">
        <v>1192</v>
      </c>
      <c r="I39" s="0" t="n">
        <f aca="false">VLOOKUP($A39,content_factors_backup!$A$2:$Q$468,I$525,FALSE())</f>
        <v>86</v>
      </c>
      <c r="J39" s="0" t="n">
        <f aca="false">VLOOKUP($A39,content_factors_backup!$A$2:$Q$468,J$525,FALSE())</f>
        <v>330</v>
      </c>
      <c r="K39" s="0" t="n">
        <f aca="false">VLOOKUP($A39,content_factors_backup!$A$2:$Q$468,K$525,FALSE())</f>
        <v>10</v>
      </c>
      <c r="L39" s="0" t="n">
        <f aca="false">VLOOKUP($A39,content_factors_backup!$A$2:$Q$468,L$525,FALSE())</f>
        <v>9.3</v>
      </c>
      <c r="M39" s="0" t="n">
        <f aca="false">VLOOKUP($A39,content_factors_backup!$A$2:$Q$468,M$525,FALSE())</f>
        <v>2.4</v>
      </c>
      <c r="N39" s="0" t="n">
        <f aca="false">VLOOKUP($A39,content_factors_backup!$A$2:$Q$468,N$525,FALSE())</f>
        <v>5.3</v>
      </c>
      <c r="O39" s="0" t="n">
        <f aca="false">VLOOKUP($A39,content_factors_backup!$A$2:$Q$468,O$525,FALSE())</f>
        <v>43</v>
      </c>
      <c r="P39" s="0" t="n">
        <f aca="false">VLOOKUP($A39,content_factors_backup!$A$2:$Q$468,P$525,FALSE())</f>
        <v>30</v>
      </c>
      <c r="Q39" s="0" t="n">
        <f aca="false">VLOOKUP($A39,content_factors_backup!$A$2:$Q$468,Q$525,FALSE())</f>
        <v>0.275</v>
      </c>
      <c r="R39" s="0" t="n">
        <f aca="false">VLOOKUP($A39,content_factors_backup!$A$2:$Q$468,R$525,FALSE())</f>
        <v>0</v>
      </c>
      <c r="S39" s="0" t="n">
        <f aca="false">VLOOKUP($A39,content_factors_backup!$A$2:$Q$468,S$525,FALSE())</f>
        <v>411</v>
      </c>
      <c r="T39" s="0" t="n">
        <f aca="false">VLOOKUP($A39,content_factors_backup!$A$2:$Q$468,T$525,FALSE())</f>
        <v>0</v>
      </c>
      <c r="U39" s="0" t="n">
        <f aca="false">VLOOKUP($A39,content_factors_backup!$A$2:$Q$468,U$525,FALSE())</f>
        <v>0</v>
      </c>
      <c r="V39" s="0" t="n">
        <f aca="false">VLOOKUP($A39,content_factors_backup!$A$2:$Q$468,V$525,FALSE())</f>
        <v>0</v>
      </c>
      <c r="W39" s="0" t="n">
        <f aca="false">VLOOKUP($A39,content_factors_backup!$A$2:$Q$468,W$525,FALSE())</f>
        <v>1.5</v>
      </c>
    </row>
    <row r="40" customFormat="false" ht="14.25" hidden="false" customHeight="false" outlineLevel="0" collapsed="false">
      <c r="A40" s="0" t="n">
        <v>91</v>
      </c>
      <c r="B40" s="0" t="s">
        <v>131</v>
      </c>
      <c r="C40" s="0" t="s">
        <v>122</v>
      </c>
      <c r="E40" s="0" t="n">
        <v>230240</v>
      </c>
      <c r="F40" s="0" t="n">
        <v>230240</v>
      </c>
      <c r="G40" s="0" t="n">
        <v>39120.09</v>
      </c>
      <c r="I40" s="0" t="n">
        <f aca="false">VLOOKUP($A40,content_factors_backup!$A$2:$Q$468,I$525,FALSE())</f>
        <v>88.5</v>
      </c>
      <c r="J40" s="0" t="n">
        <f aca="false">VLOOKUP($A40,content_factors_backup!$A$2:$Q$468,J$525,FALSE())</f>
        <v>343</v>
      </c>
      <c r="K40" s="0" t="n">
        <f aca="false">VLOOKUP($A40,content_factors_backup!$A$2:$Q$468,K$525,FALSE())</f>
        <v>13.25</v>
      </c>
      <c r="L40" s="0" t="n">
        <f aca="false">VLOOKUP($A40,content_factors_backup!$A$2:$Q$468,L$525,FALSE())</f>
        <v>10</v>
      </c>
      <c r="M40" s="0" t="n">
        <f aca="false">VLOOKUP($A40,content_factors_backup!$A$2:$Q$468,M$525,FALSE())</f>
        <v>2.4</v>
      </c>
      <c r="N40" s="0" t="n">
        <f aca="false">VLOOKUP($A40,content_factors_backup!$A$2:$Q$468,N$525,FALSE())</f>
        <v>2.2</v>
      </c>
      <c r="O40" s="0" t="n">
        <f aca="false">VLOOKUP($A40,content_factors_backup!$A$2:$Q$468,O$525,FALSE())</f>
        <v>18</v>
      </c>
      <c r="P40" s="0" t="n">
        <f aca="false">VLOOKUP($A40,content_factors_backup!$A$2:$Q$468,P$525,FALSE())</f>
        <v>30</v>
      </c>
      <c r="Q40" s="0" t="n">
        <f aca="false">VLOOKUP($A40,content_factors_backup!$A$2:$Q$468,Q$525,FALSE())</f>
        <v>0.425</v>
      </c>
      <c r="R40" s="0" t="n">
        <f aca="false">VLOOKUP($A40,content_factors_backup!$A$2:$Q$468,R$525,FALSE())</f>
        <v>0</v>
      </c>
      <c r="S40" s="0" t="n">
        <f aca="false">VLOOKUP($A40,content_factors_backup!$A$2:$Q$468,S$525,FALSE())</f>
        <v>460</v>
      </c>
      <c r="T40" s="0" t="n">
        <f aca="false">VLOOKUP($A40,content_factors_backup!$A$2:$Q$468,T$525,FALSE())</f>
        <v>0</v>
      </c>
      <c r="U40" s="0" t="n">
        <f aca="false">VLOOKUP($A40,content_factors_backup!$A$2:$Q$468,U$525,FALSE())</f>
        <v>0</v>
      </c>
      <c r="V40" s="0" t="n">
        <f aca="false">VLOOKUP($A40,content_factors_backup!$A$2:$Q$468,V$525,FALSE())</f>
        <v>0</v>
      </c>
      <c r="W40" s="0" t="n">
        <f aca="false">VLOOKUP($A40,content_factors_backup!$A$2:$Q$468,W$525,FALSE())</f>
        <v>0</v>
      </c>
    </row>
    <row r="41" customFormat="false" ht="14.25" hidden="false" customHeight="false" outlineLevel="0" collapsed="false">
      <c r="A41" s="0" t="n">
        <v>92</v>
      </c>
      <c r="B41" s="0" t="s">
        <v>132</v>
      </c>
      <c r="C41" s="0" t="s">
        <v>133</v>
      </c>
      <c r="E41" s="0" t="n">
        <v>100890</v>
      </c>
      <c r="F41" s="0" t="n">
        <v>100850</v>
      </c>
      <c r="G41" s="0" t="n">
        <v>1194</v>
      </c>
      <c r="I41" s="0" t="n">
        <f aca="false">VLOOKUP($A41,content_factors_backup!$A$2:$Q$468,I$525,FALSE())</f>
        <v>86</v>
      </c>
      <c r="J41" s="0" t="e">
        <f aca="false">VLOOKUP($A41,content_factors_backup!$A$2:$Q$468,J$525,FALSE())</f>
        <v>#N/A</v>
      </c>
      <c r="K41" s="0" t="e">
        <f aca="false">VLOOKUP($A41,content_factors_backup!$A$2:$Q$468,K$525,FALSE())</f>
        <v>#N/A</v>
      </c>
      <c r="L41" s="0" t="e">
        <f aca="false">VLOOKUP($A41,content_factors_backup!$A$2:$Q$468,L$525,FALSE())</f>
        <v>#N/A</v>
      </c>
      <c r="M41" s="0" t="e">
        <f aca="false">VLOOKUP($A41,content_factors_backup!$A$2:$Q$468,M$525,FALSE())</f>
        <v>#N/A</v>
      </c>
      <c r="N41" s="0" t="e">
        <f aca="false">VLOOKUP($A41,content_factors_backup!$A$2:$Q$468,N$525,FALSE())</f>
        <v>#N/A</v>
      </c>
      <c r="O41" s="0" t="e">
        <f aca="false">VLOOKUP($A41,content_factors_backup!$A$2:$Q$468,O$525,FALSE())</f>
        <v>#N/A</v>
      </c>
      <c r="P41" s="0" t="e">
        <f aca="false">VLOOKUP($A41,content_factors_backup!$A$2:$Q$468,P$525,FALSE())</f>
        <v>#N/A</v>
      </c>
      <c r="Q41" s="0" t="e">
        <f aca="false">VLOOKUP($A41,content_factors_backup!$A$2:$Q$468,Q$525,FALSE())</f>
        <v>#N/A</v>
      </c>
      <c r="R41" s="0" t="e">
        <f aca="false">VLOOKUP($A41,content_factors_backup!$A$2:$Q$468,R$525,FALSE())</f>
        <v>#N/A</v>
      </c>
      <c r="S41" s="0" t="e">
        <f aca="false">VLOOKUP($A41,content_factors_backup!$A$2:$Q$468,S$525,FALSE())</f>
        <v>#N/A</v>
      </c>
      <c r="T41" s="0" t="e">
        <f aca="false">VLOOKUP($A41,content_factors_backup!$A$2:$Q$468,T$525,FALSE())</f>
        <v>#N/A</v>
      </c>
      <c r="U41" s="0" t="e">
        <f aca="false">VLOOKUP($A41,content_factors_backup!$A$2:$Q$468,U$525,FALSE())</f>
        <v>#N/A</v>
      </c>
      <c r="V41" s="0" t="e">
        <f aca="false">VLOOKUP($A41,content_factors_backup!$A$2:$Q$468,V$525,FALSE())</f>
        <v>#N/A</v>
      </c>
      <c r="W41" s="0" t="e">
        <f aca="false">VLOOKUP($A41,content_factors_backup!$A$2:$Q$468,W$525,FALSE())</f>
        <v>#N/A</v>
      </c>
    </row>
    <row r="42" customFormat="false" ht="14.25" hidden="false" customHeight="false" outlineLevel="0" collapsed="false">
      <c r="A42" s="0" t="n">
        <v>94</v>
      </c>
      <c r="B42" s="0" t="s">
        <v>134</v>
      </c>
      <c r="C42" s="0" t="s">
        <v>135</v>
      </c>
      <c r="E42" s="0" t="n">
        <v>100890</v>
      </c>
      <c r="F42" s="0" t="n">
        <v>100840</v>
      </c>
      <c r="G42" s="0" t="n">
        <v>1193</v>
      </c>
      <c r="I42" s="0" t="n">
        <f aca="false">VLOOKUP($A42,content_factors_backup!$A$2:$Q$468,I$525,FALSE())</f>
        <v>86</v>
      </c>
      <c r="J42" s="0" t="n">
        <f aca="false">VLOOKUP($A42,content_factors_backup!$A$2:$Q$468,J$525,FALSE())</f>
        <v>348</v>
      </c>
      <c r="K42" s="0" t="n">
        <f aca="false">VLOOKUP($A42,content_factors_backup!$A$2:$Q$468,K$525,FALSE())</f>
        <v>7.4</v>
      </c>
      <c r="L42" s="0" t="n">
        <f aca="false">VLOOKUP($A42,content_factors_backup!$A$2:$Q$468,L$525,FALSE())</f>
        <v>2.240451736</v>
      </c>
      <c r="M42" s="0" t="n">
        <f aca="false">VLOOKUP($A42,content_factors_backup!$A$2:$Q$468,M$525,FALSE())</f>
        <v>2.017767206</v>
      </c>
      <c r="N42" s="0" t="n">
        <f aca="false">VLOOKUP($A42,content_factors_backup!$A$2:$Q$468,N$525,FALSE())</f>
        <v>8.5</v>
      </c>
      <c r="O42" s="0" t="n">
        <f aca="false">VLOOKUP($A42,content_factors_backup!$A$2:$Q$468,O$525,FALSE())</f>
        <v>40</v>
      </c>
      <c r="P42" s="0" t="n">
        <f aca="false">VLOOKUP($A42,content_factors_backup!$A$2:$Q$468,P$525,FALSE())</f>
        <v>29</v>
      </c>
      <c r="Q42" s="0" t="n">
        <f aca="false">VLOOKUP($A42,content_factors_backup!$A$2:$Q$468,Q$525,FALSE())</f>
        <v>0.1</v>
      </c>
      <c r="R42" s="0" t="n">
        <f aca="false">VLOOKUP($A42,content_factors_backup!$A$2:$Q$468,R$525,FALSE())</f>
        <v>0</v>
      </c>
      <c r="S42" s="0" t="n">
        <f aca="false">VLOOKUP($A42,content_factors_backup!$A$2:$Q$468,S$525,FALSE())</f>
        <v>336.9676707</v>
      </c>
      <c r="T42" s="0" t="n">
        <f aca="false">VLOOKUP($A42,content_factors_backup!$A$2:$Q$468,T$525,FALSE())</f>
        <v>0.02</v>
      </c>
      <c r="U42" s="0" t="n">
        <f aca="false">VLOOKUP($A42,content_factors_backup!$A$2:$Q$468,U$525,FALSE())</f>
        <v>0</v>
      </c>
      <c r="V42" s="0" t="n">
        <f aca="false">VLOOKUP($A42,content_factors_backup!$A$2:$Q$468,V$525,FALSE())</f>
        <v>0.3</v>
      </c>
      <c r="W42" s="0" t="n">
        <f aca="false">VLOOKUP($A42,content_factors_backup!$A$2:$Q$468,W$525,FALSE())</f>
        <v>0</v>
      </c>
    </row>
    <row r="43" customFormat="false" ht="14.25" hidden="false" customHeight="false" outlineLevel="0" collapsed="false">
      <c r="A43" s="0" t="n">
        <v>95</v>
      </c>
      <c r="B43" s="0" t="s">
        <v>136</v>
      </c>
      <c r="C43" s="0" t="s">
        <v>98</v>
      </c>
      <c r="E43" s="0" t="s">
        <v>75</v>
      </c>
      <c r="F43" s="0" t="s">
        <v>75</v>
      </c>
      <c r="G43" s="0" t="n">
        <v>23120.08</v>
      </c>
      <c r="I43" s="0" t="e">
        <f aca="false">VLOOKUP($A43,content_factors_backup!$A$2:$Q$468,I$525,FALSE())</f>
        <v>#N/A</v>
      </c>
      <c r="J43" s="0" t="e">
        <f aca="false">VLOOKUP($A43,content_factors_backup!$A$2:$Q$468,J$525,FALSE())</f>
        <v>#N/A</v>
      </c>
      <c r="K43" s="0" t="e">
        <f aca="false">VLOOKUP($A43,content_factors_backup!$A$2:$Q$468,K$525,FALSE())</f>
        <v>#N/A</v>
      </c>
      <c r="L43" s="0" t="e">
        <f aca="false">VLOOKUP($A43,content_factors_backup!$A$2:$Q$468,L$525,FALSE())</f>
        <v>#N/A</v>
      </c>
      <c r="M43" s="0" t="e">
        <f aca="false">VLOOKUP($A43,content_factors_backup!$A$2:$Q$468,M$525,FALSE())</f>
        <v>#N/A</v>
      </c>
      <c r="N43" s="0" t="e">
        <f aca="false">VLOOKUP($A43,content_factors_backup!$A$2:$Q$468,N$525,FALSE())</f>
        <v>#N/A</v>
      </c>
      <c r="O43" s="0" t="e">
        <f aca="false">VLOOKUP($A43,content_factors_backup!$A$2:$Q$468,O$525,FALSE())</f>
        <v>#N/A</v>
      </c>
      <c r="P43" s="0" t="e">
        <f aca="false">VLOOKUP($A43,content_factors_backup!$A$2:$Q$468,P$525,FALSE())</f>
        <v>#N/A</v>
      </c>
      <c r="Q43" s="0" t="e">
        <f aca="false">VLOOKUP($A43,content_factors_backup!$A$2:$Q$468,Q$525,FALSE())</f>
        <v>#N/A</v>
      </c>
      <c r="R43" s="0" t="e">
        <f aca="false">VLOOKUP($A43,content_factors_backup!$A$2:$Q$468,R$525,FALSE())</f>
        <v>#N/A</v>
      </c>
      <c r="S43" s="0" t="e">
        <f aca="false">VLOOKUP($A43,content_factors_backup!$A$2:$Q$468,S$525,FALSE())</f>
        <v>#N/A</v>
      </c>
      <c r="T43" s="0" t="e">
        <f aca="false">VLOOKUP($A43,content_factors_backup!$A$2:$Q$468,T$525,FALSE())</f>
        <v>#N/A</v>
      </c>
      <c r="U43" s="0" t="e">
        <f aca="false">VLOOKUP($A43,content_factors_backup!$A$2:$Q$468,U$525,FALSE())</f>
        <v>#N/A</v>
      </c>
      <c r="V43" s="0" t="e">
        <f aca="false">VLOOKUP($A43,content_factors_backup!$A$2:$Q$468,V$525,FALSE())</f>
        <v>#N/A</v>
      </c>
      <c r="W43" s="0" t="e">
        <f aca="false">VLOOKUP($A43,content_factors_backup!$A$2:$Q$468,W$525,FALSE())</f>
        <v>#N/A</v>
      </c>
    </row>
    <row r="44" customFormat="false" ht="14.25" hidden="false" customHeight="false" outlineLevel="0" collapsed="false">
      <c r="A44" s="0" t="n">
        <v>96</v>
      </c>
      <c r="B44" s="0" t="s">
        <v>137</v>
      </c>
      <c r="C44" s="0" t="s">
        <v>122</v>
      </c>
      <c r="E44" s="0" t="n">
        <v>230240</v>
      </c>
      <c r="F44" s="0" t="n">
        <v>230240</v>
      </c>
      <c r="G44" s="0" t="n">
        <v>39120.1</v>
      </c>
      <c r="I44" s="0" t="e">
        <f aca="false">VLOOKUP($A44,content_factors_backup!$A$2:$Q$468,I$525,FALSE())</f>
        <v>#N/A</v>
      </c>
      <c r="J44" s="0" t="e">
        <f aca="false">VLOOKUP($A44,content_factors_backup!$A$2:$Q$468,J$525,FALSE())</f>
        <v>#N/A</v>
      </c>
      <c r="K44" s="0" t="e">
        <f aca="false">VLOOKUP($A44,content_factors_backup!$A$2:$Q$468,K$525,FALSE())</f>
        <v>#N/A</v>
      </c>
      <c r="L44" s="0" t="e">
        <f aca="false">VLOOKUP($A44,content_factors_backup!$A$2:$Q$468,L$525,FALSE())</f>
        <v>#N/A</v>
      </c>
      <c r="M44" s="0" t="e">
        <f aca="false">VLOOKUP($A44,content_factors_backup!$A$2:$Q$468,M$525,FALSE())</f>
        <v>#N/A</v>
      </c>
      <c r="N44" s="0" t="e">
        <f aca="false">VLOOKUP($A44,content_factors_backup!$A$2:$Q$468,N$525,FALSE())</f>
        <v>#N/A</v>
      </c>
      <c r="O44" s="0" t="e">
        <f aca="false">VLOOKUP($A44,content_factors_backup!$A$2:$Q$468,O$525,FALSE())</f>
        <v>#N/A</v>
      </c>
      <c r="P44" s="0" t="e">
        <f aca="false">VLOOKUP($A44,content_factors_backup!$A$2:$Q$468,P$525,FALSE())</f>
        <v>#N/A</v>
      </c>
      <c r="Q44" s="0" t="e">
        <f aca="false">VLOOKUP($A44,content_factors_backup!$A$2:$Q$468,Q$525,FALSE())</f>
        <v>#N/A</v>
      </c>
      <c r="R44" s="0" t="e">
        <f aca="false">VLOOKUP($A44,content_factors_backup!$A$2:$Q$468,R$525,FALSE())</f>
        <v>#N/A</v>
      </c>
      <c r="S44" s="0" t="e">
        <f aca="false">VLOOKUP($A44,content_factors_backup!$A$2:$Q$468,S$525,FALSE())</f>
        <v>#N/A</v>
      </c>
      <c r="T44" s="0" t="e">
        <f aca="false">VLOOKUP($A44,content_factors_backup!$A$2:$Q$468,T$525,FALSE())</f>
        <v>#N/A</v>
      </c>
      <c r="U44" s="0" t="e">
        <f aca="false">VLOOKUP($A44,content_factors_backup!$A$2:$Q$468,U$525,FALSE())</f>
        <v>#N/A</v>
      </c>
      <c r="V44" s="0" t="e">
        <f aca="false">VLOOKUP($A44,content_factors_backup!$A$2:$Q$468,V$525,FALSE())</f>
        <v>#N/A</v>
      </c>
      <c r="W44" s="0" t="e">
        <f aca="false">VLOOKUP($A44,content_factors_backup!$A$2:$Q$468,W$525,FALSE())</f>
        <v>#N/A</v>
      </c>
    </row>
    <row r="45" customFormat="false" ht="14.25" hidden="false" customHeight="false" outlineLevel="0" collapsed="false">
      <c r="A45" s="0" t="n">
        <v>97</v>
      </c>
      <c r="B45" s="0" t="s">
        <v>138</v>
      </c>
      <c r="C45" s="0" t="s">
        <v>139</v>
      </c>
      <c r="E45" s="0" t="n">
        <v>100890</v>
      </c>
      <c r="F45" s="0" t="n">
        <v>100860</v>
      </c>
      <c r="G45" s="0" t="n">
        <v>1191</v>
      </c>
      <c r="I45" s="0" t="n">
        <f aca="false">VLOOKUP($A45,content_factors_backup!$A$2:$Q$468,I$525,FALSE())</f>
        <v>86</v>
      </c>
      <c r="J45" s="0" t="n">
        <f aca="false">VLOOKUP($A45,content_factors_backup!$A$2:$Q$468,J$525,FALSE())</f>
        <v>336</v>
      </c>
      <c r="K45" s="0" t="n">
        <f aca="false">VLOOKUP($A45,content_factors_backup!$A$2:$Q$468,K$525,FALSE())</f>
        <v>13.05</v>
      </c>
      <c r="L45" s="0" t="n">
        <f aca="false">VLOOKUP($A45,content_factors_backup!$A$2:$Q$468,L$525,FALSE())</f>
        <v>0</v>
      </c>
      <c r="M45" s="0" t="n">
        <f aca="false">VLOOKUP($A45,content_factors_backup!$A$2:$Q$468,M$525,FALSE())</f>
        <v>3.45</v>
      </c>
      <c r="N45" s="0" t="n">
        <f aca="false">VLOOKUP($A45,content_factors_backup!$A$2:$Q$468,N$525,FALSE())</f>
        <v>2.57</v>
      </c>
      <c r="O45" s="0" t="n">
        <f aca="false">VLOOKUP($A45,content_factors_backup!$A$2:$Q$468,O$525,FALSE())</f>
        <v>37</v>
      </c>
      <c r="P45" s="0" t="n">
        <f aca="false">VLOOKUP($A45,content_factors_backup!$A$2:$Q$468,P$525,FALSE())</f>
        <v>73</v>
      </c>
      <c r="Q45" s="0" t="n">
        <f aca="false">VLOOKUP($A45,content_factors_backup!$A$2:$Q$468,Q$525,FALSE())</f>
        <v>0.134</v>
      </c>
      <c r="R45" s="0" t="n">
        <f aca="false">VLOOKUP($A45,content_factors_backup!$A$2:$Q$468,R$525,FALSE())</f>
        <v>0</v>
      </c>
      <c r="S45" s="0" t="n">
        <f aca="false">VLOOKUP($A45,content_factors_backup!$A$2:$Q$468,S$525,FALSE())</f>
        <v>332</v>
      </c>
      <c r="T45" s="0" t="n">
        <f aca="false">VLOOKUP($A45,content_factors_backup!$A$2:$Q$468,T$525,FALSE())</f>
        <v>0.9</v>
      </c>
      <c r="U45" s="0" t="n">
        <f aca="false">VLOOKUP($A45,content_factors_backup!$A$2:$Q$468,U$525,FALSE())</f>
        <v>0</v>
      </c>
      <c r="V45" s="0" t="n">
        <f aca="false">VLOOKUP($A45,content_factors_backup!$A$2:$Q$468,V$525,FALSE())</f>
        <v>0</v>
      </c>
      <c r="W45" s="0" t="n">
        <f aca="false">VLOOKUP($A45,content_factors_backup!$A$2:$Q$468,W$525,FALSE())</f>
        <v>0</v>
      </c>
    </row>
    <row r="46" customFormat="false" ht="14.25" hidden="false" customHeight="false" outlineLevel="0" collapsed="false">
      <c r="A46" s="0" t="n">
        <v>101</v>
      </c>
      <c r="B46" s="0" t="s">
        <v>140</v>
      </c>
      <c r="C46" s="0" t="s">
        <v>141</v>
      </c>
      <c r="E46" s="0" t="n">
        <v>100830</v>
      </c>
      <c r="F46" s="0" t="n">
        <v>100830</v>
      </c>
      <c r="G46" s="0" t="n">
        <v>1195</v>
      </c>
      <c r="I46" s="0" t="n">
        <f aca="false">VLOOKUP($A46,content_factors_backup!$A$2:$Q$468,I$525,FALSE())</f>
        <v>86</v>
      </c>
      <c r="J46" s="0" t="n">
        <f aca="false">VLOOKUP($A46,content_factors_backup!$A$2:$Q$468,J$525,FALSE())</f>
        <v>368.75</v>
      </c>
      <c r="K46" s="0" t="n">
        <f aca="false">VLOOKUP($A46,content_factors_backup!$A$2:$Q$468,K$525,FALSE())</f>
        <v>11.75</v>
      </c>
      <c r="L46" s="0" t="n">
        <f aca="false">VLOOKUP($A46,content_factors_backup!$A$2:$Q$468,L$525,FALSE())</f>
        <v>7</v>
      </c>
      <c r="M46" s="0" t="n">
        <f aca="false">VLOOKUP($A46,content_factors_backup!$A$2:$Q$468,M$525,FALSE())</f>
        <v>3.1</v>
      </c>
      <c r="N46" s="0" t="n">
        <f aca="false">VLOOKUP($A46,content_factors_backup!$A$2:$Q$468,N$525,FALSE())</f>
        <v>5.2</v>
      </c>
      <c r="O46" s="0" t="n">
        <f aca="false">VLOOKUP($A46,content_factors_backup!$A$2:$Q$468,O$525,FALSE())</f>
        <v>78</v>
      </c>
      <c r="P46" s="0" t="n">
        <f aca="false">VLOOKUP($A46,content_factors_backup!$A$2:$Q$468,P$525,FALSE())</f>
        <v>184</v>
      </c>
      <c r="Q46" s="0" t="n">
        <f aca="false">VLOOKUP($A46,content_factors_backup!$A$2:$Q$468,Q$525,FALSE())</f>
        <v>0.24</v>
      </c>
      <c r="R46" s="0" t="n">
        <f aca="false">VLOOKUP($A46,content_factors_backup!$A$2:$Q$468,R$525,FALSE())</f>
        <v>70.2</v>
      </c>
      <c r="S46" s="0" t="n">
        <f aca="false">VLOOKUP($A46,content_factors_backup!$A$2:$Q$468,S$525,FALSE())</f>
        <v>478.5</v>
      </c>
      <c r="T46" s="0" t="n">
        <f aca="false">VLOOKUP($A46,content_factors_backup!$A$2:$Q$468,T$525,FALSE())</f>
        <v>0.63</v>
      </c>
      <c r="U46" s="0" t="n">
        <f aca="false">VLOOKUP($A46,content_factors_backup!$A$2:$Q$468,U$525,FALSE())</f>
        <v>0</v>
      </c>
      <c r="V46" s="0" t="n">
        <f aca="false">VLOOKUP($A46,content_factors_backup!$A$2:$Q$468,V$525,FALSE())</f>
        <v>0</v>
      </c>
      <c r="W46" s="0" t="n">
        <f aca="false">VLOOKUP($A46,content_factors_backup!$A$2:$Q$468,W$525,FALSE())</f>
        <v>0</v>
      </c>
    </row>
    <row r="47" customFormat="false" ht="14.25" hidden="false" customHeight="false" outlineLevel="0" collapsed="false">
      <c r="A47" s="0" t="n">
        <v>103</v>
      </c>
      <c r="B47" s="0" t="s">
        <v>142</v>
      </c>
      <c r="C47" s="0" t="s">
        <v>143</v>
      </c>
      <c r="E47" s="0" t="n">
        <v>100890</v>
      </c>
      <c r="F47" s="0" t="n">
        <v>100890</v>
      </c>
      <c r="G47" s="0" t="n">
        <v>1199.02</v>
      </c>
      <c r="I47" s="0" t="n">
        <f aca="false">VLOOKUP($A47,content_factors_backup!$A$2:$Q$468,I$525,FALSE())</f>
        <v>86</v>
      </c>
      <c r="J47" s="0" t="n">
        <f aca="false">VLOOKUP($A47,content_factors_backup!$A$2:$Q$468,J$525,FALSE())</f>
        <v>342</v>
      </c>
      <c r="K47" s="0" t="n">
        <f aca="false">VLOOKUP($A47,content_factors_backup!$A$2:$Q$468,K$525,FALSE())</f>
        <v>11.02</v>
      </c>
      <c r="L47" s="0" t="n">
        <f aca="false">VLOOKUP($A47,content_factors_backup!$A$2:$Q$468,L$525,FALSE())</f>
        <v>12.2</v>
      </c>
      <c r="M47" s="0" t="n">
        <f aca="false">VLOOKUP($A47,content_factors_backup!$A$2:$Q$468,M$525,FALSE())</f>
        <v>2.65</v>
      </c>
      <c r="N47" s="0" t="n">
        <f aca="false">VLOOKUP($A47,content_factors_backup!$A$2:$Q$468,N$525,FALSE())</f>
        <v>3.21</v>
      </c>
      <c r="O47" s="0" t="n">
        <f aca="false">VLOOKUP($A47,content_factors_backup!$A$2:$Q$468,O$525,FALSE())</f>
        <v>27</v>
      </c>
      <c r="P47" s="0" t="n">
        <f aca="false">VLOOKUP($A47,content_factors_backup!$A$2:$Q$468,P$525,FALSE())</f>
        <v>38</v>
      </c>
      <c r="Q47" s="0" t="n">
        <f aca="false">VLOOKUP($A47,content_factors_backup!$A$2:$Q$468,Q$525,FALSE())</f>
        <v>0.115</v>
      </c>
      <c r="R47" s="0" t="n">
        <f aca="false">VLOOKUP($A47,content_factors_backup!$A$2:$Q$468,R$525,FALSE())</f>
        <v>31.2</v>
      </c>
      <c r="S47" s="0" t="n">
        <f aca="false">VLOOKUP($A47,content_factors_backup!$A$2:$Q$468,S$525,FALSE())</f>
        <v>363</v>
      </c>
      <c r="T47" s="0" t="n">
        <f aca="false">VLOOKUP($A47,content_factors_backup!$A$2:$Q$468,T$525,FALSE())</f>
        <v>0</v>
      </c>
      <c r="U47" s="0" t="n">
        <f aca="false">VLOOKUP($A47,content_factors_backup!$A$2:$Q$468,U$525,FALSE())</f>
        <v>0</v>
      </c>
      <c r="V47" s="0" t="n">
        <f aca="false">VLOOKUP($A47,content_factors_backup!$A$2:$Q$468,V$525,FALSE())</f>
        <v>0</v>
      </c>
      <c r="W47" s="0" t="n">
        <f aca="false">VLOOKUP($A47,content_factors_backup!$A$2:$Q$468,W$525,FALSE())</f>
        <v>0</v>
      </c>
    </row>
    <row r="48" customFormat="false" ht="14.25" hidden="false" customHeight="false" outlineLevel="0" collapsed="false">
      <c r="A48" s="0" t="n">
        <v>104</v>
      </c>
      <c r="B48" s="0" t="s">
        <v>144</v>
      </c>
      <c r="C48" s="0" t="s">
        <v>98</v>
      </c>
      <c r="E48" s="0" t="s">
        <v>75</v>
      </c>
      <c r="F48" s="0" t="s">
        <v>75</v>
      </c>
      <c r="G48" s="0" t="n">
        <v>23120.1</v>
      </c>
      <c r="I48" s="0" t="n">
        <f aca="false">VLOOKUP($A48,content_factors_backup!$A$2:$Q$468,I$525,FALSE())</f>
        <v>88</v>
      </c>
      <c r="J48" s="0" t="n">
        <f aca="false">VLOOKUP($A48,content_factors_backup!$A$2:$Q$468,J$525,FALSE())</f>
        <v>340</v>
      </c>
      <c r="K48" s="0" t="n">
        <f aca="false">VLOOKUP($A48,content_factors_backup!$A$2:$Q$468,K$525,FALSE())</f>
        <v>13.21</v>
      </c>
      <c r="L48" s="0" t="n">
        <f aca="false">VLOOKUP($A48,content_factors_backup!$A$2:$Q$468,L$525,FALSE())</f>
        <v>10.7</v>
      </c>
      <c r="M48" s="0" t="n">
        <f aca="false">VLOOKUP($A48,content_factors_backup!$A$2:$Q$468,M$525,FALSE())</f>
        <v>2.6</v>
      </c>
      <c r="N48" s="0" t="n">
        <f aca="false">VLOOKUP($A48,content_factors_backup!$A$2:$Q$468,N$525,FALSE())</f>
        <v>3.6</v>
      </c>
      <c r="O48" s="0" t="n">
        <f aca="false">VLOOKUP($A48,content_factors_backup!$A$2:$Q$468,O$525,FALSE())</f>
        <v>34</v>
      </c>
      <c r="P48" s="0" t="n">
        <f aca="false">VLOOKUP($A48,content_factors_backup!$A$2:$Q$468,P$525,FALSE())</f>
        <v>44</v>
      </c>
      <c r="Q48" s="0" t="n">
        <f aca="false">VLOOKUP($A48,content_factors_backup!$A$2:$Q$468,Q$525,FALSE())</f>
        <v>0.165</v>
      </c>
      <c r="R48" s="0" t="n">
        <f aca="false">VLOOKUP($A48,content_factors_backup!$A$2:$Q$468,R$525,FALSE())</f>
        <v>31.2</v>
      </c>
      <c r="S48" s="0" t="n">
        <f aca="false">VLOOKUP($A48,content_factors_backup!$A$2:$Q$468,S$525,FALSE())</f>
        <v>363</v>
      </c>
      <c r="T48" s="0" t="n">
        <f aca="false">VLOOKUP($A48,content_factors_backup!$A$2:$Q$468,T$525,FALSE())</f>
        <v>0.71</v>
      </c>
      <c r="U48" s="0" t="n">
        <f aca="false">VLOOKUP($A48,content_factors_backup!$A$2:$Q$468,U$525,FALSE())</f>
        <v>0</v>
      </c>
      <c r="V48" s="0" t="n">
        <f aca="false">VLOOKUP($A48,content_factors_backup!$A$2:$Q$468,V$525,FALSE())</f>
        <v>1.9</v>
      </c>
      <c r="W48" s="0" t="n">
        <f aca="false">VLOOKUP($A48,content_factors_backup!$A$2:$Q$468,W$525,FALSE())</f>
        <v>0</v>
      </c>
    </row>
    <row r="49" customFormat="false" ht="14.25" hidden="false" customHeight="false" outlineLevel="0" collapsed="false">
      <c r="A49" s="0" t="n">
        <v>108</v>
      </c>
      <c r="B49" s="0" t="s">
        <v>145</v>
      </c>
      <c r="C49" s="0" t="s">
        <v>146</v>
      </c>
      <c r="E49" s="0" t="n">
        <v>100890</v>
      </c>
      <c r="F49" s="0" t="n">
        <v>100890</v>
      </c>
      <c r="G49" s="0" t="n">
        <v>1199.9</v>
      </c>
      <c r="I49" s="0" t="n">
        <f aca="false">VLOOKUP($A49,content_factors_backup!$A$2:$Q$468,I$525,FALSE())</f>
        <v>86</v>
      </c>
      <c r="J49" s="0" t="n">
        <f aca="false">VLOOKUP($A49,content_factors_backup!$A$2:$Q$468,J$525,FALSE())</f>
        <v>344.5</v>
      </c>
      <c r="K49" s="0" t="n">
        <f aca="false">VLOOKUP($A49,content_factors_backup!$A$2:$Q$468,K$525,FALSE())</f>
        <v>13.8</v>
      </c>
      <c r="L49" s="0" t="n">
        <f aca="false">VLOOKUP($A49,content_factors_backup!$A$2:$Q$468,L$525,FALSE())</f>
        <v>2.6</v>
      </c>
      <c r="M49" s="0" t="n">
        <f aca="false">VLOOKUP($A49,content_factors_backup!$A$2:$Q$468,M$525,FALSE())</f>
        <v>3.9</v>
      </c>
      <c r="N49" s="0" t="n">
        <f aca="false">VLOOKUP($A49,content_factors_backup!$A$2:$Q$468,N$525,FALSE())</f>
        <v>13</v>
      </c>
      <c r="O49" s="0" t="n">
        <f aca="false">VLOOKUP($A49,content_factors_backup!$A$2:$Q$468,O$525,FALSE())</f>
        <v>141</v>
      </c>
      <c r="P49" s="0" t="n">
        <f aca="false">VLOOKUP($A49,content_factors_backup!$A$2:$Q$468,P$525,FALSE())</f>
        <v>0</v>
      </c>
      <c r="Q49" s="0" t="n">
        <f aca="false">VLOOKUP($A49,content_factors_backup!$A$2:$Q$468,Q$525,FALSE())</f>
        <v>0.15</v>
      </c>
      <c r="R49" s="0" t="n">
        <f aca="false">VLOOKUP($A49,content_factors_backup!$A$2:$Q$468,R$525,FALSE())</f>
        <v>13.1</v>
      </c>
      <c r="S49" s="0" t="n">
        <f aca="false">VLOOKUP($A49,content_factors_backup!$A$2:$Q$468,S$525,FALSE())</f>
        <v>427</v>
      </c>
      <c r="T49" s="0" t="n">
        <f aca="false">VLOOKUP($A49,content_factors_backup!$A$2:$Q$468,T$525,FALSE())</f>
        <v>0.82</v>
      </c>
      <c r="U49" s="0" t="n">
        <f aca="false">VLOOKUP($A49,content_factors_backup!$A$2:$Q$468,U$525,FALSE())</f>
        <v>0</v>
      </c>
      <c r="V49" s="0" t="n">
        <f aca="false">VLOOKUP($A49,content_factors_backup!$A$2:$Q$468,V$525,FALSE())</f>
        <v>1.9</v>
      </c>
      <c r="W49" s="0" t="n">
        <f aca="false">VLOOKUP($A49,content_factors_backup!$A$2:$Q$468,W$525,FALSE())</f>
        <v>0</v>
      </c>
    </row>
    <row r="50" customFormat="false" ht="14.25" hidden="false" customHeight="false" outlineLevel="0" collapsed="false">
      <c r="A50" s="0" t="n">
        <v>109</v>
      </c>
      <c r="B50" s="0" t="s">
        <v>147</v>
      </c>
      <c r="C50" s="0" t="s">
        <v>148</v>
      </c>
      <c r="E50" s="0" t="n">
        <v>190110</v>
      </c>
      <c r="F50" s="0" t="n">
        <v>190110</v>
      </c>
      <c r="G50" s="0" t="n">
        <v>23991.01</v>
      </c>
      <c r="I50" s="0" t="n">
        <f aca="false">VLOOKUP($A50,content_factors_backup!$A$2:$Q$468,I$525,FALSE())</f>
        <v>50</v>
      </c>
      <c r="J50" s="0" t="e">
        <f aca="false">VLOOKUP($A50,content_factors_backup!$A$2:$Q$468,J$525,FALSE())</f>
        <v>#N/A</v>
      </c>
      <c r="K50" s="0" t="e">
        <f aca="false">VLOOKUP($A50,content_factors_backup!$A$2:$Q$468,K$525,FALSE())</f>
        <v>#N/A</v>
      </c>
      <c r="L50" s="0" t="e">
        <f aca="false">VLOOKUP($A50,content_factors_backup!$A$2:$Q$468,L$525,FALSE())</f>
        <v>#N/A</v>
      </c>
      <c r="M50" s="0" t="e">
        <f aca="false">VLOOKUP($A50,content_factors_backup!$A$2:$Q$468,M$525,FALSE())</f>
        <v>#N/A</v>
      </c>
      <c r="N50" s="0" t="e">
        <f aca="false">VLOOKUP($A50,content_factors_backup!$A$2:$Q$468,N$525,FALSE())</f>
        <v>#N/A</v>
      </c>
      <c r="O50" s="0" t="e">
        <f aca="false">VLOOKUP($A50,content_factors_backup!$A$2:$Q$468,O$525,FALSE())</f>
        <v>#N/A</v>
      </c>
      <c r="P50" s="0" t="e">
        <f aca="false">VLOOKUP($A50,content_factors_backup!$A$2:$Q$468,P$525,FALSE())</f>
        <v>#N/A</v>
      </c>
      <c r="Q50" s="0" t="e">
        <f aca="false">VLOOKUP($A50,content_factors_backup!$A$2:$Q$468,Q$525,FALSE())</f>
        <v>#N/A</v>
      </c>
      <c r="R50" s="0" t="e">
        <f aca="false">VLOOKUP($A50,content_factors_backup!$A$2:$Q$468,R$525,FALSE())</f>
        <v>#N/A</v>
      </c>
      <c r="S50" s="0" t="e">
        <f aca="false">VLOOKUP($A50,content_factors_backup!$A$2:$Q$468,S$525,FALSE())</f>
        <v>#N/A</v>
      </c>
      <c r="T50" s="0" t="e">
        <f aca="false">VLOOKUP($A50,content_factors_backup!$A$2:$Q$468,T$525,FALSE())</f>
        <v>#N/A</v>
      </c>
      <c r="U50" s="0" t="e">
        <f aca="false">VLOOKUP($A50,content_factors_backup!$A$2:$Q$468,U$525,FALSE())</f>
        <v>#N/A</v>
      </c>
      <c r="V50" s="0" t="e">
        <f aca="false">VLOOKUP($A50,content_factors_backup!$A$2:$Q$468,V$525,FALSE())</f>
        <v>#N/A</v>
      </c>
      <c r="W50" s="0" t="e">
        <f aca="false">VLOOKUP($A50,content_factors_backup!$A$2:$Q$468,W$525,FALSE())</f>
        <v>#N/A</v>
      </c>
    </row>
    <row r="51" customFormat="false" ht="14.25" hidden="false" customHeight="false" outlineLevel="0" collapsed="false">
      <c r="A51" s="0" t="n">
        <v>110</v>
      </c>
      <c r="B51" s="0" t="s">
        <v>149</v>
      </c>
      <c r="C51" s="0" t="s">
        <v>150</v>
      </c>
      <c r="E51" s="0" t="n">
        <v>190590</v>
      </c>
      <c r="F51" s="0" t="n">
        <v>190590</v>
      </c>
      <c r="G51" s="0" t="n">
        <v>23490.01</v>
      </c>
      <c r="I51" s="0" t="n">
        <f aca="false">VLOOKUP($A51,content_factors_backup!$A$2:$Q$468,I$525,FALSE())</f>
        <v>90</v>
      </c>
      <c r="J51" s="0" t="n">
        <f aca="false">VLOOKUP($A51,content_factors_backup!$A$2:$Q$468,J$525,FALSE())</f>
        <v>208</v>
      </c>
      <c r="K51" s="0" t="n">
        <f aca="false">VLOOKUP($A51,content_factors_backup!$A$2:$Q$468,K$525,FALSE())</f>
        <v>8.5</v>
      </c>
      <c r="L51" s="0" t="n">
        <f aca="false">VLOOKUP($A51,content_factors_backup!$A$2:$Q$468,L$525,FALSE())</f>
        <v>2.8</v>
      </c>
      <c r="M51" s="0" t="n">
        <f aca="false">VLOOKUP($A51,content_factors_backup!$A$2:$Q$468,M$525,FALSE())</f>
        <v>1.04</v>
      </c>
      <c r="N51" s="0" t="n">
        <f aca="false">VLOOKUP($A51,content_factors_backup!$A$2:$Q$468,N$525,FALSE())</f>
        <v>3.11</v>
      </c>
      <c r="O51" s="0" t="n">
        <f aca="false">VLOOKUP($A51,content_factors_backup!$A$2:$Q$468,O$525,FALSE())</f>
        <v>250</v>
      </c>
      <c r="P51" s="0" t="n">
        <f aca="false">VLOOKUP($A51,content_factors_backup!$A$2:$Q$468,P$525,FALSE())</f>
        <v>29</v>
      </c>
      <c r="Q51" s="0" t="n">
        <f aca="false">VLOOKUP($A51,content_factors_backup!$A$2:$Q$468,Q$525,FALSE())</f>
        <v>0.529</v>
      </c>
      <c r="R51" s="0" t="n">
        <f aca="false">VLOOKUP($A51,content_factors_backup!$A$2:$Q$468,R$525,FALSE())</f>
        <v>0</v>
      </c>
      <c r="S51" s="0" t="n">
        <f aca="false">VLOOKUP($A51,content_factors_backup!$A$2:$Q$468,S$525,FALSE())</f>
        <v>279</v>
      </c>
      <c r="T51" s="0" t="n">
        <f aca="false">VLOOKUP($A51,content_factors_backup!$A$2:$Q$468,T$525,FALSE())</f>
        <v>0</v>
      </c>
      <c r="U51" s="0" t="n">
        <f aca="false">VLOOKUP($A51,content_factors_backup!$A$2:$Q$468,U$525,FALSE())</f>
        <v>0.29</v>
      </c>
      <c r="V51" s="0" t="n">
        <f aca="false">VLOOKUP($A51,content_factors_backup!$A$2:$Q$468,V$525,FALSE())</f>
        <v>0</v>
      </c>
      <c r="W51" s="0" t="n">
        <f aca="false">VLOOKUP($A51,content_factors_backup!$A$2:$Q$468,W$525,FALSE())</f>
        <v>64</v>
      </c>
    </row>
    <row r="52" customFormat="false" ht="14.25" hidden="false" customHeight="false" outlineLevel="0" collapsed="false">
      <c r="A52" s="0" t="n">
        <v>111</v>
      </c>
      <c r="B52" s="0" t="s">
        <v>151</v>
      </c>
      <c r="C52" s="0" t="s">
        <v>98</v>
      </c>
      <c r="E52" s="0" t="s">
        <v>75</v>
      </c>
      <c r="F52" s="0" t="s">
        <v>75</v>
      </c>
      <c r="G52" s="0" t="n">
        <v>23120.9</v>
      </c>
      <c r="I52" s="0" t="n">
        <f aca="false">VLOOKUP($A52,content_factors_backup!$A$2:$Q$468,I$525,FALSE())</f>
        <v>88</v>
      </c>
      <c r="J52" s="0" t="n">
        <f aca="false">VLOOKUP($A52,content_factors_backup!$A$2:$Q$468,J$525,FALSE())</f>
        <v>348</v>
      </c>
      <c r="K52" s="0" t="n">
        <f aca="false">VLOOKUP($A52,content_factors_backup!$A$2:$Q$468,K$525,FALSE())</f>
        <v>11.4</v>
      </c>
      <c r="L52" s="0" t="n">
        <f aca="false">VLOOKUP($A52,content_factors_backup!$A$2:$Q$468,L$525,FALSE())</f>
        <v>0.4</v>
      </c>
      <c r="M52" s="0" t="n">
        <f aca="false">VLOOKUP($A52,content_factors_backup!$A$2:$Q$468,M$525,FALSE())</f>
        <v>1.1</v>
      </c>
      <c r="N52" s="0" t="n">
        <f aca="false">VLOOKUP($A52,content_factors_backup!$A$2:$Q$468,N$525,FALSE())</f>
        <v>2.2</v>
      </c>
      <c r="O52" s="0" t="n">
        <f aca="false">VLOOKUP($A52,content_factors_backup!$A$2:$Q$468,O$525,FALSE())</f>
        <v>29.5</v>
      </c>
      <c r="P52" s="0" t="n">
        <f aca="false">VLOOKUP($A52,content_factors_backup!$A$2:$Q$468,P$525,FALSE())</f>
        <v>25</v>
      </c>
      <c r="Q52" s="0" t="n">
        <f aca="false">VLOOKUP($A52,content_factors_backup!$A$2:$Q$468,Q$525,FALSE())</f>
        <v>0.103333333</v>
      </c>
      <c r="R52" s="0" t="n">
        <f aca="false">VLOOKUP($A52,content_factors_backup!$A$2:$Q$468,R$525,FALSE())</f>
        <v>10.4</v>
      </c>
      <c r="S52" s="0" t="n">
        <f aca="false">VLOOKUP($A52,content_factors_backup!$A$2:$Q$468,S$525,FALSE())</f>
        <v>132.5</v>
      </c>
      <c r="T52" s="0" t="n">
        <f aca="false">VLOOKUP($A52,content_factors_backup!$A$2:$Q$468,T$525,FALSE())</f>
        <v>0.71</v>
      </c>
      <c r="U52" s="0" t="n">
        <f aca="false">VLOOKUP($A52,content_factors_backup!$A$2:$Q$468,U$525,FALSE())</f>
        <v>0</v>
      </c>
      <c r="V52" s="0" t="n">
        <f aca="false">VLOOKUP($A52,content_factors_backup!$A$2:$Q$468,V$525,FALSE())</f>
        <v>1.9</v>
      </c>
      <c r="W52" s="0" t="n">
        <f aca="false">VLOOKUP($A52,content_factors_backup!$A$2:$Q$468,W$525,FALSE())</f>
        <v>0</v>
      </c>
    </row>
    <row r="53" customFormat="false" ht="14.25" hidden="false" customHeight="false" outlineLevel="0" collapsed="false">
      <c r="A53" s="0" t="n">
        <v>113</v>
      </c>
      <c r="B53" s="0" t="s">
        <v>152</v>
      </c>
      <c r="C53" s="0" t="s">
        <v>153</v>
      </c>
      <c r="E53" s="0" t="s">
        <v>154</v>
      </c>
      <c r="F53" s="0" t="s">
        <v>154</v>
      </c>
      <c r="G53" s="0" t="n">
        <v>23140.08</v>
      </c>
      <c r="I53" s="0" t="n">
        <f aca="false">VLOOKUP($A53,content_factors_backup!$A$2:$Q$468,I$525,FALSE())</f>
        <v>88</v>
      </c>
      <c r="J53" s="0" t="n">
        <f aca="false">VLOOKUP($A53,content_factors_backup!$A$2:$Q$468,J$525,FALSE())</f>
        <v>62</v>
      </c>
      <c r="K53" s="0" t="n">
        <f aca="false">VLOOKUP($A53,content_factors_backup!$A$2:$Q$468,K$525,FALSE())</f>
        <v>2</v>
      </c>
      <c r="L53" s="0" t="n">
        <f aca="false">VLOOKUP($A53,content_factors_backup!$A$2:$Q$468,L$525,FALSE())</f>
        <v>1.6</v>
      </c>
      <c r="M53" s="0" t="n">
        <f aca="false">VLOOKUP($A53,content_factors_backup!$A$2:$Q$468,M$525,FALSE())</f>
        <v>0.48</v>
      </c>
      <c r="N53" s="0" t="n">
        <f aca="false">VLOOKUP($A53,content_factors_backup!$A$2:$Q$468,N$525,FALSE())</f>
        <v>0.62</v>
      </c>
      <c r="O53" s="0" t="n">
        <f aca="false">VLOOKUP($A53,content_factors_backup!$A$2:$Q$468,O$525,FALSE())</f>
        <v>7</v>
      </c>
      <c r="P53" s="0" t="n">
        <f aca="false">VLOOKUP($A53,content_factors_backup!$A$2:$Q$468,P$525,FALSE())</f>
        <v>14</v>
      </c>
      <c r="Q53" s="0" t="n">
        <f aca="false">VLOOKUP($A53,content_factors_backup!$A$2:$Q$468,Q$525,FALSE())</f>
        <v>0.05</v>
      </c>
      <c r="R53" s="0" t="n">
        <f aca="false">VLOOKUP($A53,content_factors_backup!$A$2:$Q$468,R$525,FALSE())</f>
        <v>4.2</v>
      </c>
      <c r="S53" s="0" t="n">
        <f aca="false">VLOOKUP($A53,content_factors_backup!$A$2:$Q$468,S$525,FALSE())</f>
        <v>71</v>
      </c>
      <c r="T53" s="0" t="n">
        <f aca="false">VLOOKUP($A53,content_factors_backup!$A$2:$Q$468,T$525,FALSE())</f>
        <v>0.24</v>
      </c>
      <c r="U53" s="0" t="n">
        <f aca="false">VLOOKUP($A53,content_factors_backup!$A$2:$Q$468,U$525,FALSE())</f>
        <v>0</v>
      </c>
      <c r="V53" s="0" t="n">
        <f aca="false">VLOOKUP($A53,content_factors_backup!$A$2:$Q$468,V$525,FALSE())</f>
        <v>0.4</v>
      </c>
      <c r="W53" s="0" t="n">
        <f aca="false">VLOOKUP($A53,content_factors_backup!$A$2:$Q$468,W$525,FALSE())</f>
        <v>0</v>
      </c>
    </row>
    <row r="54" customFormat="false" ht="14.25" hidden="false" customHeight="false" outlineLevel="0" collapsed="false">
      <c r="A54" s="0" t="n">
        <v>114</v>
      </c>
      <c r="B54" s="0" t="s">
        <v>155</v>
      </c>
      <c r="C54" s="0" t="s">
        <v>156</v>
      </c>
      <c r="E54" s="0" t="n">
        <v>190120</v>
      </c>
      <c r="F54" s="0" t="n">
        <v>190120</v>
      </c>
      <c r="G54" s="0" t="n">
        <v>23180</v>
      </c>
      <c r="I54" s="0" t="n">
        <f aca="false">VLOOKUP($A54,content_factors_backup!$A$2:$Q$468,I$525,FALSE())</f>
        <v>80</v>
      </c>
      <c r="J54" s="0" t="n">
        <f aca="false">VLOOKUP($A54,content_factors_backup!$A$2:$Q$468,J$525,FALSE())</f>
        <v>361</v>
      </c>
      <c r="K54" s="0" t="n">
        <f aca="false">VLOOKUP($A54,content_factors_backup!$A$2:$Q$468,K$525,FALSE())</f>
        <v>11.98</v>
      </c>
      <c r="L54" s="0" t="n">
        <f aca="false">VLOOKUP($A54,content_factors_backup!$A$2:$Q$468,L$525,FALSE())</f>
        <v>2.4</v>
      </c>
      <c r="M54" s="0" t="n">
        <f aca="false">VLOOKUP($A54,content_factors_backup!$A$2:$Q$468,M$525,FALSE())</f>
        <v>0.85</v>
      </c>
      <c r="N54" s="0" t="n">
        <f aca="false">VLOOKUP($A54,content_factors_backup!$A$2:$Q$468,N$525,FALSE())</f>
        <v>4.41</v>
      </c>
      <c r="O54" s="0" t="n">
        <f aca="false">VLOOKUP($A54,content_factors_backup!$A$2:$Q$468,O$525,FALSE())</f>
        <v>15</v>
      </c>
      <c r="P54" s="0" t="n">
        <f aca="false">VLOOKUP($A54,content_factors_backup!$A$2:$Q$468,P$525,FALSE())</f>
        <v>183</v>
      </c>
      <c r="Q54" s="0" t="n">
        <f aca="false">VLOOKUP($A54,content_factors_backup!$A$2:$Q$468,Q$525,FALSE())</f>
        <v>0.512</v>
      </c>
      <c r="R54" s="0" t="n">
        <f aca="false">VLOOKUP($A54,content_factors_backup!$A$2:$Q$468,R$525,FALSE())</f>
        <v>10.4</v>
      </c>
      <c r="S54" s="0" t="n">
        <f aca="false">VLOOKUP($A54,content_factors_backup!$A$2:$Q$468,S$525,FALSE())</f>
        <v>100</v>
      </c>
      <c r="T54" s="0" t="n">
        <f aca="false">VLOOKUP($A54,content_factors_backup!$A$2:$Q$468,T$525,FALSE())</f>
        <v>0.4</v>
      </c>
      <c r="U54" s="0" t="n">
        <f aca="false">VLOOKUP($A54,content_factors_backup!$A$2:$Q$468,U$525,FALSE())</f>
        <v>0</v>
      </c>
      <c r="V54" s="0" t="n">
        <f aca="false">VLOOKUP($A54,content_factors_backup!$A$2:$Q$468,V$525,FALSE())</f>
        <v>0.3</v>
      </c>
      <c r="W54" s="0" t="n">
        <f aca="false">VLOOKUP($A54,content_factors_backup!$A$2:$Q$468,W$525,FALSE())</f>
        <v>0</v>
      </c>
    </row>
    <row r="55" customFormat="false" ht="14.25" hidden="false" customHeight="false" outlineLevel="0" collapsed="false">
      <c r="A55" s="0" t="n">
        <v>115</v>
      </c>
      <c r="B55" s="0" t="s">
        <v>157</v>
      </c>
      <c r="C55" s="0" t="s">
        <v>158</v>
      </c>
      <c r="E55" s="0" t="n">
        <v>190190</v>
      </c>
      <c r="F55" s="0" t="n">
        <v>190190</v>
      </c>
      <c r="G55" s="0" t="n">
        <v>23999.02</v>
      </c>
      <c r="I55" s="0" t="n">
        <f aca="false">VLOOKUP($A55,content_factors_backup!$A$2:$Q$468,I$525,FALSE())</f>
        <v>88</v>
      </c>
      <c r="J55" s="0" t="n">
        <f aca="false">VLOOKUP($A55,content_factors_backup!$A$2:$Q$468,J$525,FALSE())</f>
        <v>124</v>
      </c>
      <c r="K55" s="0" t="n">
        <f aca="false">VLOOKUP($A55,content_factors_backup!$A$2:$Q$468,K$525,FALSE())</f>
        <v>4.37</v>
      </c>
      <c r="L55" s="0" t="n">
        <f aca="false">VLOOKUP($A55,content_factors_backup!$A$2:$Q$468,L$525,FALSE())</f>
        <v>0</v>
      </c>
      <c r="M55" s="0" t="n">
        <f aca="false">VLOOKUP($A55,content_factors_backup!$A$2:$Q$468,M$525,FALSE())</f>
        <v>0.37</v>
      </c>
      <c r="N55" s="0" t="n">
        <f aca="false">VLOOKUP($A55,content_factors_backup!$A$2:$Q$468,N$525,FALSE())</f>
        <v>1.13</v>
      </c>
      <c r="O55" s="0" t="n">
        <f aca="false">VLOOKUP($A55,content_factors_backup!$A$2:$Q$468,O$525,FALSE())</f>
        <v>6</v>
      </c>
      <c r="P55" s="0" t="n">
        <f aca="false">VLOOKUP($A55,content_factors_backup!$A$2:$Q$468,P$525,FALSE())</f>
        <v>43</v>
      </c>
      <c r="Q55" s="0" t="n">
        <f aca="false">VLOOKUP($A55,content_factors_backup!$A$2:$Q$468,Q$525,FALSE())</f>
        <v>0.148</v>
      </c>
      <c r="R55" s="0" t="n">
        <f aca="false">VLOOKUP($A55,content_factors_backup!$A$2:$Q$468,R$525,FALSE())</f>
        <v>0</v>
      </c>
      <c r="S55" s="0" t="n">
        <f aca="false">VLOOKUP($A55,content_factors_backup!$A$2:$Q$468,S$525,FALSE())</f>
        <v>19</v>
      </c>
      <c r="T55" s="0" t="n">
        <f aca="false">VLOOKUP($A55,content_factors_backup!$A$2:$Q$468,T$525,FALSE())</f>
        <v>0</v>
      </c>
      <c r="U55" s="0" t="n">
        <f aca="false">VLOOKUP($A55,content_factors_backup!$A$2:$Q$468,U$525,FALSE())</f>
        <v>0</v>
      </c>
      <c r="V55" s="0" t="n">
        <f aca="false">VLOOKUP($A55,content_factors_backup!$A$2:$Q$468,V$525,FALSE())</f>
        <v>0</v>
      </c>
      <c r="W55" s="0" t="n">
        <f aca="false">VLOOKUP($A55,content_factors_backup!$A$2:$Q$468,W$525,FALSE())</f>
        <v>0</v>
      </c>
    </row>
    <row r="56" customFormat="false" ht="14.25" hidden="false" customHeight="false" outlineLevel="0" collapsed="false">
      <c r="A56" s="0" t="n">
        <v>116</v>
      </c>
      <c r="B56" s="0" t="s">
        <v>159</v>
      </c>
      <c r="C56" s="0" t="s">
        <v>160</v>
      </c>
      <c r="E56" s="0" t="s">
        <v>161</v>
      </c>
      <c r="F56" s="0" t="s">
        <v>161</v>
      </c>
      <c r="G56" s="0" t="n">
        <v>1510</v>
      </c>
      <c r="I56" s="0" t="n">
        <f aca="false">VLOOKUP($A56,content_factors_backup!$A$2:$Q$468,I$525,FALSE())</f>
        <v>22</v>
      </c>
      <c r="J56" s="0" t="n">
        <f aca="false">VLOOKUP($A56,content_factors_backup!$A$2:$Q$468,J$525,FALSE())</f>
        <v>79.5</v>
      </c>
      <c r="K56" s="0" t="n">
        <f aca="false">VLOOKUP($A56,content_factors_backup!$A$2:$Q$468,K$525,FALSE())</f>
        <v>2</v>
      </c>
      <c r="L56" s="0" t="n">
        <f aca="false">VLOOKUP($A56,content_factors_backup!$A$2:$Q$468,L$525,FALSE())</f>
        <v>1.6</v>
      </c>
      <c r="M56" s="0" t="n">
        <f aca="false">VLOOKUP($A56,content_factors_backup!$A$2:$Q$468,M$525,FALSE())</f>
        <v>0.3375</v>
      </c>
      <c r="N56" s="0" t="n">
        <f aca="false">VLOOKUP($A56,content_factors_backup!$A$2:$Q$468,N$525,FALSE())</f>
        <v>1</v>
      </c>
      <c r="O56" s="0" t="n">
        <f aca="false">VLOOKUP($A56,content_factors_backup!$A$2:$Q$468,O$525,FALSE())</f>
        <v>8</v>
      </c>
      <c r="P56" s="0" t="n">
        <f aca="false">VLOOKUP($A56,content_factors_backup!$A$2:$Q$468,P$525,FALSE())</f>
        <v>17.5</v>
      </c>
      <c r="Q56" s="0" t="n">
        <f aca="false">VLOOKUP($A56,content_factors_backup!$A$2:$Q$468,Q$525,FALSE())</f>
        <v>0.06</v>
      </c>
      <c r="R56" s="0" t="n">
        <f aca="false">VLOOKUP($A56,content_factors_backup!$A$2:$Q$468,R$525,FALSE())</f>
        <v>14.5</v>
      </c>
      <c r="S56" s="0" t="n">
        <f aca="false">VLOOKUP($A56,content_factors_backup!$A$2:$Q$468,S$525,FALSE())</f>
        <v>412</v>
      </c>
      <c r="T56" s="0" t="n">
        <f aca="false">VLOOKUP($A56,content_factors_backup!$A$2:$Q$468,T$525,FALSE())</f>
        <v>0.00844451291968602</v>
      </c>
      <c r="U56" s="0" t="n">
        <f aca="false">VLOOKUP($A56,content_factors_backup!$A$2:$Q$468,U$525,FALSE())</f>
        <v>0</v>
      </c>
      <c r="V56" s="0" t="n">
        <f aca="false">VLOOKUP($A56,content_factors_backup!$A$2:$Q$468,V$525,FALSE())</f>
        <v>0</v>
      </c>
      <c r="W56" s="0" t="n">
        <f aca="false">VLOOKUP($A56,content_factors_backup!$A$2:$Q$468,W$525,FALSE())</f>
        <v>0</v>
      </c>
    </row>
    <row r="57" customFormat="false" ht="14.25" hidden="false" customHeight="false" outlineLevel="0" collapsed="false">
      <c r="A57" s="0" t="n">
        <v>117</v>
      </c>
      <c r="B57" s="0" t="s">
        <v>162</v>
      </c>
      <c r="C57" s="0" t="s">
        <v>163</v>
      </c>
      <c r="E57" s="0" t="s">
        <v>164</v>
      </c>
      <c r="F57" s="0" t="s">
        <v>164</v>
      </c>
      <c r="G57" s="0" t="n">
        <v>21392</v>
      </c>
      <c r="I57" s="0" t="n">
        <f aca="false">VLOOKUP($A57,content_factors_backup!$A$2:$Q$468,I$525,FALSE())</f>
        <v>92.4</v>
      </c>
      <c r="J57" s="0" t="n">
        <f aca="false">VLOOKUP($A57,content_factors_backup!$A$2:$Q$468,J$525,FALSE())</f>
        <v>357</v>
      </c>
      <c r="K57" s="0" t="n">
        <f aca="false">VLOOKUP($A57,content_factors_backup!$A$2:$Q$468,K$525,FALSE())</f>
        <v>6.9</v>
      </c>
      <c r="L57" s="0" t="n">
        <f aca="false">VLOOKUP($A57,content_factors_backup!$A$2:$Q$468,L$525,FALSE())</f>
        <v>5.9</v>
      </c>
      <c r="M57" s="0" t="n">
        <f aca="false">VLOOKUP($A57,content_factors_backup!$A$2:$Q$468,M$525,FALSE())</f>
        <v>0.54</v>
      </c>
      <c r="N57" s="0" t="n">
        <f aca="false">VLOOKUP($A57,content_factors_backup!$A$2:$Q$468,N$525,FALSE())</f>
        <v>1.38</v>
      </c>
      <c r="O57" s="0" t="n">
        <f aca="false">VLOOKUP($A57,content_factors_backup!$A$2:$Q$468,O$525,FALSE())</f>
        <v>65</v>
      </c>
      <c r="P57" s="0" t="n">
        <f aca="false">VLOOKUP($A57,content_factors_backup!$A$2:$Q$468,P$525,FALSE())</f>
        <v>25</v>
      </c>
      <c r="Q57" s="0" t="n">
        <f aca="false">VLOOKUP($A57,content_factors_backup!$A$2:$Q$468,Q$525,FALSE())</f>
        <v>0.051</v>
      </c>
      <c r="R57" s="0" t="n">
        <f aca="false">VLOOKUP($A57,content_factors_backup!$A$2:$Q$468,R$525,FALSE())</f>
        <v>39.5</v>
      </c>
      <c r="S57" s="0" t="n">
        <f aca="false">VLOOKUP($A57,content_factors_backup!$A$2:$Q$468,S$525,FALSE())</f>
        <v>1001</v>
      </c>
      <c r="T57" s="0" t="n">
        <f aca="false">VLOOKUP($A57,content_factors_backup!$A$2:$Q$468,T$525,FALSE())</f>
        <v>0.25</v>
      </c>
      <c r="U57" s="0" t="n">
        <f aca="false">VLOOKUP($A57,content_factors_backup!$A$2:$Q$468,U$525,FALSE())</f>
        <v>0</v>
      </c>
      <c r="V57" s="0" t="n">
        <f aca="false">VLOOKUP($A57,content_factors_backup!$A$2:$Q$468,V$525,FALSE())</f>
        <v>0</v>
      </c>
      <c r="W57" s="0" t="n">
        <f aca="false">VLOOKUP($A57,content_factors_backup!$A$2:$Q$468,W$525,FALSE())</f>
        <v>0</v>
      </c>
    </row>
    <row r="58" customFormat="false" ht="14.25" hidden="false" customHeight="false" outlineLevel="0" collapsed="false">
      <c r="A58" s="0" t="n">
        <v>118</v>
      </c>
      <c r="B58" s="0" t="s">
        <v>165</v>
      </c>
      <c r="C58" s="0" t="s">
        <v>166</v>
      </c>
      <c r="E58" s="0" t="n">
        <v>71010</v>
      </c>
      <c r="F58" s="0" t="n">
        <v>71010</v>
      </c>
      <c r="G58" s="0" t="n">
        <v>21313</v>
      </c>
      <c r="I58" s="0" t="n">
        <f aca="false">VLOOKUP($A58,content_factors_backup!$A$2:$Q$468,I$525,FALSE())</f>
        <v>30</v>
      </c>
      <c r="J58" s="0" t="n">
        <f aca="false">VLOOKUP($A58,content_factors_backup!$A$2:$Q$468,J$525,FALSE())</f>
        <v>79.5</v>
      </c>
      <c r="K58" s="0" t="n">
        <f aca="false">VLOOKUP($A58,content_factors_backup!$A$2:$Q$468,K$525,FALSE())</f>
        <v>2</v>
      </c>
      <c r="L58" s="0" t="n">
        <f aca="false">VLOOKUP($A58,content_factors_backup!$A$2:$Q$468,L$525,FALSE())</f>
        <v>1.6</v>
      </c>
      <c r="M58" s="0" t="n">
        <f aca="false">VLOOKUP($A58,content_factors_backup!$A$2:$Q$468,M$525,FALSE())</f>
        <v>0.3375</v>
      </c>
      <c r="N58" s="0" t="n">
        <f aca="false">VLOOKUP($A58,content_factors_backup!$A$2:$Q$468,N$525,FALSE())</f>
        <v>1</v>
      </c>
      <c r="O58" s="0" t="n">
        <f aca="false">VLOOKUP($A58,content_factors_backup!$A$2:$Q$468,O$525,FALSE())</f>
        <v>8</v>
      </c>
      <c r="P58" s="0" t="n">
        <f aca="false">VLOOKUP($A58,content_factors_backup!$A$2:$Q$468,P$525,FALSE())</f>
        <v>17.5</v>
      </c>
      <c r="Q58" s="0" t="n">
        <f aca="false">VLOOKUP($A58,content_factors_backup!$A$2:$Q$468,Q$525,FALSE())</f>
        <v>0.06</v>
      </c>
      <c r="R58" s="0" t="n">
        <f aca="false">VLOOKUP($A58,content_factors_backup!$A$2:$Q$468,R$525,FALSE())</f>
        <v>14.5</v>
      </c>
      <c r="S58" s="0" t="n">
        <f aca="false">VLOOKUP($A58,content_factors_backup!$A$2:$Q$468,S$525,FALSE())</f>
        <v>412</v>
      </c>
      <c r="T58" s="0" t="n">
        <f aca="false">VLOOKUP($A58,content_factors_backup!$A$2:$Q$468,T$525,FALSE())</f>
        <v>0.00844451291968602</v>
      </c>
      <c r="U58" s="0" t="n">
        <f aca="false">VLOOKUP($A58,content_factors_backup!$A$2:$Q$468,U$525,FALSE())</f>
        <v>0</v>
      </c>
      <c r="V58" s="0" t="n">
        <f aca="false">VLOOKUP($A58,content_factors_backup!$A$2:$Q$468,V$525,FALSE())</f>
        <v>0</v>
      </c>
      <c r="W58" s="0" t="n">
        <f aca="false">VLOOKUP($A58,content_factors_backup!$A$2:$Q$468,W$525,FALSE())</f>
        <v>0</v>
      </c>
    </row>
    <row r="59" customFormat="false" ht="14.25" hidden="false" customHeight="false" outlineLevel="0" collapsed="false">
      <c r="A59" s="0" t="n">
        <v>120</v>
      </c>
      <c r="B59" s="0" t="s">
        <v>167</v>
      </c>
      <c r="C59" s="0" t="s">
        <v>168</v>
      </c>
      <c r="E59" s="0" t="n">
        <v>230800</v>
      </c>
      <c r="F59" s="0" t="n">
        <v>230800</v>
      </c>
      <c r="G59" s="0" t="n">
        <v>39130.03</v>
      </c>
      <c r="I59" s="0" t="n">
        <f aca="false">VLOOKUP($A59,content_factors_backup!$A$2:$Q$468,I$525,FALSE())</f>
        <v>22</v>
      </c>
      <c r="J59" s="0" t="n">
        <f aca="false">VLOOKUP($A59,content_factors_backup!$A$2:$Q$468,J$525,FALSE())</f>
        <v>79.5</v>
      </c>
      <c r="K59" s="0" t="n">
        <f aca="false">VLOOKUP($A59,content_factors_backup!$A$2:$Q$468,K$525,FALSE())</f>
        <v>2</v>
      </c>
      <c r="L59" s="0" t="n">
        <f aca="false">VLOOKUP($A59,content_factors_backup!$A$2:$Q$468,L$525,FALSE())</f>
        <v>1.6</v>
      </c>
      <c r="M59" s="0" t="n">
        <f aca="false">VLOOKUP($A59,content_factors_backup!$A$2:$Q$468,M$525,FALSE())</f>
        <v>0.3375</v>
      </c>
      <c r="N59" s="0" t="n">
        <f aca="false">VLOOKUP($A59,content_factors_backup!$A$2:$Q$468,N$525,FALSE())</f>
        <v>1</v>
      </c>
      <c r="O59" s="0" t="n">
        <f aca="false">VLOOKUP($A59,content_factors_backup!$A$2:$Q$468,O$525,FALSE())</f>
        <v>8</v>
      </c>
      <c r="P59" s="0" t="n">
        <f aca="false">VLOOKUP($A59,content_factors_backup!$A$2:$Q$468,P$525,FALSE())</f>
        <v>17.5</v>
      </c>
      <c r="Q59" s="0" t="n">
        <f aca="false">VLOOKUP($A59,content_factors_backup!$A$2:$Q$468,Q$525,FALSE())</f>
        <v>0.06</v>
      </c>
      <c r="R59" s="0" t="n">
        <f aca="false">VLOOKUP($A59,content_factors_backup!$A$2:$Q$468,R$525,FALSE())</f>
        <v>14.5</v>
      </c>
      <c r="S59" s="0" t="n">
        <f aca="false">VLOOKUP($A59,content_factors_backup!$A$2:$Q$468,S$525,FALSE())</f>
        <v>412</v>
      </c>
      <c r="T59" s="0" t="n">
        <f aca="false">VLOOKUP($A59,content_factors_backup!$A$2:$Q$468,T$525,FALSE())</f>
        <v>0.00844451291968602</v>
      </c>
      <c r="U59" s="0" t="n">
        <f aca="false">VLOOKUP($A59,content_factors_backup!$A$2:$Q$468,U$525,FALSE())</f>
        <v>0</v>
      </c>
      <c r="V59" s="0" t="n">
        <f aca="false">VLOOKUP($A59,content_factors_backup!$A$2:$Q$468,V$525,FALSE())</f>
        <v>0</v>
      </c>
      <c r="W59" s="0" t="n">
        <f aca="false">VLOOKUP($A59,content_factors_backup!$A$2:$Q$468,W$525,FALSE())</f>
        <v>0</v>
      </c>
    </row>
    <row r="60" customFormat="false" ht="14.25" hidden="false" customHeight="false" outlineLevel="0" collapsed="false">
      <c r="A60" s="0" t="n">
        <v>122</v>
      </c>
      <c r="B60" s="0" t="s">
        <v>169</v>
      </c>
      <c r="C60" s="0" t="s">
        <v>170</v>
      </c>
      <c r="E60" s="0" t="n">
        <v>71420</v>
      </c>
      <c r="F60" s="0" t="n">
        <v>71420</v>
      </c>
      <c r="G60" s="0" t="n">
        <v>1530</v>
      </c>
      <c r="I60" s="0" t="n">
        <f aca="false">VLOOKUP($A60,content_factors_backup!$A$2:$Q$468,I$525,FALSE())</f>
        <v>30</v>
      </c>
      <c r="J60" s="0" t="n">
        <f aca="false">VLOOKUP($A60,content_factors_backup!$A$2:$Q$468,J$525,FALSE())</f>
        <v>112</v>
      </c>
      <c r="K60" s="0" t="n">
        <f aca="false">VLOOKUP($A60,content_factors_backup!$A$2:$Q$468,K$525,FALSE())</f>
        <v>1.425000002</v>
      </c>
      <c r="L60" s="0" t="n">
        <f aca="false">VLOOKUP($A60,content_factors_backup!$A$2:$Q$468,L$525,FALSE())</f>
        <v>2.7</v>
      </c>
      <c r="M60" s="0" t="n">
        <f aca="false">VLOOKUP($A60,content_factors_backup!$A$2:$Q$468,M$525,FALSE())</f>
        <v>0.25</v>
      </c>
      <c r="N60" s="0" t="n">
        <f aca="false">VLOOKUP($A60,content_factors_backup!$A$2:$Q$468,N$525,FALSE())</f>
        <v>1.1</v>
      </c>
      <c r="O60" s="0" t="n">
        <f aca="false">VLOOKUP($A60,content_factors_backup!$A$2:$Q$468,O$525,FALSE())</f>
        <v>33</v>
      </c>
      <c r="P60" s="0" t="n">
        <f aca="false">VLOOKUP($A60,content_factors_backup!$A$2:$Q$468,P$525,FALSE())</f>
        <v>52</v>
      </c>
      <c r="Q60" s="0" t="n">
        <f aca="false">VLOOKUP($A60,content_factors_backup!$A$2:$Q$468,Q$525,FALSE())</f>
        <v>0.04</v>
      </c>
      <c r="R60" s="0" t="n">
        <f aca="false">VLOOKUP($A60,content_factors_backup!$A$2:$Q$468,R$525,FALSE())</f>
        <v>12.3</v>
      </c>
      <c r="S60" s="0" t="n">
        <f aca="false">VLOOKUP($A60,content_factors_backup!$A$2:$Q$468,S$525,FALSE())</f>
        <v>330</v>
      </c>
      <c r="T60" s="0" t="n">
        <f aca="false">VLOOKUP($A60,content_factors_backup!$A$2:$Q$468,T$525,FALSE())</f>
        <v>0.71</v>
      </c>
      <c r="U60" s="0" t="n">
        <f aca="false">VLOOKUP($A60,content_factors_backup!$A$2:$Q$468,U$525,FALSE())</f>
        <v>0</v>
      </c>
      <c r="V60" s="0" t="n">
        <f aca="false">VLOOKUP($A60,content_factors_backup!$A$2:$Q$468,V$525,FALSE())</f>
        <v>2.3</v>
      </c>
      <c r="W60" s="0" t="n">
        <f aca="false">VLOOKUP($A60,content_factors_backup!$A$2:$Q$468,W$525,FALSE())</f>
        <v>95.29166665</v>
      </c>
    </row>
    <row r="61" customFormat="false" ht="14.25" hidden="false" customHeight="false" outlineLevel="0" collapsed="false">
      <c r="A61" s="0" t="n">
        <v>125</v>
      </c>
      <c r="B61" s="0" t="s">
        <v>171</v>
      </c>
      <c r="C61" s="0" t="s">
        <v>172</v>
      </c>
      <c r="E61" s="0" t="n">
        <v>71410</v>
      </c>
      <c r="F61" s="0" t="n">
        <v>71410</v>
      </c>
      <c r="G61" s="0" t="n">
        <v>1520.01</v>
      </c>
      <c r="I61" s="0" t="n">
        <f aca="false">VLOOKUP($A61,content_factors_backup!$A$2:$Q$468,I$525,FALSE())</f>
        <v>30</v>
      </c>
      <c r="J61" s="0" t="n">
        <f aca="false">VLOOKUP($A61,content_factors_backup!$A$2:$Q$468,J$525,FALSE())</f>
        <v>147.5</v>
      </c>
      <c r="K61" s="0" t="n">
        <f aca="false">VLOOKUP($A61,content_factors_backup!$A$2:$Q$468,K$525,FALSE())</f>
        <v>1.150000007</v>
      </c>
      <c r="L61" s="0" t="n">
        <f aca="false">VLOOKUP($A61,content_factors_backup!$A$2:$Q$468,L$525,FALSE())</f>
        <v>1.7</v>
      </c>
      <c r="M61" s="0" t="n">
        <f aca="false">VLOOKUP($A61,content_factors_backup!$A$2:$Q$468,M$525,FALSE())</f>
        <v>0.34</v>
      </c>
      <c r="N61" s="0" t="n">
        <f aca="false">VLOOKUP($A61,content_factors_backup!$A$2:$Q$468,N$525,FALSE())</f>
        <v>1</v>
      </c>
      <c r="O61" s="0" t="n">
        <f aca="false">VLOOKUP($A61,content_factors_backup!$A$2:$Q$468,O$525,FALSE())</f>
        <v>33.5</v>
      </c>
      <c r="P61" s="0" t="n">
        <f aca="false">VLOOKUP($A61,content_factors_backup!$A$2:$Q$468,P$525,FALSE())</f>
        <v>25.5</v>
      </c>
      <c r="Q61" s="0" t="n">
        <f aca="false">VLOOKUP($A61,content_factors_backup!$A$2:$Q$468,Q$525,FALSE())</f>
        <v>0.049</v>
      </c>
      <c r="R61" s="0" t="n">
        <f aca="false">VLOOKUP($A61,content_factors_backup!$A$2:$Q$468,R$525,FALSE())</f>
        <v>23.7</v>
      </c>
      <c r="S61" s="0" t="n">
        <f aca="false">VLOOKUP($A61,content_factors_backup!$A$2:$Q$468,S$525,FALSE())</f>
        <v>271</v>
      </c>
      <c r="T61" s="0" t="n">
        <f aca="false">VLOOKUP($A61,content_factors_backup!$A$2:$Q$468,T$525,FALSE())</f>
        <v>0.19</v>
      </c>
      <c r="U61" s="0" t="n">
        <f aca="false">VLOOKUP($A61,content_factors_backup!$A$2:$Q$468,U$525,FALSE())</f>
        <v>0</v>
      </c>
      <c r="V61" s="0" t="n">
        <f aca="false">VLOOKUP($A61,content_factors_backup!$A$2:$Q$468,V$525,FALSE())</f>
        <v>1.9</v>
      </c>
      <c r="W61" s="0" t="n">
        <f aca="false">VLOOKUP($A61,content_factors_backup!$A$2:$Q$468,W$525,FALSE())</f>
        <v>6</v>
      </c>
    </row>
    <row r="62" customFormat="false" ht="14.25" hidden="false" customHeight="false" outlineLevel="0" collapsed="false">
      <c r="A62" s="0" t="n">
        <v>126</v>
      </c>
      <c r="B62" s="0" t="s">
        <v>173</v>
      </c>
      <c r="C62" s="0" t="s">
        <v>174</v>
      </c>
      <c r="E62" s="0" t="n">
        <v>110620</v>
      </c>
      <c r="F62" s="0" t="n">
        <v>110620</v>
      </c>
      <c r="G62" s="0" t="n">
        <v>23170.01</v>
      </c>
      <c r="I62" s="0" t="n">
        <f aca="false">VLOOKUP($A62,content_factors_backup!$A$2:$Q$468,I$525,FALSE())</f>
        <v>88</v>
      </c>
      <c r="J62" s="0" t="e">
        <f aca="false">VLOOKUP($A62,content_factors_backup!$A$2:$Q$468,J$525,FALSE())</f>
        <v>#N/A</v>
      </c>
      <c r="K62" s="0" t="e">
        <f aca="false">VLOOKUP($A62,content_factors_backup!$A$2:$Q$468,K$525,FALSE())</f>
        <v>#N/A</v>
      </c>
      <c r="L62" s="0" t="e">
        <f aca="false">VLOOKUP($A62,content_factors_backup!$A$2:$Q$468,L$525,FALSE())</f>
        <v>#N/A</v>
      </c>
      <c r="M62" s="0" t="e">
        <f aca="false">VLOOKUP($A62,content_factors_backup!$A$2:$Q$468,M$525,FALSE())</f>
        <v>#N/A</v>
      </c>
      <c r="N62" s="0" t="e">
        <f aca="false">VLOOKUP($A62,content_factors_backup!$A$2:$Q$468,N$525,FALSE())</f>
        <v>#N/A</v>
      </c>
      <c r="O62" s="0" t="e">
        <f aca="false">VLOOKUP($A62,content_factors_backup!$A$2:$Q$468,O$525,FALSE())</f>
        <v>#N/A</v>
      </c>
      <c r="P62" s="0" t="e">
        <f aca="false">VLOOKUP($A62,content_factors_backup!$A$2:$Q$468,P$525,FALSE())</f>
        <v>#N/A</v>
      </c>
      <c r="Q62" s="0" t="e">
        <f aca="false">VLOOKUP($A62,content_factors_backup!$A$2:$Q$468,Q$525,FALSE())</f>
        <v>#N/A</v>
      </c>
      <c r="R62" s="0" t="e">
        <f aca="false">VLOOKUP($A62,content_factors_backup!$A$2:$Q$468,R$525,FALSE())</f>
        <v>#N/A</v>
      </c>
      <c r="S62" s="0" t="e">
        <f aca="false">VLOOKUP($A62,content_factors_backup!$A$2:$Q$468,S$525,FALSE())</f>
        <v>#N/A</v>
      </c>
      <c r="T62" s="0" t="e">
        <f aca="false">VLOOKUP($A62,content_factors_backup!$A$2:$Q$468,T$525,FALSE())</f>
        <v>#N/A</v>
      </c>
      <c r="U62" s="0" t="e">
        <f aca="false">VLOOKUP($A62,content_factors_backup!$A$2:$Q$468,U$525,FALSE())</f>
        <v>#N/A</v>
      </c>
      <c r="V62" s="0" t="e">
        <f aca="false">VLOOKUP($A62,content_factors_backup!$A$2:$Q$468,V$525,FALSE())</f>
        <v>#N/A</v>
      </c>
      <c r="W62" s="0" t="e">
        <f aca="false">VLOOKUP($A62,content_factors_backup!$A$2:$Q$468,W$525,FALSE())</f>
        <v>#N/A</v>
      </c>
    </row>
    <row r="63" customFormat="false" ht="14.25" hidden="false" customHeight="false" outlineLevel="0" collapsed="false">
      <c r="A63" s="0" t="n">
        <v>128</v>
      </c>
      <c r="B63" s="0" t="s">
        <v>175</v>
      </c>
      <c r="C63" s="0" t="s">
        <v>176</v>
      </c>
      <c r="E63" s="0" t="n">
        <v>71410</v>
      </c>
      <c r="F63" s="0" t="n">
        <v>71410</v>
      </c>
      <c r="G63" s="0" t="n">
        <v>1520.02</v>
      </c>
      <c r="I63" s="0" t="n">
        <f aca="false">VLOOKUP($A63,content_factors_backup!$A$2:$Q$468,I$525,FALSE())</f>
        <v>90</v>
      </c>
      <c r="J63" s="0" t="n">
        <f aca="false">VLOOKUP($A63,content_factors_backup!$A$2:$Q$468,J$525,FALSE())</f>
        <v>147.5</v>
      </c>
      <c r="K63" s="0" t="n">
        <f aca="false">VLOOKUP($A63,content_factors_backup!$A$2:$Q$468,K$525,FALSE())</f>
        <v>1.150000007</v>
      </c>
      <c r="L63" s="0" t="n">
        <f aca="false">VLOOKUP($A63,content_factors_backup!$A$2:$Q$468,L$525,FALSE())</f>
        <v>1.7</v>
      </c>
      <c r="M63" s="0" t="n">
        <f aca="false">VLOOKUP($A63,content_factors_backup!$A$2:$Q$468,M$525,FALSE())</f>
        <v>0.34</v>
      </c>
      <c r="N63" s="0" t="n">
        <f aca="false">VLOOKUP($A63,content_factors_backup!$A$2:$Q$468,N$525,FALSE())</f>
        <v>1</v>
      </c>
      <c r="O63" s="0" t="n">
        <f aca="false">VLOOKUP($A63,content_factors_backup!$A$2:$Q$468,O$525,FALSE())</f>
        <v>33.5</v>
      </c>
      <c r="P63" s="0" t="n">
        <f aca="false">VLOOKUP($A63,content_factors_backup!$A$2:$Q$468,P$525,FALSE())</f>
        <v>25.5</v>
      </c>
      <c r="Q63" s="0" t="n">
        <f aca="false">VLOOKUP($A63,content_factors_backup!$A$2:$Q$468,Q$525,FALSE())</f>
        <v>0.049</v>
      </c>
      <c r="R63" s="0" t="n">
        <f aca="false">VLOOKUP($A63,content_factors_backup!$A$2:$Q$468,R$525,FALSE())</f>
        <v>23.7</v>
      </c>
      <c r="S63" s="0" t="n">
        <f aca="false">VLOOKUP($A63,content_factors_backup!$A$2:$Q$468,S$525,FALSE())</f>
        <v>271</v>
      </c>
      <c r="T63" s="0" t="n">
        <f aca="false">VLOOKUP($A63,content_factors_backup!$A$2:$Q$468,T$525,FALSE())</f>
        <v>0.19</v>
      </c>
      <c r="U63" s="0" t="n">
        <f aca="false">VLOOKUP($A63,content_factors_backup!$A$2:$Q$468,U$525,FALSE())</f>
        <v>0</v>
      </c>
      <c r="V63" s="0" t="n">
        <f aca="false">VLOOKUP($A63,content_factors_backup!$A$2:$Q$468,V$525,FALSE())</f>
        <v>1.9</v>
      </c>
      <c r="W63" s="0" t="n">
        <f aca="false">VLOOKUP($A63,content_factors_backup!$A$2:$Q$468,W$525,FALSE())</f>
        <v>6</v>
      </c>
    </row>
    <row r="64" customFormat="false" ht="14.25" hidden="false" customHeight="false" outlineLevel="0" collapsed="false">
      <c r="A64" s="0" t="n">
        <v>129</v>
      </c>
      <c r="B64" s="0" t="s">
        <v>177</v>
      </c>
      <c r="C64" s="0" t="s">
        <v>178</v>
      </c>
      <c r="E64" s="0" t="n">
        <v>110814</v>
      </c>
      <c r="F64" s="0" t="n">
        <v>110814</v>
      </c>
      <c r="G64" s="0" t="n">
        <v>23220.06</v>
      </c>
      <c r="I64" s="0" t="n">
        <f aca="false">VLOOKUP($A64,content_factors_backup!$A$2:$Q$468,I$525,FALSE())</f>
        <v>90</v>
      </c>
      <c r="J64" s="0" t="n">
        <f aca="false">VLOOKUP($A64,content_factors_backup!$A$2:$Q$468,J$525,FALSE())</f>
        <v>147.5</v>
      </c>
      <c r="K64" s="0" t="n">
        <f aca="false">VLOOKUP($A64,content_factors_backup!$A$2:$Q$468,K$525,FALSE())</f>
        <v>1.150000007</v>
      </c>
      <c r="L64" s="0" t="n">
        <f aca="false">VLOOKUP($A64,content_factors_backup!$A$2:$Q$468,L$525,FALSE())</f>
        <v>1.7</v>
      </c>
      <c r="M64" s="0" t="n">
        <f aca="false">VLOOKUP($A64,content_factors_backup!$A$2:$Q$468,M$525,FALSE())</f>
        <v>0.34</v>
      </c>
      <c r="N64" s="0" t="n">
        <f aca="false">VLOOKUP($A64,content_factors_backup!$A$2:$Q$468,N$525,FALSE())</f>
        <v>1</v>
      </c>
      <c r="O64" s="0" t="n">
        <f aca="false">VLOOKUP($A64,content_factors_backup!$A$2:$Q$468,O$525,FALSE())</f>
        <v>33.5</v>
      </c>
      <c r="P64" s="0" t="n">
        <f aca="false">VLOOKUP($A64,content_factors_backup!$A$2:$Q$468,P$525,FALSE())</f>
        <v>25.5</v>
      </c>
      <c r="Q64" s="0" t="n">
        <f aca="false">VLOOKUP($A64,content_factors_backup!$A$2:$Q$468,Q$525,FALSE())</f>
        <v>0.049</v>
      </c>
      <c r="R64" s="0" t="n">
        <f aca="false">VLOOKUP($A64,content_factors_backup!$A$2:$Q$468,R$525,FALSE())</f>
        <v>23.7</v>
      </c>
      <c r="S64" s="0" t="n">
        <f aca="false">VLOOKUP($A64,content_factors_backup!$A$2:$Q$468,S$525,FALSE())</f>
        <v>271</v>
      </c>
      <c r="T64" s="0" t="n">
        <f aca="false">VLOOKUP($A64,content_factors_backup!$A$2:$Q$468,T$525,FALSE())</f>
        <v>0.19</v>
      </c>
      <c r="U64" s="0" t="n">
        <f aca="false">VLOOKUP($A64,content_factors_backup!$A$2:$Q$468,U$525,FALSE())</f>
        <v>0</v>
      </c>
      <c r="V64" s="0" t="n">
        <f aca="false">VLOOKUP($A64,content_factors_backup!$A$2:$Q$468,V$525,FALSE())</f>
        <v>1.9</v>
      </c>
      <c r="W64" s="0" t="n">
        <f aca="false">VLOOKUP($A64,content_factors_backup!$A$2:$Q$468,W$525,FALSE())</f>
        <v>6</v>
      </c>
    </row>
    <row r="65" customFormat="false" ht="14.25" hidden="false" customHeight="false" outlineLevel="0" collapsed="false">
      <c r="A65" s="0" t="n">
        <v>135</v>
      </c>
      <c r="B65" s="0" t="s">
        <v>179</v>
      </c>
      <c r="C65" s="0" t="s">
        <v>180</v>
      </c>
      <c r="E65" s="0" t="n">
        <v>71490</v>
      </c>
      <c r="F65" s="0" t="n">
        <v>71450</v>
      </c>
      <c r="G65" s="0" t="n">
        <v>1591</v>
      </c>
      <c r="I65" s="0" t="n">
        <f aca="false">VLOOKUP($A65,content_factors_backup!$A$2:$Q$468,I$525,FALSE())</f>
        <v>50</v>
      </c>
      <c r="J65" s="0" t="e">
        <f aca="false">VLOOKUP($A65,content_factors_backup!$A$2:$Q$468,J$525,FALSE())</f>
        <v>#N/A</v>
      </c>
      <c r="K65" s="0" t="e">
        <f aca="false">VLOOKUP($A65,content_factors_backup!$A$2:$Q$468,K$525,FALSE())</f>
        <v>#N/A</v>
      </c>
      <c r="L65" s="0" t="e">
        <f aca="false">VLOOKUP($A65,content_factors_backup!$A$2:$Q$468,L$525,FALSE())</f>
        <v>#N/A</v>
      </c>
      <c r="M65" s="0" t="e">
        <f aca="false">VLOOKUP($A65,content_factors_backup!$A$2:$Q$468,M$525,FALSE())</f>
        <v>#N/A</v>
      </c>
      <c r="N65" s="0" t="e">
        <f aca="false">VLOOKUP($A65,content_factors_backup!$A$2:$Q$468,N$525,FALSE())</f>
        <v>#N/A</v>
      </c>
      <c r="O65" s="0" t="e">
        <f aca="false">VLOOKUP($A65,content_factors_backup!$A$2:$Q$468,O$525,FALSE())</f>
        <v>#N/A</v>
      </c>
      <c r="P65" s="0" t="e">
        <f aca="false">VLOOKUP($A65,content_factors_backup!$A$2:$Q$468,P$525,FALSE())</f>
        <v>#N/A</v>
      </c>
      <c r="Q65" s="0" t="e">
        <f aca="false">VLOOKUP($A65,content_factors_backup!$A$2:$Q$468,Q$525,FALSE())</f>
        <v>#N/A</v>
      </c>
      <c r="R65" s="0" t="e">
        <f aca="false">VLOOKUP($A65,content_factors_backup!$A$2:$Q$468,R$525,FALSE())</f>
        <v>#N/A</v>
      </c>
      <c r="S65" s="0" t="e">
        <f aca="false">VLOOKUP($A65,content_factors_backup!$A$2:$Q$468,S$525,FALSE())</f>
        <v>#N/A</v>
      </c>
      <c r="T65" s="0" t="e">
        <f aca="false">VLOOKUP($A65,content_factors_backup!$A$2:$Q$468,T$525,FALSE())</f>
        <v>#N/A</v>
      </c>
      <c r="U65" s="0" t="e">
        <f aca="false">VLOOKUP($A65,content_factors_backup!$A$2:$Q$468,U$525,FALSE())</f>
        <v>#N/A</v>
      </c>
      <c r="V65" s="0" t="e">
        <f aca="false">VLOOKUP($A65,content_factors_backup!$A$2:$Q$468,V$525,FALSE())</f>
        <v>#N/A</v>
      </c>
      <c r="W65" s="0" t="e">
        <f aca="false">VLOOKUP($A65,content_factors_backup!$A$2:$Q$468,W$525,FALSE())</f>
        <v>#N/A</v>
      </c>
    </row>
    <row r="66" customFormat="false" ht="14.25" hidden="false" customHeight="false" outlineLevel="0" collapsed="false">
      <c r="A66" s="0" t="n">
        <v>136</v>
      </c>
      <c r="B66" s="0" t="s">
        <v>181</v>
      </c>
      <c r="C66" s="0" t="s">
        <v>182</v>
      </c>
      <c r="E66" s="0" t="n">
        <v>71490</v>
      </c>
      <c r="F66" s="0" t="n">
        <v>71440</v>
      </c>
      <c r="G66" s="0" t="n">
        <v>1550</v>
      </c>
      <c r="I66" s="0" t="n">
        <f aca="false">VLOOKUP($A66,content_factors_backup!$A$2:$Q$468,I$525,FALSE())</f>
        <v>50</v>
      </c>
      <c r="J66" s="0" t="e">
        <f aca="false">VLOOKUP($A66,content_factors_backup!$A$2:$Q$468,J$525,FALSE())</f>
        <v>#N/A</v>
      </c>
      <c r="K66" s="0" t="e">
        <f aca="false">VLOOKUP($A66,content_factors_backup!$A$2:$Q$468,K$525,FALSE())</f>
        <v>#N/A</v>
      </c>
      <c r="L66" s="0" t="e">
        <f aca="false">VLOOKUP($A66,content_factors_backup!$A$2:$Q$468,L$525,FALSE())</f>
        <v>#N/A</v>
      </c>
      <c r="M66" s="0" t="e">
        <f aca="false">VLOOKUP($A66,content_factors_backup!$A$2:$Q$468,M$525,FALSE())</f>
        <v>#N/A</v>
      </c>
      <c r="N66" s="0" t="e">
        <f aca="false">VLOOKUP($A66,content_factors_backup!$A$2:$Q$468,N$525,FALSE())</f>
        <v>#N/A</v>
      </c>
      <c r="O66" s="0" t="e">
        <f aca="false">VLOOKUP($A66,content_factors_backup!$A$2:$Q$468,O$525,FALSE())</f>
        <v>#N/A</v>
      </c>
      <c r="P66" s="0" t="e">
        <f aca="false">VLOOKUP($A66,content_factors_backup!$A$2:$Q$468,P$525,FALSE())</f>
        <v>#N/A</v>
      </c>
      <c r="Q66" s="0" t="e">
        <f aca="false">VLOOKUP($A66,content_factors_backup!$A$2:$Q$468,Q$525,FALSE())</f>
        <v>#N/A</v>
      </c>
      <c r="R66" s="0" t="e">
        <f aca="false">VLOOKUP($A66,content_factors_backup!$A$2:$Q$468,R$525,FALSE())</f>
        <v>#N/A</v>
      </c>
      <c r="S66" s="0" t="e">
        <f aca="false">VLOOKUP($A66,content_factors_backup!$A$2:$Q$468,S$525,FALSE())</f>
        <v>#N/A</v>
      </c>
      <c r="T66" s="0" t="e">
        <f aca="false">VLOOKUP($A66,content_factors_backup!$A$2:$Q$468,T$525,FALSE())</f>
        <v>#N/A</v>
      </c>
      <c r="U66" s="0" t="e">
        <f aca="false">VLOOKUP($A66,content_factors_backup!$A$2:$Q$468,U$525,FALSE())</f>
        <v>#N/A</v>
      </c>
      <c r="V66" s="0" t="e">
        <f aca="false">VLOOKUP($A66,content_factors_backup!$A$2:$Q$468,V$525,FALSE())</f>
        <v>#N/A</v>
      </c>
      <c r="W66" s="0" t="e">
        <f aca="false">VLOOKUP($A66,content_factors_backup!$A$2:$Q$468,W$525,FALSE())</f>
        <v>#N/A</v>
      </c>
    </row>
    <row r="67" customFormat="false" ht="14.25" hidden="false" customHeight="false" outlineLevel="0" collapsed="false">
      <c r="A67" s="0" t="n">
        <v>137</v>
      </c>
      <c r="B67" s="0" t="s">
        <v>183</v>
      </c>
      <c r="C67" s="0" t="s">
        <v>184</v>
      </c>
      <c r="E67" s="0" t="n">
        <v>71490</v>
      </c>
      <c r="F67" s="0" t="n">
        <v>71430</v>
      </c>
      <c r="G67" s="0" t="n">
        <v>1540</v>
      </c>
      <c r="I67" s="0" t="n">
        <f aca="false">VLOOKUP($A67,content_factors_backup!$A$2:$Q$468,I$525,FALSE())</f>
        <v>26</v>
      </c>
      <c r="J67" s="0" t="n">
        <f aca="false">VLOOKUP($A67,content_factors_backup!$A$2:$Q$468,J$525,FALSE())</f>
        <v>112</v>
      </c>
      <c r="K67" s="0" t="n">
        <f aca="false">VLOOKUP($A67,content_factors_backup!$A$2:$Q$468,K$525,FALSE())</f>
        <v>1.9</v>
      </c>
      <c r="L67" s="0" t="n">
        <f aca="false">VLOOKUP($A67,content_factors_backup!$A$2:$Q$468,L$525,FALSE())</f>
        <v>1</v>
      </c>
      <c r="M67" s="0" t="n">
        <f aca="false">VLOOKUP($A67,content_factors_backup!$A$2:$Q$468,M$525,FALSE())</f>
        <v>0.325</v>
      </c>
      <c r="N67" s="0" t="n">
        <f aca="false">VLOOKUP($A67,content_factors_backup!$A$2:$Q$468,N$525,FALSE())</f>
        <v>0.8</v>
      </c>
      <c r="O67" s="0" t="n">
        <f aca="false">VLOOKUP($A67,content_factors_backup!$A$2:$Q$468,O$525,FALSE())</f>
        <v>26.903834375</v>
      </c>
      <c r="P67" s="0" t="n">
        <f aca="false">VLOOKUP($A67,content_factors_backup!$A$2:$Q$468,P$525,FALSE())</f>
        <v>26</v>
      </c>
      <c r="Q67" s="0" t="n">
        <f aca="false">VLOOKUP($A67,content_factors_backup!$A$2:$Q$468,Q$525,FALSE())</f>
        <v>0.03</v>
      </c>
      <c r="R67" s="0" t="n">
        <f aca="false">VLOOKUP($A67,content_factors_backup!$A$2:$Q$468,R$525,FALSE())</f>
        <v>16.5</v>
      </c>
      <c r="S67" s="0" t="n">
        <f aca="false">VLOOKUP($A67,content_factors_backup!$A$2:$Q$468,S$525,FALSE())</f>
        <v>816</v>
      </c>
      <c r="T67" s="0" t="n">
        <f aca="false">VLOOKUP($A67,content_factors_backup!$A$2:$Q$468,T$525,FALSE())</f>
        <v>0.34</v>
      </c>
      <c r="U67" s="0" t="n">
        <f aca="false">VLOOKUP($A67,content_factors_backup!$A$2:$Q$468,U$525,FALSE())</f>
        <v>0</v>
      </c>
      <c r="V67" s="0" t="n">
        <f aca="false">VLOOKUP($A67,content_factors_backup!$A$2:$Q$468,V$525,FALSE())</f>
        <v>2.3</v>
      </c>
      <c r="W67" s="0" t="n">
        <f aca="false">VLOOKUP($A67,content_factors_backup!$A$2:$Q$468,W$525,FALSE())</f>
        <v>0.833333333</v>
      </c>
    </row>
    <row r="68" customFormat="false" ht="14.25" hidden="false" customHeight="false" outlineLevel="0" collapsed="false">
      <c r="A68" s="0" t="n">
        <v>149</v>
      </c>
      <c r="B68" s="0" t="s">
        <v>185</v>
      </c>
      <c r="C68" s="0" t="s">
        <v>186</v>
      </c>
      <c r="E68" s="0" t="n">
        <v>71490</v>
      </c>
      <c r="F68" s="0" t="n">
        <v>71490</v>
      </c>
      <c r="G68" s="0" t="n">
        <v>1599.1</v>
      </c>
      <c r="I68" s="0" t="n">
        <f aca="false">VLOOKUP($A68,content_factors_backup!$A$2:$Q$468,I$525,FALSE())</f>
        <v>25</v>
      </c>
      <c r="J68" s="0" t="n">
        <f aca="false">VLOOKUP($A68,content_factors_backup!$A$2:$Q$468,J$525,FALSE())</f>
        <v>95</v>
      </c>
      <c r="K68" s="0" t="n">
        <f aca="false">VLOOKUP($A68,content_factors_backup!$A$2:$Q$468,K$525,FALSE())</f>
        <v>1.5</v>
      </c>
      <c r="L68" s="0" t="n">
        <f aca="false">VLOOKUP($A68,content_factors_backup!$A$2:$Q$468,L$525,FALSE())</f>
        <v>1.2</v>
      </c>
      <c r="M68" s="0" t="n">
        <f aca="false">VLOOKUP($A68,content_factors_backup!$A$2:$Q$468,M$525,FALSE())</f>
        <v>0.28</v>
      </c>
      <c r="N68" s="0" t="n">
        <f aca="false">VLOOKUP($A68,content_factors_backup!$A$2:$Q$468,N$525,FALSE())</f>
        <v>1.25</v>
      </c>
      <c r="O68" s="0" t="n">
        <f aca="false">VLOOKUP($A68,content_factors_backup!$A$2:$Q$468,O$525,FALSE())</f>
        <v>23</v>
      </c>
      <c r="P68" s="0" t="n">
        <f aca="false">VLOOKUP($A68,content_factors_backup!$A$2:$Q$468,P$525,FALSE())</f>
        <v>14</v>
      </c>
      <c r="Q68" s="0" t="n">
        <f aca="false">VLOOKUP($A68,content_factors_backup!$A$2:$Q$468,Q$525,FALSE())</f>
        <v>0.0595</v>
      </c>
      <c r="R68" s="0" t="n">
        <f aca="false">VLOOKUP($A68,content_factors_backup!$A$2:$Q$468,R$525,FALSE())</f>
        <v>21.8</v>
      </c>
      <c r="S68" s="0" t="n">
        <f aca="false">VLOOKUP($A68,content_factors_backup!$A$2:$Q$468,S$525,FALSE())</f>
        <v>423.5</v>
      </c>
      <c r="T68" s="0" t="n">
        <f aca="false">VLOOKUP($A68,content_factors_backup!$A$2:$Q$468,T$525,FALSE())</f>
        <v>0.71</v>
      </c>
      <c r="U68" s="0" t="n">
        <f aca="false">VLOOKUP($A68,content_factors_backup!$A$2:$Q$468,U$525,FALSE())</f>
        <v>0</v>
      </c>
      <c r="V68" s="0" t="n">
        <f aca="false">VLOOKUP($A68,content_factors_backup!$A$2:$Q$468,V$525,FALSE())</f>
        <v>2.3</v>
      </c>
      <c r="W68" s="0" t="n">
        <f aca="false">VLOOKUP($A68,content_factors_backup!$A$2:$Q$468,W$525,FALSE())</f>
        <v>2</v>
      </c>
    </row>
    <row r="69" customFormat="false" ht="14.25" hidden="false" customHeight="false" outlineLevel="0" collapsed="false">
      <c r="A69" s="0" t="n">
        <v>150</v>
      </c>
      <c r="B69" s="0" t="s">
        <v>187</v>
      </c>
      <c r="C69" s="0" t="s">
        <v>188</v>
      </c>
      <c r="E69" s="0" t="n">
        <v>110620</v>
      </c>
      <c r="F69" s="0" t="n">
        <v>110620</v>
      </c>
      <c r="G69" s="0" t="n">
        <v>23170.02</v>
      </c>
      <c r="I69" s="0" t="n">
        <f aca="false">VLOOKUP($A69,content_factors_backup!$A$2:$Q$468,I$525,FALSE())</f>
        <v>90</v>
      </c>
      <c r="J69" s="0" t="n">
        <f aca="false">VLOOKUP($A69,content_factors_backup!$A$2:$Q$468,J$525,FALSE())</f>
        <v>347</v>
      </c>
      <c r="K69" s="0" t="n">
        <f aca="false">VLOOKUP($A69,content_factors_backup!$A$2:$Q$468,K$525,FALSE())</f>
        <v>1.05</v>
      </c>
      <c r="L69" s="0" t="n">
        <f aca="false">VLOOKUP($A69,content_factors_backup!$A$2:$Q$468,L$525,FALSE())</f>
        <v>1.6</v>
      </c>
      <c r="M69" s="0" t="n">
        <f aca="false">VLOOKUP($A69,content_factors_backup!$A$2:$Q$468,M$525,FALSE())</f>
        <v>0.18</v>
      </c>
      <c r="N69" s="0" t="n">
        <f aca="false">VLOOKUP($A69,content_factors_backup!$A$2:$Q$468,N$525,FALSE())</f>
        <v>1.75</v>
      </c>
      <c r="O69" s="0" t="n">
        <f aca="false">VLOOKUP($A69,content_factors_backup!$A$2:$Q$468,O$525,FALSE())</f>
        <v>34.5</v>
      </c>
      <c r="P69" s="0" t="n">
        <f aca="false">VLOOKUP($A69,content_factors_backup!$A$2:$Q$468,P$525,FALSE())</f>
        <v>25</v>
      </c>
      <c r="Q69" s="0" t="n">
        <f aca="false">VLOOKUP($A69,content_factors_backup!$A$2:$Q$468,Q$525,FALSE())</f>
        <v>0.065499999</v>
      </c>
      <c r="R69" s="0" t="n">
        <f aca="false">VLOOKUP($A69,content_factors_backup!$A$2:$Q$468,R$525,FALSE())</f>
        <v>39.5</v>
      </c>
      <c r="S69" s="0" t="n">
        <f aca="false">VLOOKUP($A69,content_factors_backup!$A$2:$Q$468,S$525,FALSE())</f>
        <v>20</v>
      </c>
      <c r="T69" s="0" t="n">
        <f aca="false">VLOOKUP($A69,content_factors_backup!$A$2:$Q$468,T$525,FALSE())</f>
        <v>0.25</v>
      </c>
      <c r="U69" s="0" t="n">
        <f aca="false">VLOOKUP($A69,content_factors_backup!$A$2:$Q$468,U$525,FALSE())</f>
        <v>0</v>
      </c>
      <c r="V69" s="0" t="n">
        <f aca="false">VLOOKUP($A69,content_factors_backup!$A$2:$Q$468,V$525,FALSE())</f>
        <v>0</v>
      </c>
      <c r="W69" s="0" t="n">
        <f aca="false">VLOOKUP($A69,content_factors_backup!$A$2:$Q$468,W$525,FALSE())</f>
        <v>0</v>
      </c>
    </row>
    <row r="70" customFormat="false" ht="14.25" hidden="false" customHeight="false" outlineLevel="0" collapsed="false">
      <c r="A70" s="0" t="n">
        <v>156</v>
      </c>
      <c r="B70" s="0" t="s">
        <v>189</v>
      </c>
      <c r="C70" s="0" t="s">
        <v>190</v>
      </c>
      <c r="E70" s="0" t="n">
        <v>121299</v>
      </c>
      <c r="F70" s="0" t="n">
        <v>121293</v>
      </c>
      <c r="G70" s="0" t="n">
        <v>1802</v>
      </c>
      <c r="I70" s="0" t="n">
        <f aca="false">VLOOKUP($A70,content_factors_backup!$A$2:$Q$468,I$525,FALSE())</f>
        <v>17.5</v>
      </c>
      <c r="J70" s="0" t="e">
        <f aca="false">VLOOKUP($A70,content_factors_backup!$A$2:$Q$468,J$525,FALSE())</f>
        <v>#N/A</v>
      </c>
      <c r="K70" s="0" t="e">
        <f aca="false">VLOOKUP($A70,content_factors_backup!$A$2:$Q$468,K$525,FALSE())</f>
        <v>#N/A</v>
      </c>
      <c r="L70" s="0" t="e">
        <f aca="false">VLOOKUP($A70,content_factors_backup!$A$2:$Q$468,L$525,FALSE())</f>
        <v>#N/A</v>
      </c>
      <c r="M70" s="0" t="e">
        <f aca="false">VLOOKUP($A70,content_factors_backup!$A$2:$Q$468,M$525,FALSE())</f>
        <v>#N/A</v>
      </c>
      <c r="N70" s="0" t="e">
        <f aca="false">VLOOKUP($A70,content_factors_backup!$A$2:$Q$468,N$525,FALSE())</f>
        <v>#N/A</v>
      </c>
      <c r="O70" s="0" t="e">
        <f aca="false">VLOOKUP($A70,content_factors_backup!$A$2:$Q$468,O$525,FALSE())</f>
        <v>#N/A</v>
      </c>
      <c r="P70" s="0" t="e">
        <f aca="false">VLOOKUP($A70,content_factors_backup!$A$2:$Q$468,P$525,FALSE())</f>
        <v>#N/A</v>
      </c>
      <c r="Q70" s="0" t="e">
        <f aca="false">VLOOKUP($A70,content_factors_backup!$A$2:$Q$468,Q$525,FALSE())</f>
        <v>#N/A</v>
      </c>
      <c r="R70" s="0" t="e">
        <f aca="false">VLOOKUP($A70,content_factors_backup!$A$2:$Q$468,R$525,FALSE())</f>
        <v>#N/A</v>
      </c>
      <c r="S70" s="0" t="e">
        <f aca="false">VLOOKUP($A70,content_factors_backup!$A$2:$Q$468,S$525,FALSE())</f>
        <v>#N/A</v>
      </c>
      <c r="T70" s="0" t="e">
        <f aca="false">VLOOKUP($A70,content_factors_backup!$A$2:$Q$468,T$525,FALSE())</f>
        <v>#N/A</v>
      </c>
      <c r="U70" s="0" t="e">
        <f aca="false">VLOOKUP($A70,content_factors_backup!$A$2:$Q$468,U$525,FALSE())</f>
        <v>#N/A</v>
      </c>
      <c r="V70" s="0" t="e">
        <f aca="false">VLOOKUP($A70,content_factors_backup!$A$2:$Q$468,V$525,FALSE())</f>
        <v>#N/A</v>
      </c>
      <c r="W70" s="0" t="e">
        <f aca="false">VLOOKUP($A70,content_factors_backup!$A$2:$Q$468,W$525,FALSE())</f>
        <v>#N/A</v>
      </c>
    </row>
    <row r="71" customFormat="false" ht="14.25" hidden="false" customHeight="false" outlineLevel="0" collapsed="false">
      <c r="A71" s="0" t="n">
        <v>157</v>
      </c>
      <c r="B71" s="0" t="s">
        <v>191</v>
      </c>
      <c r="C71" s="0" t="s">
        <v>192</v>
      </c>
      <c r="E71" s="0" t="n">
        <v>121291</v>
      </c>
      <c r="F71" s="0" t="n">
        <v>121291</v>
      </c>
      <c r="G71" s="0" t="n">
        <v>1801</v>
      </c>
      <c r="I71" s="0" t="n">
        <f aca="false">VLOOKUP($A71,content_factors_backup!$A$2:$Q$468,I$525,FALSE())</f>
        <v>23</v>
      </c>
      <c r="J71" s="0" t="n">
        <f aca="false">VLOOKUP($A71,content_factors_backup!$A$2:$Q$468,J$525,FALSE())</f>
        <v>44</v>
      </c>
      <c r="K71" s="0" t="n">
        <f aca="false">VLOOKUP($A71,content_factors_backup!$A$2:$Q$468,K$525,FALSE())</f>
        <v>1.68</v>
      </c>
      <c r="L71" s="0" t="n">
        <f aca="false">VLOOKUP($A71,content_factors_backup!$A$2:$Q$468,L$525,FALSE())</f>
        <v>2</v>
      </c>
      <c r="M71" s="0" t="n">
        <f aca="false">VLOOKUP($A71,content_factors_backup!$A$2:$Q$468,M$525,FALSE())</f>
        <v>0.35</v>
      </c>
      <c r="N71" s="0" t="n">
        <f aca="false">VLOOKUP($A71,content_factors_backup!$A$2:$Q$468,N$525,FALSE())</f>
        <v>0.79</v>
      </c>
      <c r="O71" s="0" t="n">
        <f aca="false">VLOOKUP($A71,content_factors_backup!$A$2:$Q$468,O$525,FALSE())</f>
        <v>16</v>
      </c>
      <c r="P71" s="0" t="n">
        <f aca="false">VLOOKUP($A71,content_factors_backup!$A$2:$Q$468,P$525,FALSE())</f>
        <v>80</v>
      </c>
      <c r="Q71" s="0" t="n">
        <f aca="false">VLOOKUP($A71,content_factors_backup!$A$2:$Q$468,Q$525,FALSE())</f>
        <v>0.04</v>
      </c>
      <c r="R71" s="0" t="n">
        <f aca="false">VLOOKUP($A71,content_factors_backup!$A$2:$Q$468,R$525,FALSE())</f>
        <v>6.3</v>
      </c>
      <c r="S71" s="0" t="n">
        <f aca="false">VLOOKUP($A71,content_factors_backup!$A$2:$Q$468,S$525,FALSE())</f>
        <v>305</v>
      </c>
      <c r="T71" s="0" t="n">
        <f aca="false">VLOOKUP($A71,content_factors_backup!$A$2:$Q$468,T$525,FALSE())</f>
        <v>0.04</v>
      </c>
      <c r="U71" s="0" t="n">
        <f aca="false">VLOOKUP($A71,content_factors_backup!$A$2:$Q$468,U$525,FALSE())</f>
        <v>0</v>
      </c>
      <c r="V71" s="0" t="n">
        <f aca="false">VLOOKUP($A71,content_factors_backup!$A$2:$Q$468,V$525,FALSE())</f>
        <v>0.2</v>
      </c>
      <c r="W71" s="0" t="n">
        <f aca="false">VLOOKUP($A71,content_factors_backup!$A$2:$Q$468,W$525,FALSE())</f>
        <v>2</v>
      </c>
    </row>
    <row r="72" customFormat="false" ht="14.25" hidden="false" customHeight="false" outlineLevel="0" collapsed="false">
      <c r="A72" s="0" t="n">
        <v>160</v>
      </c>
      <c r="B72" s="0" t="s">
        <v>193</v>
      </c>
      <c r="C72" s="0" t="s">
        <v>194</v>
      </c>
      <c r="E72" s="0" t="n">
        <v>170220</v>
      </c>
      <c r="F72" s="0" t="n">
        <v>170220</v>
      </c>
      <c r="G72" s="0" t="n">
        <v>23530</v>
      </c>
      <c r="I72" s="0" t="n">
        <f aca="false">VLOOKUP($A72,content_factors_backup!$A$2:$Q$468,I$525,FALSE())</f>
        <v>99.5</v>
      </c>
      <c r="J72" s="0" t="n">
        <f aca="false">VLOOKUP($A72,content_factors_backup!$A$2:$Q$468,J$525,FALSE())</f>
        <v>260</v>
      </c>
      <c r="K72" s="0" t="n">
        <f aca="false">VLOOKUP($A72,content_factors_backup!$A$2:$Q$468,K$525,FALSE())</f>
        <v>0.04</v>
      </c>
      <c r="L72" s="0" t="n">
        <f aca="false">VLOOKUP($A72,content_factors_backup!$A$2:$Q$468,L$525,FALSE())</f>
        <v>0</v>
      </c>
      <c r="M72" s="0" t="n">
        <f aca="false">VLOOKUP($A72,content_factors_backup!$A$2:$Q$468,M$525,FALSE())</f>
        <v>1.47</v>
      </c>
      <c r="N72" s="0" t="n">
        <f aca="false">VLOOKUP($A72,content_factors_backup!$A$2:$Q$468,N$525,FALSE())</f>
        <v>0.11</v>
      </c>
      <c r="O72" s="0" t="n">
        <f aca="false">VLOOKUP($A72,content_factors_backup!$A$2:$Q$468,O$525,FALSE())</f>
        <v>102</v>
      </c>
      <c r="P72" s="0" t="n">
        <f aca="false">VLOOKUP($A72,content_factors_backup!$A$2:$Q$468,P$525,FALSE())</f>
        <v>0</v>
      </c>
      <c r="Q72" s="0" t="n">
        <f aca="false">VLOOKUP($A72,content_factors_backup!$A$2:$Q$468,Q$525,FALSE())</f>
        <v>1.27</v>
      </c>
      <c r="R72" s="0" t="n">
        <f aca="false">VLOOKUP($A72,content_factors_backup!$A$2:$Q$468,R$525,FALSE())</f>
        <v>1.6</v>
      </c>
      <c r="S72" s="0" t="n">
        <f aca="false">VLOOKUP($A72,content_factors_backup!$A$2:$Q$468,S$525,FALSE())</f>
        <v>212</v>
      </c>
      <c r="T72" s="0" t="n">
        <f aca="false">VLOOKUP($A72,content_factors_backup!$A$2:$Q$468,T$525,FALSE())</f>
        <v>0</v>
      </c>
      <c r="U72" s="0" t="n">
        <f aca="false">VLOOKUP($A72,content_factors_backup!$A$2:$Q$468,U$525,FALSE())</f>
        <v>0</v>
      </c>
      <c r="V72" s="0" t="n">
        <f aca="false">VLOOKUP($A72,content_factors_backup!$A$2:$Q$468,V$525,FALSE())</f>
        <v>0</v>
      </c>
      <c r="W72" s="0" t="n">
        <f aca="false">VLOOKUP($A72,content_factors_backup!$A$2:$Q$468,W$525,FALSE())</f>
        <v>0</v>
      </c>
    </row>
    <row r="73" customFormat="false" ht="14.25" hidden="false" customHeight="false" outlineLevel="0" collapsed="false">
      <c r="A73" s="0" t="n">
        <v>161</v>
      </c>
      <c r="B73" s="0" t="s">
        <v>195</v>
      </c>
      <c r="C73" s="0" t="s">
        <v>196</v>
      </c>
      <c r="E73" s="0" t="n">
        <v>121299</v>
      </c>
      <c r="F73" s="0" t="n">
        <v>121299</v>
      </c>
      <c r="G73" s="0" t="n">
        <v>1809</v>
      </c>
      <c r="I73" s="0" t="n">
        <f aca="false">VLOOKUP($A73,content_factors_backup!$A$2:$Q$468,I$525,FALSE())</f>
        <v>17</v>
      </c>
      <c r="J73" s="0" t="n">
        <f aca="false">VLOOKUP($A73,content_factors_backup!$A$2:$Q$468,J$525,FALSE())</f>
        <v>387</v>
      </c>
      <c r="K73" s="0" t="n">
        <f aca="false">VLOOKUP($A73,content_factors_backup!$A$2:$Q$468,K$525,FALSE())</f>
        <v>0</v>
      </c>
      <c r="L73" s="0" t="n">
        <f aca="false">VLOOKUP($A73,content_factors_backup!$A$2:$Q$468,L$525,FALSE())</f>
        <v>1.55</v>
      </c>
      <c r="M73" s="0" t="n">
        <f aca="false">VLOOKUP($A73,content_factors_backup!$A$2:$Q$468,M$525,FALSE())</f>
        <v>0.02</v>
      </c>
      <c r="N73" s="0" t="n">
        <f aca="false">VLOOKUP($A73,content_factors_backup!$A$2:$Q$468,N$525,FALSE())</f>
        <v>0.37</v>
      </c>
      <c r="O73" s="0" t="n">
        <f aca="false">VLOOKUP($A73,content_factors_backup!$A$2:$Q$468,O$525,FALSE())</f>
        <v>8</v>
      </c>
      <c r="P73" s="0" t="n">
        <f aca="false">VLOOKUP($A73,content_factors_backup!$A$2:$Q$468,P$525,FALSE())</f>
        <v>0</v>
      </c>
      <c r="Q73" s="0" t="n">
        <f aca="false">VLOOKUP($A73,content_factors_backup!$A$2:$Q$468,Q$525,FALSE())</f>
        <v>0.0145</v>
      </c>
      <c r="R73" s="0" t="n">
        <f aca="false">VLOOKUP($A73,content_factors_backup!$A$2:$Q$468,R$525,FALSE())</f>
        <v>0</v>
      </c>
      <c r="S73" s="0" t="n">
        <f aca="false">VLOOKUP($A73,content_factors_backup!$A$2:$Q$468,S$525,FALSE())</f>
        <v>15.5</v>
      </c>
      <c r="T73" s="0" t="n">
        <f aca="false">VLOOKUP($A73,content_factors_backup!$A$2:$Q$468,T$525,FALSE())</f>
        <v>0</v>
      </c>
      <c r="U73" s="0" t="n">
        <f aca="false">VLOOKUP($A73,content_factors_backup!$A$2:$Q$468,U$525,FALSE())</f>
        <v>0</v>
      </c>
      <c r="V73" s="0" t="n">
        <f aca="false">VLOOKUP($A73,content_factors_backup!$A$2:$Q$468,V$525,FALSE())</f>
        <v>0</v>
      </c>
      <c r="W73" s="0" t="n">
        <f aca="false">VLOOKUP($A73,content_factors_backup!$A$2:$Q$468,W$525,FALSE())</f>
        <v>0</v>
      </c>
    </row>
    <row r="74" customFormat="false" ht="14.25" hidden="false" customHeight="false" outlineLevel="0" collapsed="false">
      <c r="A74" s="0" t="n">
        <v>162</v>
      </c>
      <c r="B74" s="0" t="s">
        <v>197</v>
      </c>
      <c r="C74" s="0" t="s">
        <v>198</v>
      </c>
      <c r="E74" s="0" t="s">
        <v>199</v>
      </c>
      <c r="F74" s="0" t="s">
        <v>200</v>
      </c>
      <c r="G74" s="0" t="s">
        <v>201</v>
      </c>
      <c r="I74" s="0" t="n">
        <f aca="false">VLOOKUP($A74,content_factors_backup!$A$2:$Q$468,I$525,FALSE())</f>
        <v>99.5</v>
      </c>
      <c r="J74" s="0" t="n">
        <f aca="false">VLOOKUP($A74,content_factors_backup!$A$2:$Q$468,J$525,FALSE())</f>
        <v>397.2</v>
      </c>
      <c r="K74" s="0" t="n">
        <f aca="false">VLOOKUP($A74,content_factors_backup!$A$2:$Q$468,K$525,FALSE())</f>
        <v>0</v>
      </c>
      <c r="L74" s="0" t="n">
        <f aca="false">VLOOKUP($A74,content_factors_backup!$A$2:$Q$468,L$525,FALSE())</f>
        <v>0</v>
      </c>
      <c r="M74" s="0" t="n">
        <f aca="false">VLOOKUP($A74,content_factors_backup!$A$2:$Q$468,M$525,FALSE())</f>
        <v>0.02</v>
      </c>
      <c r="N74" s="0" t="n">
        <f aca="false">VLOOKUP($A74,content_factors_backup!$A$2:$Q$468,N$525,FALSE())</f>
        <v>0.2</v>
      </c>
      <c r="O74" s="0" t="n">
        <f aca="false">VLOOKUP($A74,content_factors_backup!$A$2:$Q$468,O$525,FALSE())</f>
        <v>6</v>
      </c>
      <c r="P74" s="0" t="n">
        <f aca="false">VLOOKUP($A74,content_factors_backup!$A$2:$Q$468,P$525,FALSE())</f>
        <v>0</v>
      </c>
      <c r="Q74" s="0" t="n">
        <f aca="false">VLOOKUP($A74,content_factors_backup!$A$2:$Q$468,Q$525,FALSE())</f>
        <v>0.0195</v>
      </c>
      <c r="R74" s="0" t="n">
        <f aca="false">VLOOKUP($A74,content_factors_backup!$A$2:$Q$468,R$525,FALSE())</f>
        <v>0</v>
      </c>
      <c r="S74" s="0" t="n">
        <f aca="false">VLOOKUP($A74,content_factors_backup!$A$2:$Q$468,S$525,FALSE())</f>
        <v>3</v>
      </c>
      <c r="T74" s="0" t="n">
        <f aca="false">VLOOKUP($A74,content_factors_backup!$A$2:$Q$468,T$525,FALSE())</f>
        <v>0</v>
      </c>
      <c r="U74" s="0" t="n">
        <f aca="false">VLOOKUP($A74,content_factors_backup!$A$2:$Q$468,U$525,FALSE())</f>
        <v>0</v>
      </c>
      <c r="V74" s="0" t="n">
        <f aca="false">VLOOKUP($A74,content_factors_backup!$A$2:$Q$468,V$525,FALSE())</f>
        <v>0</v>
      </c>
      <c r="W74" s="0" t="n">
        <f aca="false">VLOOKUP($A74,content_factors_backup!$A$2:$Q$468,W$525,FALSE())</f>
        <v>0</v>
      </c>
    </row>
    <row r="75" customFormat="false" ht="14.25" hidden="false" customHeight="false" outlineLevel="0" collapsed="false">
      <c r="A75" s="0" t="n">
        <v>163</v>
      </c>
      <c r="B75" s="0" t="s">
        <v>202</v>
      </c>
      <c r="C75" s="0" t="s">
        <v>203</v>
      </c>
      <c r="E75" s="0" t="n">
        <v>170111</v>
      </c>
      <c r="F75" s="0" t="n">
        <v>170113</v>
      </c>
      <c r="G75" s="0" t="n">
        <v>23511.02</v>
      </c>
      <c r="I75" s="0" t="n">
        <f aca="false">VLOOKUP($A75,content_factors_backup!$A$2:$Q$468,I$525,FALSE())</f>
        <v>99.5</v>
      </c>
      <c r="J75" s="0" t="n">
        <f aca="false">VLOOKUP($A75,content_factors_backup!$A$2:$Q$468,J$525,FALSE())</f>
        <v>371</v>
      </c>
      <c r="K75" s="0" t="n">
        <f aca="false">VLOOKUP($A75,content_factors_backup!$A$2:$Q$468,K$525,FALSE())</f>
        <v>0.35</v>
      </c>
      <c r="L75" s="0" t="n">
        <f aca="false">VLOOKUP($A75,content_factors_backup!$A$2:$Q$468,L$525,FALSE())</f>
        <v>0</v>
      </c>
      <c r="M75" s="0" t="n">
        <f aca="false">VLOOKUP($A75,content_factors_backup!$A$2:$Q$468,M$525,FALSE())</f>
        <v>0.02</v>
      </c>
      <c r="N75" s="0" t="n">
        <f aca="false">VLOOKUP($A75,content_factors_backup!$A$2:$Q$468,N$525,FALSE())</f>
        <v>2.4</v>
      </c>
      <c r="O75" s="0" t="n">
        <f aca="false">VLOOKUP($A75,content_factors_backup!$A$2:$Q$468,O$525,FALSE())</f>
        <v>80</v>
      </c>
      <c r="P75" s="0" t="n">
        <f aca="false">VLOOKUP($A75,content_factors_backup!$A$2:$Q$468,P$525,FALSE())</f>
        <v>0</v>
      </c>
      <c r="Q75" s="0" t="n">
        <f aca="false">VLOOKUP($A75,content_factors_backup!$A$2:$Q$468,Q$525,FALSE())</f>
        <v>0.045</v>
      </c>
      <c r="R75" s="0" t="n">
        <f aca="false">VLOOKUP($A75,content_factors_backup!$A$2:$Q$468,R$525,FALSE())</f>
        <v>0</v>
      </c>
      <c r="S75" s="0" t="n">
        <f aca="false">VLOOKUP($A75,content_factors_backup!$A$2:$Q$468,S$525,FALSE())</f>
        <v>29</v>
      </c>
      <c r="T75" s="0" t="n">
        <f aca="false">VLOOKUP($A75,content_factors_backup!$A$2:$Q$468,T$525,FALSE())</f>
        <v>0</v>
      </c>
      <c r="U75" s="0" t="n">
        <f aca="false">VLOOKUP($A75,content_factors_backup!$A$2:$Q$468,U$525,FALSE())</f>
        <v>0</v>
      </c>
      <c r="V75" s="0" t="n">
        <f aca="false">VLOOKUP($A75,content_factors_backup!$A$2:$Q$468,V$525,FALSE())</f>
        <v>0</v>
      </c>
      <c r="W75" s="0" t="n">
        <f aca="false">VLOOKUP($A75,content_factors_backup!$A$2:$Q$468,W$525,FALSE())</f>
        <v>0</v>
      </c>
    </row>
    <row r="76" customFormat="false" ht="14.25" hidden="false" customHeight="false" outlineLevel="0" collapsed="false">
      <c r="A76" s="0" t="n">
        <v>164</v>
      </c>
      <c r="B76" s="0" t="s">
        <v>204</v>
      </c>
      <c r="C76" s="0" t="s">
        <v>205</v>
      </c>
      <c r="E76" s="0" t="s">
        <v>206</v>
      </c>
      <c r="F76" s="0" t="s">
        <v>206</v>
      </c>
      <c r="G76" s="0" t="n">
        <v>23520</v>
      </c>
      <c r="I76" s="0" t="n">
        <f aca="false">VLOOKUP($A76,content_factors_backup!$A$2:$Q$468,I$525,FALSE())</f>
        <v>99.5</v>
      </c>
      <c r="J76" s="0" t="n">
        <f aca="false">VLOOKUP($A76,content_factors_backup!$A$2:$Q$468,J$525,FALSE())</f>
        <v>397.2</v>
      </c>
      <c r="K76" s="0" t="n">
        <f aca="false">VLOOKUP($A76,content_factors_backup!$A$2:$Q$468,K$525,FALSE())</f>
        <v>0</v>
      </c>
      <c r="L76" s="0" t="n">
        <f aca="false">VLOOKUP($A76,content_factors_backup!$A$2:$Q$468,L$525,FALSE())</f>
        <v>0</v>
      </c>
      <c r="M76" s="0" t="n">
        <f aca="false">VLOOKUP($A76,content_factors_backup!$A$2:$Q$468,M$525,FALSE())</f>
        <v>0.02</v>
      </c>
      <c r="N76" s="0" t="n">
        <f aca="false">VLOOKUP($A76,content_factors_backup!$A$2:$Q$468,N$525,FALSE())</f>
        <v>0.2</v>
      </c>
      <c r="O76" s="0" t="n">
        <f aca="false">VLOOKUP($A76,content_factors_backup!$A$2:$Q$468,O$525,FALSE())</f>
        <v>6</v>
      </c>
      <c r="P76" s="0" t="n">
        <f aca="false">VLOOKUP($A76,content_factors_backup!$A$2:$Q$468,P$525,FALSE())</f>
        <v>0</v>
      </c>
      <c r="Q76" s="0" t="n">
        <f aca="false">VLOOKUP($A76,content_factors_backup!$A$2:$Q$468,Q$525,FALSE())</f>
        <v>0.0195</v>
      </c>
      <c r="R76" s="0" t="n">
        <f aca="false">VLOOKUP($A76,content_factors_backup!$A$2:$Q$468,R$525,FALSE())</f>
        <v>0</v>
      </c>
      <c r="S76" s="0" t="n">
        <f aca="false">VLOOKUP($A76,content_factors_backup!$A$2:$Q$468,S$525,FALSE())</f>
        <v>3</v>
      </c>
      <c r="T76" s="0" t="n">
        <f aca="false">VLOOKUP($A76,content_factors_backup!$A$2:$Q$468,T$525,FALSE())</f>
        <v>0</v>
      </c>
      <c r="U76" s="0" t="n">
        <f aca="false">VLOOKUP($A76,content_factors_backup!$A$2:$Q$468,U$525,FALSE())</f>
        <v>0</v>
      </c>
      <c r="V76" s="0" t="n">
        <f aca="false">VLOOKUP($A76,content_factors_backup!$A$2:$Q$468,V$525,FALSE())</f>
        <v>0</v>
      </c>
      <c r="W76" s="0" t="n">
        <f aca="false">VLOOKUP($A76,content_factors_backup!$A$2:$Q$468,W$525,FALSE())</f>
        <v>0</v>
      </c>
    </row>
    <row r="77" customFormat="false" ht="14.25" hidden="false" customHeight="false" outlineLevel="0" collapsed="false">
      <c r="A77" s="0" t="n">
        <v>165</v>
      </c>
      <c r="B77" s="0" t="s">
        <v>207</v>
      </c>
      <c r="C77" s="0" t="s">
        <v>208</v>
      </c>
      <c r="E77" s="0" t="s">
        <v>209</v>
      </c>
      <c r="F77" s="0" t="s">
        <v>209</v>
      </c>
      <c r="G77" s="0" t="n">
        <v>23540</v>
      </c>
      <c r="I77" s="0" t="n">
        <f aca="false">VLOOKUP($A77,content_factors_backup!$A$2:$Q$468,I$525,FALSE())</f>
        <v>76</v>
      </c>
      <c r="J77" s="0" t="n">
        <f aca="false">VLOOKUP($A77,content_factors_backup!$A$2:$Q$468,J$525,FALSE())</f>
        <v>290</v>
      </c>
      <c r="K77" s="0" t="n">
        <f aca="false">VLOOKUP($A77,content_factors_backup!$A$2:$Q$468,K$525,FALSE())</f>
        <v>0</v>
      </c>
      <c r="L77" s="0" t="n">
        <f aca="false">VLOOKUP($A77,content_factors_backup!$A$2:$Q$468,L$525,FALSE())</f>
        <v>0</v>
      </c>
      <c r="M77" s="0" t="n">
        <f aca="false">VLOOKUP($A77,content_factors_backup!$A$2:$Q$468,M$525,FALSE())</f>
        <v>0.29</v>
      </c>
      <c r="N77" s="0" t="n">
        <f aca="false">VLOOKUP($A77,content_factors_backup!$A$2:$Q$468,N$525,FALSE())</f>
        <v>4.72</v>
      </c>
      <c r="O77" s="0" t="n">
        <f aca="false">VLOOKUP($A77,content_factors_backup!$A$2:$Q$468,O$525,FALSE())</f>
        <v>205</v>
      </c>
      <c r="P77" s="0" t="n">
        <f aca="false">VLOOKUP($A77,content_factors_backup!$A$2:$Q$468,P$525,FALSE())</f>
        <v>0</v>
      </c>
      <c r="Q77" s="0" t="n">
        <f aca="false">VLOOKUP($A77,content_factors_backup!$A$2:$Q$468,Q$525,FALSE())</f>
        <v>0.002</v>
      </c>
      <c r="R77" s="0" t="n">
        <f aca="false">VLOOKUP($A77,content_factors_backup!$A$2:$Q$468,R$525,FALSE())</f>
        <v>13.3</v>
      </c>
      <c r="S77" s="0" t="n">
        <f aca="false">VLOOKUP($A77,content_factors_backup!$A$2:$Q$468,S$525,FALSE())</f>
        <v>1464</v>
      </c>
      <c r="T77" s="0" t="n">
        <f aca="false">VLOOKUP($A77,content_factors_backup!$A$2:$Q$468,T$525,FALSE())</f>
        <v>0</v>
      </c>
      <c r="U77" s="0" t="n">
        <f aca="false">VLOOKUP($A77,content_factors_backup!$A$2:$Q$468,U$525,FALSE())</f>
        <v>0</v>
      </c>
      <c r="V77" s="0" t="n">
        <f aca="false">VLOOKUP($A77,content_factors_backup!$A$2:$Q$468,V$525,FALSE())</f>
        <v>0</v>
      </c>
      <c r="W77" s="0" t="n">
        <f aca="false">VLOOKUP($A77,content_factors_backup!$A$2:$Q$468,W$525,FALSE())</f>
        <v>0</v>
      </c>
    </row>
    <row r="78" customFormat="false" ht="14.25" hidden="false" customHeight="false" outlineLevel="0" collapsed="false">
      <c r="A78" s="0" t="n">
        <v>166</v>
      </c>
      <c r="B78" s="0" t="s">
        <v>210</v>
      </c>
      <c r="C78" s="0" t="s">
        <v>211</v>
      </c>
      <c r="E78" s="0" t="n">
        <v>170260</v>
      </c>
      <c r="F78" s="0" t="n">
        <v>170260</v>
      </c>
      <c r="G78" s="0" t="n">
        <v>23210.03</v>
      </c>
      <c r="I78" s="0" t="n">
        <f aca="false">VLOOKUP($A78,content_factors_backup!$A$2:$Q$468,I$525,FALSE())</f>
        <v>76</v>
      </c>
      <c r="J78" s="0" t="n">
        <f aca="false">VLOOKUP($A78,content_factors_backup!$A$2:$Q$468,J$525,FALSE())</f>
        <v>310</v>
      </c>
      <c r="K78" s="0" t="n">
        <f aca="false">VLOOKUP($A78,content_factors_backup!$A$2:$Q$468,K$525,FALSE())</f>
        <v>0.09</v>
      </c>
      <c r="L78" s="0" t="n">
        <f aca="false">VLOOKUP($A78,content_factors_backup!$A$2:$Q$468,L$525,FALSE())</f>
        <v>0.2</v>
      </c>
      <c r="M78" s="0" t="n">
        <f aca="false">VLOOKUP($A78,content_factors_backup!$A$2:$Q$468,M$525,FALSE())</f>
        <v>0.01</v>
      </c>
      <c r="N78" s="0" t="n">
        <f aca="false">VLOOKUP($A78,content_factors_backup!$A$2:$Q$468,N$525,FALSE())</f>
        <v>0.09</v>
      </c>
      <c r="O78" s="0" t="n">
        <f aca="false">VLOOKUP($A78,content_factors_backup!$A$2:$Q$468,O$525,FALSE())</f>
        <v>1</v>
      </c>
      <c r="P78" s="0" t="n">
        <f aca="false">VLOOKUP($A78,content_factors_backup!$A$2:$Q$468,P$525,FALSE())</f>
        <v>30</v>
      </c>
      <c r="Q78" s="0" t="n">
        <f aca="false">VLOOKUP($A78,content_factors_backup!$A$2:$Q$468,Q$525,FALSE())</f>
        <v>0.165</v>
      </c>
      <c r="R78" s="0" t="n">
        <f aca="false">VLOOKUP($A78,content_factors_backup!$A$2:$Q$468,R$525,FALSE())</f>
        <v>13.3</v>
      </c>
      <c r="S78" s="0" t="n">
        <f aca="false">VLOOKUP($A78,content_factors_backup!$A$2:$Q$468,S$525,FALSE())</f>
        <v>4</v>
      </c>
      <c r="T78" s="0" t="n">
        <f aca="false">VLOOKUP($A78,content_factors_backup!$A$2:$Q$468,T$525,FALSE())</f>
        <v>0.98</v>
      </c>
      <c r="U78" s="0" t="n">
        <f aca="false">VLOOKUP($A78,content_factors_backup!$A$2:$Q$468,U$525,FALSE())</f>
        <v>0</v>
      </c>
      <c r="V78" s="0" t="n">
        <f aca="false">VLOOKUP($A78,content_factors_backup!$A$2:$Q$468,V$525,FALSE())</f>
        <v>22.5</v>
      </c>
      <c r="W78" s="0" t="n">
        <f aca="false">VLOOKUP($A78,content_factors_backup!$A$2:$Q$468,W$525,FALSE())</f>
        <v>8</v>
      </c>
    </row>
    <row r="79" customFormat="false" ht="14.25" hidden="false" customHeight="false" outlineLevel="0" collapsed="false">
      <c r="A79" s="0" t="n">
        <v>167</v>
      </c>
      <c r="B79" s="0" t="s">
        <v>212</v>
      </c>
      <c r="C79" s="0" t="s">
        <v>213</v>
      </c>
      <c r="E79" s="0" t="n">
        <v>170290</v>
      </c>
      <c r="F79" s="0" t="n">
        <v>170290</v>
      </c>
      <c r="G79" s="0" t="n">
        <v>23210.04</v>
      </c>
      <c r="I79" s="0" t="n">
        <f aca="false">VLOOKUP($A79,content_factors_backup!$A$2:$Q$468,I$525,FALSE())</f>
        <v>87.5</v>
      </c>
      <c r="J79" s="0" t="n">
        <f aca="false">VLOOKUP($A79,content_factors_backup!$A$2:$Q$468,J$525,FALSE())</f>
        <v>397.2</v>
      </c>
      <c r="K79" s="0" t="n">
        <f aca="false">VLOOKUP($A79,content_factors_backup!$A$2:$Q$468,K$525,FALSE())</f>
        <v>0</v>
      </c>
      <c r="L79" s="0" t="n">
        <f aca="false">VLOOKUP($A79,content_factors_backup!$A$2:$Q$468,L$525,FALSE())</f>
        <v>0</v>
      </c>
      <c r="M79" s="0" t="n">
        <f aca="false">VLOOKUP($A79,content_factors_backup!$A$2:$Q$468,M$525,FALSE())</f>
        <v>0.02</v>
      </c>
      <c r="N79" s="0" t="n">
        <f aca="false">VLOOKUP($A79,content_factors_backup!$A$2:$Q$468,N$525,FALSE())</f>
        <v>0.2</v>
      </c>
      <c r="O79" s="0" t="n">
        <f aca="false">VLOOKUP($A79,content_factors_backup!$A$2:$Q$468,O$525,FALSE())</f>
        <v>6</v>
      </c>
      <c r="P79" s="0" t="n">
        <f aca="false">VLOOKUP($A79,content_factors_backup!$A$2:$Q$468,P$525,FALSE())</f>
        <v>0</v>
      </c>
      <c r="Q79" s="0" t="n">
        <f aca="false">VLOOKUP($A79,content_factors_backup!$A$2:$Q$468,Q$525,FALSE())</f>
        <v>0.0195</v>
      </c>
      <c r="R79" s="0" t="n">
        <f aca="false">VLOOKUP($A79,content_factors_backup!$A$2:$Q$468,R$525,FALSE())</f>
        <v>0</v>
      </c>
      <c r="S79" s="0" t="n">
        <f aca="false">VLOOKUP($A79,content_factors_backup!$A$2:$Q$468,S$525,FALSE())</f>
        <v>3</v>
      </c>
      <c r="T79" s="0" t="n">
        <f aca="false">VLOOKUP($A79,content_factors_backup!$A$2:$Q$468,T$525,FALSE())</f>
        <v>0</v>
      </c>
      <c r="U79" s="0" t="n">
        <f aca="false">VLOOKUP($A79,content_factors_backup!$A$2:$Q$468,U$525,FALSE())</f>
        <v>0</v>
      </c>
      <c r="V79" s="0" t="n">
        <f aca="false">VLOOKUP($A79,content_factors_backup!$A$2:$Q$468,V$525,FALSE())</f>
        <v>0</v>
      </c>
      <c r="W79" s="0" t="n">
        <f aca="false">VLOOKUP($A79,content_factors_backup!$A$2:$Q$468,W$525,FALSE())</f>
        <v>0</v>
      </c>
    </row>
    <row r="80" customFormat="false" ht="14.25" hidden="false" customHeight="false" outlineLevel="0" collapsed="false">
      <c r="A80" s="0" t="n">
        <v>168</v>
      </c>
      <c r="B80" s="0" t="s">
        <v>214</v>
      </c>
      <c r="C80" s="0" t="s">
        <v>215</v>
      </c>
      <c r="E80" s="0" t="s">
        <v>216</v>
      </c>
      <c r="F80" s="0" t="s">
        <v>216</v>
      </c>
      <c r="G80" s="0" t="n">
        <v>23670.01</v>
      </c>
      <c r="I80" s="0" t="n">
        <f aca="false">VLOOKUP($A80,content_factors_backup!$A$2:$Q$468,I$525,FALSE())</f>
        <v>87</v>
      </c>
      <c r="J80" s="0" t="n">
        <f aca="false">VLOOKUP($A80,content_factors_backup!$A$2:$Q$468,J$525,FALSE())</f>
        <v>360</v>
      </c>
      <c r="K80" s="0" t="n">
        <f aca="false">VLOOKUP($A80,content_factors_backup!$A$2:$Q$468,K$525,FALSE())</f>
        <v>0</v>
      </c>
      <c r="L80" s="0" t="n">
        <f aca="false">VLOOKUP($A80,content_factors_backup!$A$2:$Q$468,L$525,FALSE())</f>
        <v>2.4</v>
      </c>
      <c r="M80" s="0" t="n">
        <f aca="false">VLOOKUP($A80,content_factors_backup!$A$2:$Q$468,M$525,FALSE())</f>
        <v>0</v>
      </c>
      <c r="N80" s="0" t="n">
        <f aca="false">VLOOKUP($A80,content_factors_backup!$A$2:$Q$468,N$525,FALSE())</f>
        <v>0</v>
      </c>
      <c r="O80" s="0" t="n">
        <f aca="false">VLOOKUP($A80,content_factors_backup!$A$2:$Q$468,O$525,FALSE())</f>
        <v>0</v>
      </c>
      <c r="P80" s="0" t="n">
        <f aca="false">VLOOKUP($A80,content_factors_backup!$A$2:$Q$468,P$525,FALSE())</f>
        <v>0</v>
      </c>
      <c r="Q80" s="0" t="n">
        <f aca="false">VLOOKUP($A80,content_factors_backup!$A$2:$Q$468,Q$525,FALSE())</f>
        <v>0</v>
      </c>
      <c r="R80" s="0" t="n">
        <f aca="false">VLOOKUP($A80,content_factors_backup!$A$2:$Q$468,R$525,FALSE())</f>
        <v>0</v>
      </c>
      <c r="S80" s="0" t="n">
        <f aca="false">VLOOKUP($A80,content_factors_backup!$A$2:$Q$468,S$525,FALSE())</f>
        <v>2</v>
      </c>
      <c r="T80" s="0" t="n">
        <f aca="false">VLOOKUP($A80,content_factors_backup!$A$2:$Q$468,T$525,FALSE())</f>
        <v>0</v>
      </c>
      <c r="U80" s="0" t="n">
        <f aca="false">VLOOKUP($A80,content_factors_backup!$A$2:$Q$468,U$525,FALSE())</f>
        <v>0</v>
      </c>
      <c r="V80" s="0" t="n">
        <f aca="false">VLOOKUP($A80,content_factors_backup!$A$2:$Q$468,V$525,FALSE())</f>
        <v>0</v>
      </c>
      <c r="W80" s="0" t="n">
        <f aca="false">VLOOKUP($A80,content_factors_backup!$A$2:$Q$468,W$525,FALSE())</f>
        <v>0</v>
      </c>
    </row>
    <row r="81" customFormat="false" ht="14.25" hidden="false" customHeight="false" outlineLevel="0" collapsed="false">
      <c r="A81" s="0" t="n">
        <v>169</v>
      </c>
      <c r="B81" s="0" t="s">
        <v>217</v>
      </c>
      <c r="C81" s="0" t="s">
        <v>218</v>
      </c>
      <c r="E81" s="0" t="n">
        <v>230320</v>
      </c>
      <c r="F81" s="0" t="n">
        <v>230320</v>
      </c>
      <c r="G81" s="0" t="n">
        <v>39140.01</v>
      </c>
      <c r="I81" s="0" t="n">
        <f aca="false">VLOOKUP($A81,content_factors_backup!$A$2:$Q$468,I$525,FALSE())</f>
        <v>87</v>
      </c>
      <c r="J81" s="0" t="n">
        <f aca="false">VLOOKUP($A81,content_factors_backup!$A$2:$Q$468,J$525,FALSE())</f>
        <v>336</v>
      </c>
      <c r="K81" s="0" t="n">
        <f aca="false">VLOOKUP($A81,content_factors_backup!$A$2:$Q$468,K$525,FALSE())</f>
        <v>0</v>
      </c>
      <c r="L81" s="0" t="n">
        <f aca="false">VLOOKUP($A81,content_factors_backup!$A$2:$Q$468,L$525,FALSE())</f>
        <v>0</v>
      </c>
      <c r="M81" s="0" t="n">
        <f aca="false">VLOOKUP($A81,content_factors_backup!$A$2:$Q$468,M$525,FALSE())</f>
        <v>0</v>
      </c>
      <c r="N81" s="0" t="n">
        <f aca="false">VLOOKUP($A81,content_factors_backup!$A$2:$Q$468,N$525,FALSE())</f>
        <v>0</v>
      </c>
      <c r="O81" s="0" t="n">
        <f aca="false">VLOOKUP($A81,content_factors_backup!$A$2:$Q$468,O$525,FALSE())</f>
        <v>0</v>
      </c>
      <c r="P81" s="0" t="n">
        <f aca="false">VLOOKUP($A81,content_factors_backup!$A$2:$Q$468,P$525,FALSE())</f>
        <v>0</v>
      </c>
      <c r="Q81" s="0" t="n">
        <f aca="false">VLOOKUP($A81,content_factors_backup!$A$2:$Q$468,Q$525,FALSE())</f>
        <v>0</v>
      </c>
      <c r="R81" s="0" t="n">
        <f aca="false">VLOOKUP($A81,content_factors_backup!$A$2:$Q$468,R$525,FALSE())</f>
        <v>0</v>
      </c>
      <c r="S81" s="0" t="n">
        <f aca="false">VLOOKUP($A81,content_factors_backup!$A$2:$Q$468,S$525,FALSE())</f>
        <v>4</v>
      </c>
      <c r="T81" s="0" t="n">
        <f aca="false">VLOOKUP($A81,content_factors_backup!$A$2:$Q$468,T$525,FALSE())</f>
        <v>0</v>
      </c>
      <c r="U81" s="0" t="n">
        <f aca="false">VLOOKUP($A81,content_factors_backup!$A$2:$Q$468,U$525,FALSE())</f>
        <v>0</v>
      </c>
      <c r="V81" s="0" t="n">
        <f aca="false">VLOOKUP($A81,content_factors_backup!$A$2:$Q$468,V$525,FALSE())</f>
        <v>0</v>
      </c>
      <c r="W81" s="0" t="n">
        <f aca="false">VLOOKUP($A81,content_factors_backup!$A$2:$Q$468,W$525,FALSE())</f>
        <v>0</v>
      </c>
    </row>
    <row r="82" customFormat="false" ht="14.25" hidden="false" customHeight="false" outlineLevel="0" collapsed="false">
      <c r="A82" s="0" t="n">
        <v>171</v>
      </c>
      <c r="B82" s="0" t="s">
        <v>219</v>
      </c>
      <c r="I82" s="0" t="n">
        <f aca="false">VLOOKUP($A82,content_factors_backup!$A$2:$Q$468,I$525,FALSE())</f>
        <v>99.5</v>
      </c>
      <c r="J82" s="0" t="n">
        <f aca="false">VLOOKUP($A82,content_factors_backup!$A$2:$Q$468,J$525,FALSE())</f>
        <v>336</v>
      </c>
      <c r="K82" s="0" t="n">
        <f aca="false">VLOOKUP($A82,content_factors_backup!$A$2:$Q$468,K$525,FALSE())</f>
        <v>0</v>
      </c>
      <c r="L82" s="0" t="n">
        <f aca="false">VLOOKUP($A82,content_factors_backup!$A$2:$Q$468,L$525,FALSE())</f>
        <v>0</v>
      </c>
      <c r="M82" s="0" t="n">
        <f aca="false">VLOOKUP($A82,content_factors_backup!$A$2:$Q$468,M$525,FALSE())</f>
        <v>0</v>
      </c>
      <c r="N82" s="0" t="n">
        <f aca="false">VLOOKUP($A82,content_factors_backup!$A$2:$Q$468,N$525,FALSE())</f>
        <v>0</v>
      </c>
      <c r="O82" s="0" t="n">
        <f aca="false">VLOOKUP($A82,content_factors_backup!$A$2:$Q$468,O$525,FALSE())</f>
        <v>0</v>
      </c>
      <c r="P82" s="0" t="n">
        <f aca="false">VLOOKUP($A82,content_factors_backup!$A$2:$Q$468,P$525,FALSE())</f>
        <v>0</v>
      </c>
      <c r="Q82" s="0" t="n">
        <f aca="false">VLOOKUP($A82,content_factors_backup!$A$2:$Q$468,Q$525,FALSE())</f>
        <v>0</v>
      </c>
      <c r="R82" s="0" t="n">
        <f aca="false">VLOOKUP($A82,content_factors_backup!$A$2:$Q$468,R$525,FALSE())</f>
        <v>0</v>
      </c>
      <c r="S82" s="0" t="n">
        <f aca="false">VLOOKUP($A82,content_factors_backup!$A$2:$Q$468,S$525,FALSE())</f>
        <v>4</v>
      </c>
      <c r="T82" s="0" t="n">
        <f aca="false">VLOOKUP($A82,content_factors_backup!$A$2:$Q$468,T$525,FALSE())</f>
        <v>0</v>
      </c>
      <c r="U82" s="0" t="n">
        <f aca="false">VLOOKUP($A82,content_factors_backup!$A$2:$Q$468,U$525,FALSE())</f>
        <v>0</v>
      </c>
      <c r="V82" s="0" t="n">
        <f aca="false">VLOOKUP($A82,content_factors_backup!$A$2:$Q$468,V$525,FALSE())</f>
        <v>0</v>
      </c>
      <c r="W82" s="0" t="n">
        <f aca="false">VLOOKUP($A82,content_factors_backup!$A$2:$Q$468,W$525,FALSE())</f>
        <v>0</v>
      </c>
    </row>
    <row r="83" customFormat="false" ht="14.25" hidden="false" customHeight="false" outlineLevel="0" collapsed="false">
      <c r="A83" s="0" t="n">
        <v>172</v>
      </c>
      <c r="B83" s="0" t="s">
        <v>220</v>
      </c>
      <c r="C83" s="0" t="s">
        <v>221</v>
      </c>
      <c r="E83" s="0" t="s">
        <v>222</v>
      </c>
      <c r="F83" s="0" t="s">
        <v>222</v>
      </c>
      <c r="G83" s="0" t="n">
        <v>23210.05</v>
      </c>
      <c r="I83" s="0" t="n">
        <f aca="false">VLOOKUP($A83,content_factors_backup!$A$2:$Q$468,I$525,FALSE())</f>
        <v>99.5</v>
      </c>
      <c r="J83" s="0" t="n">
        <f aca="false">VLOOKUP($A83,content_factors_backup!$A$2:$Q$468,J$525,FALSE())</f>
        <v>336</v>
      </c>
      <c r="K83" s="0" t="n">
        <f aca="false">VLOOKUP($A83,content_factors_backup!$A$2:$Q$468,K$525,FALSE())</f>
        <v>0</v>
      </c>
      <c r="L83" s="0" t="n">
        <f aca="false">VLOOKUP($A83,content_factors_backup!$A$2:$Q$468,L$525,FALSE())</f>
        <v>0</v>
      </c>
      <c r="M83" s="0" t="n">
        <f aca="false">VLOOKUP($A83,content_factors_backup!$A$2:$Q$468,M$525,FALSE())</f>
        <v>0</v>
      </c>
      <c r="N83" s="0" t="n">
        <f aca="false">VLOOKUP($A83,content_factors_backup!$A$2:$Q$468,N$525,FALSE())</f>
        <v>0</v>
      </c>
      <c r="O83" s="0" t="n">
        <f aca="false">VLOOKUP($A83,content_factors_backup!$A$2:$Q$468,O$525,FALSE())</f>
        <v>0</v>
      </c>
      <c r="P83" s="0" t="n">
        <f aca="false">VLOOKUP($A83,content_factors_backup!$A$2:$Q$468,P$525,FALSE())</f>
        <v>0</v>
      </c>
      <c r="Q83" s="0" t="n">
        <f aca="false">VLOOKUP($A83,content_factors_backup!$A$2:$Q$468,Q$525,FALSE())</f>
        <v>0</v>
      </c>
      <c r="R83" s="0" t="n">
        <f aca="false">VLOOKUP($A83,content_factors_backup!$A$2:$Q$468,R$525,FALSE())</f>
        <v>0</v>
      </c>
      <c r="S83" s="0" t="n">
        <f aca="false">VLOOKUP($A83,content_factors_backup!$A$2:$Q$468,S$525,FALSE())</f>
        <v>4</v>
      </c>
      <c r="T83" s="0" t="n">
        <f aca="false">VLOOKUP($A83,content_factors_backup!$A$2:$Q$468,T$525,FALSE())</f>
        <v>0</v>
      </c>
      <c r="U83" s="0" t="n">
        <f aca="false">VLOOKUP($A83,content_factors_backup!$A$2:$Q$468,U$525,FALSE())</f>
        <v>0</v>
      </c>
      <c r="V83" s="0" t="n">
        <f aca="false">VLOOKUP($A83,content_factors_backup!$A$2:$Q$468,V$525,FALSE())</f>
        <v>0</v>
      </c>
      <c r="W83" s="0" t="n">
        <f aca="false">VLOOKUP($A83,content_factors_backup!$A$2:$Q$468,W$525,FALSE())</f>
        <v>0</v>
      </c>
    </row>
    <row r="84" customFormat="false" ht="14.25" hidden="false" customHeight="false" outlineLevel="0" collapsed="false">
      <c r="A84" s="0" t="n">
        <v>173</v>
      </c>
      <c r="B84" s="0" t="s">
        <v>223</v>
      </c>
      <c r="C84" s="0" t="s">
        <v>224</v>
      </c>
      <c r="E84" s="0" t="s">
        <v>225</v>
      </c>
      <c r="F84" s="0" t="s">
        <v>225</v>
      </c>
      <c r="G84" s="0" t="n">
        <v>23210.06</v>
      </c>
      <c r="I84" s="0" t="n">
        <f aca="false">VLOOKUP($A84,content_factors_backup!$A$2:$Q$468,I$525,FALSE())</f>
        <v>99.5</v>
      </c>
      <c r="J84" s="0" t="n">
        <f aca="false">VLOOKUP($A84,content_factors_backup!$A$2:$Q$468,J$525,FALSE())</f>
        <v>336</v>
      </c>
      <c r="K84" s="0" t="n">
        <f aca="false">VLOOKUP($A84,content_factors_backup!$A$2:$Q$468,K$525,FALSE())</f>
        <v>0</v>
      </c>
      <c r="L84" s="0" t="n">
        <f aca="false">VLOOKUP($A84,content_factors_backup!$A$2:$Q$468,L$525,FALSE())</f>
        <v>0</v>
      </c>
      <c r="M84" s="0" t="n">
        <f aca="false">VLOOKUP($A84,content_factors_backup!$A$2:$Q$468,M$525,FALSE())</f>
        <v>0</v>
      </c>
      <c r="N84" s="0" t="n">
        <f aca="false">VLOOKUP($A84,content_factors_backup!$A$2:$Q$468,N$525,FALSE())</f>
        <v>0</v>
      </c>
      <c r="O84" s="0" t="n">
        <f aca="false">VLOOKUP($A84,content_factors_backup!$A$2:$Q$468,O$525,FALSE())</f>
        <v>0</v>
      </c>
      <c r="P84" s="0" t="n">
        <f aca="false">VLOOKUP($A84,content_factors_backup!$A$2:$Q$468,P$525,FALSE())</f>
        <v>0</v>
      </c>
      <c r="Q84" s="0" t="n">
        <f aca="false">VLOOKUP($A84,content_factors_backup!$A$2:$Q$468,Q$525,FALSE())</f>
        <v>0</v>
      </c>
      <c r="R84" s="0" t="n">
        <f aca="false">VLOOKUP($A84,content_factors_backup!$A$2:$Q$468,R$525,FALSE())</f>
        <v>0</v>
      </c>
      <c r="S84" s="0" t="n">
        <f aca="false">VLOOKUP($A84,content_factors_backup!$A$2:$Q$468,S$525,FALSE())</f>
        <v>4</v>
      </c>
      <c r="T84" s="0" t="n">
        <f aca="false">VLOOKUP($A84,content_factors_backup!$A$2:$Q$468,T$525,FALSE())</f>
        <v>0</v>
      </c>
      <c r="U84" s="0" t="n">
        <f aca="false">VLOOKUP($A84,content_factors_backup!$A$2:$Q$468,U$525,FALSE())</f>
        <v>0</v>
      </c>
      <c r="V84" s="0" t="n">
        <f aca="false">VLOOKUP($A84,content_factors_backup!$A$2:$Q$468,V$525,FALSE())</f>
        <v>0</v>
      </c>
      <c r="W84" s="0" t="n">
        <f aca="false">VLOOKUP($A84,content_factors_backup!$A$2:$Q$468,W$525,FALSE())</f>
        <v>0</v>
      </c>
    </row>
    <row r="85" customFormat="false" ht="14.25" hidden="false" customHeight="false" outlineLevel="0" collapsed="false">
      <c r="A85" s="0" t="n">
        <v>176</v>
      </c>
      <c r="B85" s="0" t="s">
        <v>226</v>
      </c>
      <c r="C85" s="0" t="s">
        <v>227</v>
      </c>
      <c r="E85" s="0" t="s">
        <v>228</v>
      </c>
      <c r="F85" s="0" t="s">
        <v>228</v>
      </c>
      <c r="G85" s="0" t="n">
        <v>1701</v>
      </c>
      <c r="I85" s="0" t="n">
        <f aca="false">VLOOKUP($A85,content_factors_backup!$A$2:$Q$468,I$525,FALSE())</f>
        <v>90</v>
      </c>
      <c r="J85" s="0" t="n">
        <f aca="false">VLOOKUP($A85,content_factors_backup!$A$2:$Q$468,J$525,FALSE())</f>
        <v>335</v>
      </c>
      <c r="K85" s="0" t="n">
        <f aca="false">VLOOKUP($A85,content_factors_backup!$A$2:$Q$468,K$525,FALSE())</f>
        <v>21.5</v>
      </c>
      <c r="L85" s="0" t="n">
        <f aca="false">VLOOKUP($A85,content_factors_backup!$A$2:$Q$468,L$525,FALSE())</f>
        <v>12.7</v>
      </c>
      <c r="M85" s="0" t="n">
        <f aca="false">VLOOKUP($A85,content_factors_backup!$A$2:$Q$468,M$525,FALSE())</f>
        <v>2.83</v>
      </c>
      <c r="N85" s="0" t="n">
        <f aca="false">VLOOKUP($A85,content_factors_backup!$A$2:$Q$468,N$525,FALSE())</f>
        <v>6.4</v>
      </c>
      <c r="O85" s="0" t="n">
        <f aca="false">VLOOKUP($A85,content_factors_backup!$A$2:$Q$468,O$525,FALSE())</f>
        <v>130.5</v>
      </c>
      <c r="P85" s="0" t="n">
        <f aca="false">VLOOKUP($A85,content_factors_backup!$A$2:$Q$468,P$525,FALSE())</f>
        <v>395</v>
      </c>
      <c r="Q85" s="0" t="n">
        <f aca="false">VLOOKUP($A85,content_factors_backup!$A$2:$Q$468,Q$525,FALSE())</f>
        <v>0.2</v>
      </c>
      <c r="R85" s="0" t="n">
        <f aca="false">VLOOKUP($A85,content_factors_backup!$A$2:$Q$468,R$525,FALSE())</f>
        <v>92.05</v>
      </c>
      <c r="S85" s="0" t="n">
        <f aca="false">VLOOKUP($A85,content_factors_backup!$A$2:$Q$468,S$525,FALSE())</f>
        <v>1196</v>
      </c>
      <c r="T85" s="0" t="n">
        <f aca="false">VLOOKUP($A85,content_factors_backup!$A$2:$Q$468,T$525,FALSE())</f>
        <v>0.03</v>
      </c>
      <c r="U85" s="0" t="n">
        <f aca="false">VLOOKUP($A85,content_factors_backup!$A$2:$Q$468,U$525,FALSE())</f>
        <v>0</v>
      </c>
      <c r="V85" s="0" t="n">
        <f aca="false">VLOOKUP($A85,content_factors_backup!$A$2:$Q$468,V$525,FALSE())</f>
        <v>8.4</v>
      </c>
      <c r="W85" s="0" t="n">
        <f aca="false">VLOOKUP($A85,content_factors_backup!$A$2:$Q$468,W$525,FALSE())</f>
        <v>0</v>
      </c>
    </row>
    <row r="86" customFormat="false" ht="14.25" hidden="false" customHeight="false" outlineLevel="0" collapsed="false">
      <c r="A86" s="0" t="n">
        <v>181</v>
      </c>
      <c r="B86" s="0" t="s">
        <v>229</v>
      </c>
      <c r="C86" s="0" t="s">
        <v>230</v>
      </c>
      <c r="E86" s="0" t="n">
        <v>71350</v>
      </c>
      <c r="F86" s="0" t="n">
        <v>71350</v>
      </c>
      <c r="G86" s="0" t="n">
        <v>1702</v>
      </c>
      <c r="I86" s="0" t="n">
        <f aca="false">VLOOKUP($A86,content_factors_backup!$A$2:$Q$468,I$525,FALSE())</f>
        <v>90</v>
      </c>
      <c r="J86" s="0" t="n">
        <f aca="false">VLOOKUP($A86,content_factors_backup!$A$2:$Q$468,J$525,FALSE())</f>
        <v>342.5</v>
      </c>
      <c r="K86" s="0" t="n">
        <f aca="false">VLOOKUP($A86,content_factors_backup!$A$2:$Q$468,K$525,FALSE())</f>
        <v>23.9</v>
      </c>
      <c r="L86" s="0" t="n">
        <f aca="false">VLOOKUP($A86,content_factors_backup!$A$2:$Q$468,L$525,FALSE())</f>
        <v>25</v>
      </c>
      <c r="M86" s="0" t="n">
        <f aca="false">VLOOKUP($A86,content_factors_backup!$A$2:$Q$468,M$525,FALSE())</f>
        <v>3.14</v>
      </c>
      <c r="N86" s="0" t="n">
        <f aca="false">VLOOKUP($A86,content_factors_backup!$A$2:$Q$468,N$525,FALSE())</f>
        <v>6.7</v>
      </c>
      <c r="O86" s="0" t="n">
        <f aca="false">VLOOKUP($A86,content_factors_backup!$A$2:$Q$468,O$525,FALSE())</f>
        <v>93</v>
      </c>
      <c r="P86" s="0" t="n">
        <f aca="false">VLOOKUP($A86,content_factors_backup!$A$2:$Q$468,P$525,FALSE())</f>
        <v>423</v>
      </c>
      <c r="Q86" s="0" t="n">
        <f aca="false">VLOOKUP($A86,content_factors_backup!$A$2:$Q$468,Q$525,FALSE())</f>
        <v>0.3</v>
      </c>
      <c r="R86" s="0" t="n">
        <f aca="false">VLOOKUP($A86,content_factors_backup!$A$2:$Q$468,R$525,FALSE())</f>
        <v>95.8</v>
      </c>
      <c r="S86" s="0" t="n">
        <f aca="false">VLOOKUP($A86,content_factors_backup!$A$2:$Q$468,S$525,FALSE())</f>
        <v>1062</v>
      </c>
      <c r="T86" s="0" t="n">
        <f aca="false">VLOOKUP($A86,content_factors_backup!$A$2:$Q$468,T$525,FALSE())</f>
        <v>0.02</v>
      </c>
      <c r="U86" s="0" t="n">
        <f aca="false">VLOOKUP($A86,content_factors_backup!$A$2:$Q$468,U$525,FALSE())</f>
        <v>0</v>
      </c>
      <c r="V86" s="0" t="n">
        <f aca="false">VLOOKUP($A86,content_factors_backup!$A$2:$Q$468,V$525,FALSE())</f>
        <v>2.9</v>
      </c>
      <c r="W86" s="0" t="n">
        <f aca="false">VLOOKUP($A86,content_factors_backup!$A$2:$Q$468,W$525,FALSE())</f>
        <v>0</v>
      </c>
    </row>
    <row r="87" customFormat="false" ht="14.25" hidden="false" customHeight="false" outlineLevel="0" collapsed="false">
      <c r="A87" s="0" t="n">
        <v>187</v>
      </c>
      <c r="B87" s="0" t="s">
        <v>231</v>
      </c>
      <c r="C87" s="0" t="s">
        <v>232</v>
      </c>
      <c r="E87" s="0" t="n">
        <v>71310</v>
      </c>
      <c r="F87" s="0" t="n">
        <v>71310</v>
      </c>
      <c r="G87" s="0" t="n">
        <v>1705</v>
      </c>
      <c r="I87" s="0" t="n">
        <f aca="false">VLOOKUP($A87,content_factors_backup!$A$2:$Q$468,I$525,FALSE())</f>
        <v>89</v>
      </c>
      <c r="J87" s="0" t="n">
        <f aca="false">VLOOKUP($A87,content_factors_backup!$A$2:$Q$468,J$525,FALSE())</f>
        <v>336.99</v>
      </c>
      <c r="K87" s="0" t="n">
        <f aca="false">VLOOKUP($A87,content_factors_backup!$A$2:$Q$468,K$525,FALSE())</f>
        <v>22.4</v>
      </c>
      <c r="L87" s="0" t="n">
        <f aca="false">VLOOKUP($A87,content_factors_backup!$A$2:$Q$468,L$525,FALSE())</f>
        <v>6.5</v>
      </c>
      <c r="M87" s="0" t="n">
        <f aca="false">VLOOKUP($A87,content_factors_backup!$A$2:$Q$468,M$525,FALSE())</f>
        <v>3.28</v>
      </c>
      <c r="N87" s="0" t="n">
        <f aca="false">VLOOKUP($A87,content_factors_backup!$A$2:$Q$468,N$525,FALSE())</f>
        <v>5.5</v>
      </c>
      <c r="O87" s="0" t="n">
        <f aca="false">VLOOKUP($A87,content_factors_backup!$A$2:$Q$468,O$525,FALSE())</f>
        <v>73.5</v>
      </c>
      <c r="P87" s="0" t="n">
        <f aca="false">VLOOKUP($A87,content_factors_backup!$A$2:$Q$468,P$525,FALSE())</f>
        <v>140.75</v>
      </c>
      <c r="Q87" s="0" t="n">
        <f aca="false">VLOOKUP($A87,content_factors_backup!$A$2:$Q$468,Q$525,FALSE())</f>
        <v>0.185</v>
      </c>
      <c r="R87" s="0" t="n">
        <f aca="false">VLOOKUP($A87,content_factors_backup!$A$2:$Q$468,R$525,FALSE())</f>
        <v>165.25</v>
      </c>
      <c r="S87" s="0" t="n">
        <f aca="false">VLOOKUP($A87,content_factors_backup!$A$2:$Q$468,S$525,FALSE())</f>
        <v>981</v>
      </c>
      <c r="T87" s="0" t="n">
        <f aca="false">VLOOKUP($A87,content_factors_backup!$A$2:$Q$468,T$525,FALSE())</f>
        <v>0.14</v>
      </c>
      <c r="U87" s="0" t="n">
        <f aca="false">VLOOKUP($A87,content_factors_backup!$A$2:$Q$468,U$525,FALSE())</f>
        <v>0</v>
      </c>
      <c r="V87" s="0" t="n">
        <f aca="false">VLOOKUP($A87,content_factors_backup!$A$2:$Q$468,V$525,FALSE())</f>
        <v>25.9</v>
      </c>
      <c r="W87" s="0" t="n">
        <f aca="false">VLOOKUP($A87,content_factors_backup!$A$2:$Q$468,W$525,FALSE())</f>
        <v>3</v>
      </c>
    </row>
    <row r="88" customFormat="false" ht="14.25" hidden="false" customHeight="false" outlineLevel="0" collapsed="false">
      <c r="A88" s="0" t="n">
        <v>191</v>
      </c>
      <c r="B88" s="0" t="s">
        <v>233</v>
      </c>
      <c r="C88" s="0" t="s">
        <v>234</v>
      </c>
      <c r="E88" s="0" t="n">
        <v>71320</v>
      </c>
      <c r="F88" s="0" t="n">
        <v>71320</v>
      </c>
      <c r="G88" s="0" t="n">
        <v>1703</v>
      </c>
      <c r="I88" s="0" t="n">
        <f aca="false">VLOOKUP($A88,content_factors_backup!$A$2:$Q$468,I$525,FALSE())</f>
        <v>89</v>
      </c>
      <c r="J88" s="0" t="n">
        <f aca="false">VLOOKUP($A88,content_factors_backup!$A$2:$Q$468,J$525,FALSE())</f>
        <v>358.5</v>
      </c>
      <c r="K88" s="0" t="n">
        <f aca="false">VLOOKUP($A88,content_factors_backup!$A$2:$Q$468,K$525,FALSE())</f>
        <v>19.6</v>
      </c>
      <c r="L88" s="0" t="n">
        <f aca="false">VLOOKUP($A88,content_factors_backup!$A$2:$Q$468,L$525,FALSE())</f>
        <v>6.7</v>
      </c>
      <c r="M88" s="0" t="n">
        <f aca="false">VLOOKUP($A88,content_factors_backup!$A$2:$Q$468,M$525,FALSE())</f>
        <v>3.095</v>
      </c>
      <c r="N88" s="0" t="n">
        <f aca="false">VLOOKUP($A88,content_factors_backup!$A$2:$Q$468,N$525,FALSE())</f>
        <v>7.1</v>
      </c>
      <c r="O88" s="0" t="n">
        <f aca="false">VLOOKUP($A88,content_factors_backup!$A$2:$Q$468,O$525,FALSE())</f>
        <v>137</v>
      </c>
      <c r="P88" s="0" t="n">
        <f aca="false">VLOOKUP($A88,content_factors_backup!$A$2:$Q$468,P$525,FALSE())</f>
        <v>371.5</v>
      </c>
      <c r="Q88" s="0" t="n">
        <f aca="false">VLOOKUP($A88,content_factors_backup!$A$2:$Q$468,Q$525,FALSE())</f>
        <v>0.16</v>
      </c>
      <c r="R88" s="0" t="n">
        <f aca="false">VLOOKUP($A88,content_factors_backup!$A$2:$Q$468,R$525,FALSE())</f>
        <v>146.65</v>
      </c>
      <c r="S88" s="0" t="n">
        <f aca="false">VLOOKUP($A88,content_factors_backup!$A$2:$Q$468,S$525,FALSE())</f>
        <v>821.5</v>
      </c>
      <c r="T88" s="0" t="n">
        <f aca="false">VLOOKUP($A88,content_factors_backup!$A$2:$Q$468,T$525,FALSE())</f>
        <v>0.35</v>
      </c>
      <c r="U88" s="0" t="n">
        <f aca="false">VLOOKUP($A88,content_factors_backup!$A$2:$Q$468,U$525,FALSE())</f>
        <v>0</v>
      </c>
      <c r="V88" s="0" t="n">
        <f aca="false">VLOOKUP($A88,content_factors_backup!$A$2:$Q$468,V$525,FALSE())</f>
        <v>4</v>
      </c>
      <c r="W88" s="0" t="n">
        <f aca="false">VLOOKUP($A88,content_factors_backup!$A$2:$Q$468,W$525,FALSE())</f>
        <v>2</v>
      </c>
    </row>
    <row r="89" customFormat="false" ht="14.25" hidden="false" customHeight="false" outlineLevel="0" collapsed="false">
      <c r="A89" s="0" t="n">
        <v>195</v>
      </c>
      <c r="B89" s="0" t="s">
        <v>235</v>
      </c>
      <c r="C89" s="0" t="s">
        <v>236</v>
      </c>
      <c r="E89" s="0" t="n">
        <v>71339</v>
      </c>
      <c r="F89" s="0" t="n">
        <v>71335</v>
      </c>
      <c r="G89" s="0" t="n">
        <v>1706</v>
      </c>
      <c r="I89" s="0" t="n">
        <f aca="false">VLOOKUP($A89,content_factors_backup!$A$2:$Q$468,I$525,FALSE())</f>
        <v>50</v>
      </c>
      <c r="J89" s="0" t="e">
        <f aca="false">VLOOKUP($A89,content_factors_backup!$A$2:$Q$468,J$525,FALSE())</f>
        <v>#N/A</v>
      </c>
      <c r="K89" s="0" t="e">
        <f aca="false">VLOOKUP($A89,content_factors_backup!$A$2:$Q$468,K$525,FALSE())</f>
        <v>#N/A</v>
      </c>
      <c r="L89" s="0" t="e">
        <f aca="false">VLOOKUP($A89,content_factors_backup!$A$2:$Q$468,L$525,FALSE())</f>
        <v>#N/A</v>
      </c>
      <c r="M89" s="0" t="e">
        <f aca="false">VLOOKUP($A89,content_factors_backup!$A$2:$Q$468,M$525,FALSE())</f>
        <v>#N/A</v>
      </c>
      <c r="N89" s="0" t="e">
        <f aca="false">VLOOKUP($A89,content_factors_backup!$A$2:$Q$468,N$525,FALSE())</f>
        <v>#N/A</v>
      </c>
      <c r="O89" s="0" t="e">
        <f aca="false">VLOOKUP($A89,content_factors_backup!$A$2:$Q$468,O$525,FALSE())</f>
        <v>#N/A</v>
      </c>
      <c r="P89" s="0" t="e">
        <f aca="false">VLOOKUP($A89,content_factors_backup!$A$2:$Q$468,P$525,FALSE())</f>
        <v>#N/A</v>
      </c>
      <c r="Q89" s="0" t="e">
        <f aca="false">VLOOKUP($A89,content_factors_backup!$A$2:$Q$468,Q$525,FALSE())</f>
        <v>#N/A</v>
      </c>
      <c r="R89" s="0" t="e">
        <f aca="false">VLOOKUP($A89,content_factors_backup!$A$2:$Q$468,R$525,FALSE())</f>
        <v>#N/A</v>
      </c>
      <c r="S89" s="0" t="e">
        <f aca="false">VLOOKUP($A89,content_factors_backup!$A$2:$Q$468,S$525,FALSE())</f>
        <v>#N/A</v>
      </c>
      <c r="T89" s="0" t="e">
        <f aca="false">VLOOKUP($A89,content_factors_backup!$A$2:$Q$468,T$525,FALSE())</f>
        <v>#N/A</v>
      </c>
      <c r="U89" s="0" t="e">
        <f aca="false">VLOOKUP($A89,content_factors_backup!$A$2:$Q$468,U$525,FALSE())</f>
        <v>#N/A</v>
      </c>
      <c r="V89" s="0" t="e">
        <f aca="false">VLOOKUP($A89,content_factors_backup!$A$2:$Q$468,V$525,FALSE())</f>
        <v>#N/A</v>
      </c>
      <c r="W89" s="0" t="e">
        <f aca="false">VLOOKUP($A89,content_factors_backup!$A$2:$Q$468,W$525,FALSE())</f>
        <v>#N/A</v>
      </c>
    </row>
    <row r="90" customFormat="false" ht="14.25" hidden="false" customHeight="false" outlineLevel="0" collapsed="false">
      <c r="A90" s="0" t="n">
        <v>197</v>
      </c>
      <c r="B90" s="0" t="s">
        <v>237</v>
      </c>
      <c r="C90" s="0" t="s">
        <v>238</v>
      </c>
      <c r="E90" s="0" t="n">
        <v>71390</v>
      </c>
      <c r="F90" s="0" t="n">
        <v>71360</v>
      </c>
      <c r="G90" s="0" t="n">
        <v>1707</v>
      </c>
      <c r="I90" s="0" t="n">
        <f aca="false">VLOOKUP($A90,content_factors_backup!$A$2:$Q$468,I$525,FALSE())</f>
        <v>50</v>
      </c>
      <c r="J90" s="0" t="e">
        <f aca="false">VLOOKUP($A90,content_factors_backup!$A$2:$Q$468,J$525,FALSE())</f>
        <v>#N/A</v>
      </c>
      <c r="K90" s="0" t="e">
        <f aca="false">VLOOKUP($A90,content_factors_backup!$A$2:$Q$468,K$525,FALSE())</f>
        <v>#N/A</v>
      </c>
      <c r="L90" s="0" t="e">
        <f aca="false">VLOOKUP($A90,content_factors_backup!$A$2:$Q$468,L$525,FALSE())</f>
        <v>#N/A</v>
      </c>
      <c r="M90" s="0" t="e">
        <f aca="false">VLOOKUP($A90,content_factors_backup!$A$2:$Q$468,M$525,FALSE())</f>
        <v>#N/A</v>
      </c>
      <c r="N90" s="0" t="e">
        <f aca="false">VLOOKUP($A90,content_factors_backup!$A$2:$Q$468,N$525,FALSE())</f>
        <v>#N/A</v>
      </c>
      <c r="O90" s="0" t="e">
        <f aca="false">VLOOKUP($A90,content_factors_backup!$A$2:$Q$468,O$525,FALSE())</f>
        <v>#N/A</v>
      </c>
      <c r="P90" s="0" t="e">
        <f aca="false">VLOOKUP($A90,content_factors_backup!$A$2:$Q$468,P$525,FALSE())</f>
        <v>#N/A</v>
      </c>
      <c r="Q90" s="0" t="e">
        <f aca="false">VLOOKUP($A90,content_factors_backup!$A$2:$Q$468,Q$525,FALSE())</f>
        <v>#N/A</v>
      </c>
      <c r="R90" s="0" t="e">
        <f aca="false">VLOOKUP($A90,content_factors_backup!$A$2:$Q$468,R$525,FALSE())</f>
        <v>#N/A</v>
      </c>
      <c r="S90" s="0" t="e">
        <f aca="false">VLOOKUP($A90,content_factors_backup!$A$2:$Q$468,S$525,FALSE())</f>
        <v>#N/A</v>
      </c>
      <c r="T90" s="0" t="e">
        <f aca="false">VLOOKUP($A90,content_factors_backup!$A$2:$Q$468,T$525,FALSE())</f>
        <v>#N/A</v>
      </c>
      <c r="U90" s="0" t="e">
        <f aca="false">VLOOKUP($A90,content_factors_backup!$A$2:$Q$468,U$525,FALSE())</f>
        <v>#N/A</v>
      </c>
      <c r="V90" s="0" t="e">
        <f aca="false">VLOOKUP($A90,content_factors_backup!$A$2:$Q$468,V$525,FALSE())</f>
        <v>#N/A</v>
      </c>
      <c r="W90" s="0" t="e">
        <f aca="false">VLOOKUP($A90,content_factors_backup!$A$2:$Q$468,W$525,FALSE())</f>
        <v>#N/A</v>
      </c>
    </row>
    <row r="91" customFormat="false" ht="14.25" hidden="false" customHeight="false" outlineLevel="0" collapsed="false">
      <c r="A91" s="0" t="n">
        <v>201</v>
      </c>
      <c r="B91" s="0" t="s">
        <v>239</v>
      </c>
      <c r="C91" s="0" t="s">
        <v>240</v>
      </c>
      <c r="E91" s="0" t="n">
        <v>71340</v>
      </c>
      <c r="F91" s="0" t="n">
        <v>71340</v>
      </c>
      <c r="G91" s="0" t="n">
        <v>1704</v>
      </c>
      <c r="I91" s="0" t="n">
        <f aca="false">VLOOKUP($A91,content_factors_backup!$A$2:$Q$468,I$525,FALSE())</f>
        <v>89</v>
      </c>
      <c r="J91" s="0" t="n">
        <f aca="false">VLOOKUP($A91,content_factors_backup!$A$2:$Q$468,J$525,FALSE())</f>
        <v>341</v>
      </c>
      <c r="K91" s="0" t="n">
        <f aca="false">VLOOKUP($A91,content_factors_backup!$A$2:$Q$468,K$525,FALSE())</f>
        <v>23.75</v>
      </c>
      <c r="L91" s="0" t="n">
        <f aca="false">VLOOKUP($A91,content_factors_backup!$A$2:$Q$468,L$525,FALSE())</f>
        <v>7.3</v>
      </c>
      <c r="M91" s="0" t="n">
        <f aca="false">VLOOKUP($A91,content_factors_backup!$A$2:$Q$468,M$525,FALSE())</f>
        <v>3</v>
      </c>
      <c r="N91" s="0" t="n">
        <f aca="false">VLOOKUP($A91,content_factors_backup!$A$2:$Q$468,N$525,FALSE())</f>
        <v>7</v>
      </c>
      <c r="O91" s="0" t="n">
        <f aca="false">VLOOKUP($A91,content_factors_backup!$A$2:$Q$468,O$525,FALSE())</f>
        <v>67.5</v>
      </c>
      <c r="P91" s="0" t="n">
        <f aca="false">VLOOKUP($A91,content_factors_backup!$A$2:$Q$468,P$525,FALSE())</f>
        <v>295</v>
      </c>
      <c r="Q91" s="0" t="n">
        <f aca="false">VLOOKUP($A91,content_factors_backup!$A$2:$Q$468,Q$525,FALSE())</f>
        <v>0.2205</v>
      </c>
      <c r="R91" s="0" t="n">
        <f aca="false">VLOOKUP($A91,content_factors_backup!$A$2:$Q$468,R$525,FALSE())</f>
        <v>197.7</v>
      </c>
      <c r="S91" s="0" t="n">
        <f aca="false">VLOOKUP($A91,content_factors_backup!$A$2:$Q$468,S$525,FALSE())</f>
        <v>855</v>
      </c>
      <c r="T91" s="0" t="n">
        <f aca="false">VLOOKUP($A91,content_factors_backup!$A$2:$Q$468,T$525,FALSE())</f>
        <v>0.11</v>
      </c>
      <c r="U91" s="0" t="n">
        <f aca="false">VLOOKUP($A91,content_factors_backup!$A$2:$Q$468,U$525,FALSE())</f>
        <v>0</v>
      </c>
      <c r="V91" s="0" t="n">
        <f aca="false">VLOOKUP($A91,content_factors_backup!$A$2:$Q$468,V$525,FALSE())</f>
        <v>1.7</v>
      </c>
      <c r="W91" s="0" t="n">
        <f aca="false">VLOOKUP($A91,content_factors_backup!$A$2:$Q$468,W$525,FALSE())</f>
        <v>3.5</v>
      </c>
    </row>
    <row r="92" customFormat="false" ht="14.25" hidden="false" customHeight="false" outlineLevel="0" collapsed="false">
      <c r="A92" s="0" t="n">
        <v>203</v>
      </c>
      <c r="B92" s="0" t="s">
        <v>241</v>
      </c>
      <c r="C92" s="0" t="s">
        <v>242</v>
      </c>
      <c r="E92" s="0" t="n">
        <v>71339</v>
      </c>
      <c r="F92" s="0" t="n">
        <v>71334</v>
      </c>
      <c r="G92" s="0" t="n">
        <v>1708</v>
      </c>
      <c r="I92" s="0" t="n">
        <f aca="false">VLOOKUP($A92,content_factors_backup!$A$2:$Q$468,I$525,FALSE())</f>
        <v>90</v>
      </c>
      <c r="J92" s="0" t="n">
        <f aca="false">VLOOKUP($A92,content_factors_backup!$A$2:$Q$468,J$525,FALSE())</f>
        <v>372.5</v>
      </c>
      <c r="K92" s="0" t="n">
        <f aca="false">VLOOKUP($A92,content_factors_backup!$A$2:$Q$468,K$525,FALSE())</f>
        <v>19.39</v>
      </c>
      <c r="L92" s="0" t="n">
        <f aca="false">VLOOKUP($A92,content_factors_backup!$A$2:$Q$468,L$525,FALSE())</f>
        <v>4.8</v>
      </c>
      <c r="M92" s="0" t="n">
        <f aca="false">VLOOKUP($A92,content_factors_backup!$A$2:$Q$468,M$525,FALSE())</f>
        <v>2.8660500025</v>
      </c>
      <c r="N92" s="0" t="n">
        <f aca="false">VLOOKUP($A92,content_factors_backup!$A$2:$Q$468,N$525,FALSE())</f>
        <v>3.3</v>
      </c>
      <c r="O92" s="0" t="n">
        <f aca="false">VLOOKUP($A92,content_factors_backup!$A$2:$Q$468,O$525,FALSE())</f>
        <v>55.865</v>
      </c>
      <c r="P92" s="0" t="n">
        <f aca="false">VLOOKUP($A92,content_factors_backup!$A$2:$Q$468,P$525,FALSE())</f>
        <v>0</v>
      </c>
      <c r="Q92" s="0" t="n">
        <f aca="false">VLOOKUP($A92,content_factors_backup!$A$2:$Q$468,Q$525,FALSE())</f>
        <v>0.122751079</v>
      </c>
      <c r="R92" s="0" t="n">
        <f aca="false">VLOOKUP($A92,content_factors_backup!$A$2:$Q$468,R$525,FALSE())</f>
        <v>0</v>
      </c>
      <c r="S92" s="0" t="n">
        <f aca="false">VLOOKUP($A92,content_factors_backup!$A$2:$Q$468,S$525,FALSE())</f>
        <v>1240</v>
      </c>
      <c r="T92" s="0" t="n">
        <f aca="false">VLOOKUP($A92,content_factors_backup!$A$2:$Q$468,T$525,FALSE())</f>
        <v>8.33</v>
      </c>
      <c r="U92" s="0" t="n">
        <f aca="false">VLOOKUP($A92,content_factors_backup!$A$2:$Q$468,U$525,FALSE())</f>
        <v>0</v>
      </c>
      <c r="V92" s="0" t="n">
        <f aca="false">VLOOKUP($A92,content_factors_backup!$A$2:$Q$468,V$525,FALSE())</f>
        <v>0</v>
      </c>
      <c r="W92" s="0" t="n">
        <f aca="false">VLOOKUP($A92,content_factors_backup!$A$2:$Q$468,W$525,FALSE())</f>
        <v>1.25</v>
      </c>
    </row>
    <row r="93" customFormat="false" ht="14.25" hidden="false" customHeight="false" outlineLevel="0" collapsed="false">
      <c r="A93" s="0" t="n">
        <v>205</v>
      </c>
      <c r="B93" s="0" t="s">
        <v>243</v>
      </c>
      <c r="C93" s="0" t="s">
        <v>244</v>
      </c>
      <c r="E93" s="0" t="n">
        <v>121490</v>
      </c>
      <c r="F93" s="0" t="n">
        <v>121490</v>
      </c>
      <c r="G93" s="0" t="n">
        <v>1709.01</v>
      </c>
      <c r="I93" s="0" t="n">
        <f aca="false">VLOOKUP($A93,content_factors_backup!$A$2:$Q$468,I$525,FALSE())</f>
        <v>90</v>
      </c>
      <c r="J93" s="0" t="n">
        <f aca="false">VLOOKUP($A93,content_factors_backup!$A$2:$Q$468,J$525,FALSE())</f>
        <v>203</v>
      </c>
      <c r="K93" s="0" t="n">
        <f aca="false">VLOOKUP($A93,content_factors_backup!$A$2:$Q$468,K$525,FALSE())</f>
        <v>15.7</v>
      </c>
      <c r="L93" s="0" t="n">
        <f aca="false">VLOOKUP($A93,content_factors_backup!$A$2:$Q$468,L$525,FALSE())</f>
        <v>2</v>
      </c>
      <c r="M93" s="0" t="n">
        <f aca="false">VLOOKUP($A93,content_factors_backup!$A$2:$Q$468,M$525,FALSE())</f>
        <v>0</v>
      </c>
      <c r="N93" s="0" t="n">
        <f aca="false">VLOOKUP($A93,content_factors_backup!$A$2:$Q$468,N$525,FALSE())</f>
        <v>9.3</v>
      </c>
      <c r="O93" s="0" t="n">
        <f aca="false">VLOOKUP($A93,content_factors_backup!$A$2:$Q$468,O$525,FALSE())</f>
        <v>203.5</v>
      </c>
      <c r="P93" s="0" t="n">
        <f aca="false">VLOOKUP($A93,content_factors_backup!$A$2:$Q$468,P$525,FALSE())</f>
        <v>0</v>
      </c>
      <c r="Q93" s="0" t="n">
        <f aca="false">VLOOKUP($A93,content_factors_backup!$A$2:$Q$468,Q$525,FALSE())</f>
        <v>0.1</v>
      </c>
      <c r="R93" s="0" t="n">
        <f aca="false">VLOOKUP($A93,content_factors_backup!$A$2:$Q$468,R$525,FALSE())</f>
        <v>0</v>
      </c>
      <c r="S93" s="0" t="n">
        <f aca="false">VLOOKUP($A93,content_factors_backup!$A$2:$Q$468,S$525,FALSE())</f>
        <v>0</v>
      </c>
      <c r="T93" s="0" t="n">
        <f aca="false">VLOOKUP($A93,content_factors_backup!$A$2:$Q$468,T$525,FALSE())</f>
        <v>0.431447958188791</v>
      </c>
      <c r="U93" s="0" t="n">
        <f aca="false">VLOOKUP($A93,content_factors_backup!$A$2:$Q$468,U$525,FALSE())</f>
        <v>0</v>
      </c>
      <c r="V93" s="0" t="n">
        <f aca="false">VLOOKUP($A93,content_factors_backup!$A$2:$Q$468,V$525,FALSE())</f>
        <v>2.84940450141925</v>
      </c>
      <c r="W93" s="0" t="n">
        <f aca="false">VLOOKUP($A93,content_factors_backup!$A$2:$Q$468,W$525,FALSE())</f>
        <v>0</v>
      </c>
    </row>
    <row r="94" customFormat="false" ht="14.25" hidden="false" customHeight="false" outlineLevel="0" collapsed="false">
      <c r="A94" s="0" t="n">
        <v>210</v>
      </c>
      <c r="B94" s="0" t="s">
        <v>245</v>
      </c>
      <c r="C94" s="0" t="s">
        <v>246</v>
      </c>
      <c r="E94" s="0" t="n">
        <v>121490</v>
      </c>
      <c r="F94" s="0" t="n">
        <v>121490</v>
      </c>
      <c r="G94" s="0" t="n">
        <v>1709.02</v>
      </c>
      <c r="I94" s="0" t="n">
        <f aca="false">VLOOKUP($A94,content_factors_backup!$A$2:$Q$468,I$525,FALSE())</f>
        <v>50</v>
      </c>
      <c r="J94" s="0" t="e">
        <f aca="false">VLOOKUP($A94,content_factors_backup!$A$2:$Q$468,J$525,FALSE())</f>
        <v>#N/A</v>
      </c>
      <c r="K94" s="0" t="e">
        <f aca="false">VLOOKUP($A94,content_factors_backup!$A$2:$Q$468,K$525,FALSE())</f>
        <v>#N/A</v>
      </c>
      <c r="L94" s="0" t="e">
        <f aca="false">VLOOKUP($A94,content_factors_backup!$A$2:$Q$468,L$525,FALSE())</f>
        <v>#N/A</v>
      </c>
      <c r="M94" s="0" t="e">
        <f aca="false">VLOOKUP($A94,content_factors_backup!$A$2:$Q$468,M$525,FALSE())</f>
        <v>#N/A</v>
      </c>
      <c r="N94" s="0" t="e">
        <f aca="false">VLOOKUP($A94,content_factors_backup!$A$2:$Q$468,N$525,FALSE())</f>
        <v>#N/A</v>
      </c>
      <c r="O94" s="0" t="e">
        <f aca="false">VLOOKUP($A94,content_factors_backup!$A$2:$Q$468,O$525,FALSE())</f>
        <v>#N/A</v>
      </c>
      <c r="P94" s="0" t="e">
        <f aca="false">VLOOKUP($A94,content_factors_backup!$A$2:$Q$468,P$525,FALSE())</f>
        <v>#N/A</v>
      </c>
      <c r="Q94" s="0" t="e">
        <f aca="false">VLOOKUP($A94,content_factors_backup!$A$2:$Q$468,Q$525,FALSE())</f>
        <v>#N/A</v>
      </c>
      <c r="R94" s="0" t="e">
        <f aca="false">VLOOKUP($A94,content_factors_backup!$A$2:$Q$468,R$525,FALSE())</f>
        <v>#N/A</v>
      </c>
      <c r="S94" s="0" t="e">
        <f aca="false">VLOOKUP($A94,content_factors_backup!$A$2:$Q$468,S$525,FALSE())</f>
        <v>#N/A</v>
      </c>
      <c r="T94" s="0" t="e">
        <f aca="false">VLOOKUP($A94,content_factors_backup!$A$2:$Q$468,T$525,FALSE())</f>
        <v>#N/A</v>
      </c>
      <c r="U94" s="0" t="e">
        <f aca="false">VLOOKUP($A94,content_factors_backup!$A$2:$Q$468,U$525,FALSE())</f>
        <v>#N/A</v>
      </c>
      <c r="V94" s="0" t="e">
        <f aca="false">VLOOKUP($A94,content_factors_backup!$A$2:$Q$468,V$525,FALSE())</f>
        <v>#N/A</v>
      </c>
      <c r="W94" s="0" t="e">
        <f aca="false">VLOOKUP($A94,content_factors_backup!$A$2:$Q$468,W$525,FALSE())</f>
        <v>#N/A</v>
      </c>
    </row>
    <row r="95" customFormat="false" ht="14.25" hidden="false" customHeight="false" outlineLevel="0" collapsed="false">
      <c r="A95" s="0" t="n">
        <v>211</v>
      </c>
      <c r="B95" s="0" t="s">
        <v>247</v>
      </c>
      <c r="C95" s="0" t="s">
        <v>248</v>
      </c>
      <c r="E95" s="0" t="n">
        <v>71390</v>
      </c>
      <c r="F95" s="0" t="n">
        <v>71390</v>
      </c>
      <c r="G95" s="0" t="n">
        <v>1709.9</v>
      </c>
      <c r="I95" s="0" t="n">
        <f aca="false">VLOOKUP($A95,content_factors_backup!$A$2:$Q$468,I$525,FALSE())</f>
        <v>90</v>
      </c>
      <c r="J95" s="0" t="n">
        <f aca="false">VLOOKUP($A95,content_factors_backup!$A$2:$Q$468,J$525,FALSE())</f>
        <v>349</v>
      </c>
      <c r="K95" s="0" t="n">
        <f aca="false">VLOOKUP($A95,content_factors_backup!$A$2:$Q$468,K$525,FALSE())</f>
        <v>23.875</v>
      </c>
      <c r="L95" s="0" t="n">
        <f aca="false">VLOOKUP($A95,content_factors_backup!$A$2:$Q$468,L$525,FALSE())</f>
        <v>7.4</v>
      </c>
      <c r="M95" s="0" t="n">
        <f aca="false">VLOOKUP($A95,content_factors_backup!$A$2:$Q$468,M$525,FALSE())</f>
        <v>3.99</v>
      </c>
      <c r="N95" s="0" t="n">
        <f aca="false">VLOOKUP($A95,content_factors_backup!$A$2:$Q$468,N$525,FALSE())</f>
        <v>7</v>
      </c>
      <c r="O95" s="0" t="n">
        <f aca="false">VLOOKUP($A95,content_factors_backup!$A$2:$Q$468,O$525,FALSE())</f>
        <v>158</v>
      </c>
      <c r="P95" s="0" t="n">
        <f aca="false">VLOOKUP($A95,content_factors_backup!$A$2:$Q$468,P$525,FALSE())</f>
        <v>342</v>
      </c>
      <c r="Q95" s="0" t="n">
        <f aca="false">VLOOKUP($A95,content_factors_backup!$A$2:$Q$468,Q$525,FALSE())</f>
        <v>0.18</v>
      </c>
      <c r="R95" s="0" t="n">
        <f aca="false">VLOOKUP($A95,content_factors_backup!$A$2:$Q$468,R$525,FALSE())</f>
        <v>352</v>
      </c>
      <c r="S95" s="0" t="n">
        <f aca="false">VLOOKUP($A95,content_factors_backup!$A$2:$Q$468,S$525,FALSE())</f>
        <v>1157</v>
      </c>
      <c r="T95" s="0" t="n">
        <f aca="false">VLOOKUP($A95,content_factors_backup!$A$2:$Q$468,T$525,FALSE())</f>
        <v>0.75</v>
      </c>
      <c r="U95" s="0" t="n">
        <f aca="false">VLOOKUP($A95,content_factors_backup!$A$2:$Q$468,U$525,FALSE())</f>
        <v>0</v>
      </c>
      <c r="V95" s="0" t="n">
        <f aca="false">VLOOKUP($A95,content_factors_backup!$A$2:$Q$468,V$525,FALSE())</f>
        <v>3</v>
      </c>
      <c r="W95" s="0" t="n">
        <f aca="false">VLOOKUP($A95,content_factors_backup!$A$2:$Q$468,W$525,FALSE())</f>
        <v>1</v>
      </c>
    </row>
    <row r="96" customFormat="false" ht="14.25" hidden="false" customHeight="false" outlineLevel="0" collapsed="false">
      <c r="A96" s="0" t="n">
        <v>212</v>
      </c>
      <c r="B96" s="0" t="s">
        <v>249</v>
      </c>
      <c r="C96" s="0" t="s">
        <v>250</v>
      </c>
      <c r="E96" s="0" t="n">
        <v>110610</v>
      </c>
      <c r="F96" s="0" t="n">
        <v>110610</v>
      </c>
      <c r="G96" s="0" t="n">
        <v>23170.03</v>
      </c>
      <c r="I96" s="0" t="n">
        <f aca="false">VLOOKUP($A96,content_factors_backup!$A$2:$Q$468,I$525,FALSE())</f>
        <v>90</v>
      </c>
      <c r="J96" s="0" t="n">
        <f aca="false">VLOOKUP($A96,content_factors_backup!$A$2:$Q$468,J$525,FALSE())</f>
        <v>424</v>
      </c>
      <c r="K96" s="0" t="n">
        <f aca="false">VLOOKUP($A96,content_factors_backup!$A$2:$Q$468,K$525,FALSE())</f>
        <v>27.65</v>
      </c>
      <c r="L96" s="0" t="n">
        <f aca="false">VLOOKUP($A96,content_factors_backup!$A$2:$Q$468,L$525,FALSE())</f>
        <v>10.2</v>
      </c>
      <c r="M96" s="0" t="n">
        <f aca="false">VLOOKUP($A96,content_factors_backup!$A$2:$Q$468,M$525,FALSE())</f>
        <v>2.975</v>
      </c>
      <c r="N96" s="0" t="n">
        <f aca="false">VLOOKUP($A96,content_factors_backup!$A$2:$Q$468,N$525,FALSE())</f>
        <v>9.15</v>
      </c>
      <c r="O96" s="0" t="n">
        <f aca="false">VLOOKUP($A96,content_factors_backup!$A$2:$Q$468,O$525,FALSE())</f>
        <v>100</v>
      </c>
      <c r="P96" s="0" t="n">
        <f aca="false">VLOOKUP($A96,content_factors_backup!$A$2:$Q$468,P$525,FALSE())</f>
        <v>345</v>
      </c>
      <c r="Q96" s="0" t="n">
        <f aca="false">VLOOKUP($A96,content_factors_backup!$A$2:$Q$468,Q$525,FALSE())</f>
        <v>0.24</v>
      </c>
      <c r="R96" s="0" t="n">
        <f aca="false">VLOOKUP($A96,content_factors_backup!$A$2:$Q$468,R$525,FALSE())</f>
        <v>190.6</v>
      </c>
      <c r="S96" s="0" t="n">
        <f aca="false">VLOOKUP($A96,content_factors_backup!$A$2:$Q$468,S$525,FALSE())</f>
        <v>1062</v>
      </c>
      <c r="T96" s="0" t="n">
        <f aca="false">VLOOKUP($A96,content_factors_backup!$A$2:$Q$468,T$525,FALSE())</f>
        <v>0.83</v>
      </c>
      <c r="U96" s="0" t="n">
        <f aca="false">VLOOKUP($A96,content_factors_backup!$A$2:$Q$468,U$525,FALSE())</f>
        <v>0</v>
      </c>
      <c r="V96" s="0" t="n">
        <f aca="false">VLOOKUP($A96,content_factors_backup!$A$2:$Q$468,V$525,FALSE())</f>
        <v>9.1</v>
      </c>
      <c r="W96" s="0" t="n">
        <f aca="false">VLOOKUP($A96,content_factors_backup!$A$2:$Q$468,W$525,FALSE())</f>
        <v>2</v>
      </c>
    </row>
    <row r="97" customFormat="false" ht="14.25" hidden="false" customHeight="false" outlineLevel="0" collapsed="false">
      <c r="A97" s="0" t="n">
        <v>216</v>
      </c>
      <c r="B97" s="0" t="s">
        <v>251</v>
      </c>
      <c r="C97" s="0" t="s">
        <v>252</v>
      </c>
      <c r="E97" s="0" t="n">
        <v>80121</v>
      </c>
      <c r="F97" s="0" t="n">
        <v>80121</v>
      </c>
      <c r="G97" s="0" t="n">
        <v>1377</v>
      </c>
      <c r="I97" s="0" t="n">
        <f aca="false">VLOOKUP($A97,content_factors_backup!$A$2:$Q$468,I$525,FALSE())</f>
        <v>95.4</v>
      </c>
      <c r="J97" s="0" t="n">
        <f aca="false">VLOOKUP($A97,content_factors_backup!$A$2:$Q$468,J$525,FALSE())</f>
        <v>653.5</v>
      </c>
      <c r="K97" s="0" t="n">
        <f aca="false">VLOOKUP($A97,content_factors_backup!$A$2:$Q$468,K$525,FALSE())</f>
        <v>14.8</v>
      </c>
      <c r="L97" s="0" t="n">
        <f aca="false">VLOOKUP($A97,content_factors_backup!$A$2:$Q$468,L$525,FALSE())</f>
        <v>7.5</v>
      </c>
      <c r="M97" s="0" t="n">
        <f aca="false">VLOOKUP($A97,content_factors_backup!$A$2:$Q$468,M$525,FALSE())</f>
        <v>4.06</v>
      </c>
      <c r="N97" s="0" t="n">
        <f aca="false">VLOOKUP($A97,content_factors_backup!$A$2:$Q$468,N$525,FALSE())</f>
        <v>2.265</v>
      </c>
      <c r="O97" s="0" t="n">
        <f aca="false">VLOOKUP($A97,content_factors_backup!$A$2:$Q$468,O$525,FALSE())</f>
        <v>165</v>
      </c>
      <c r="P97" s="0" t="n">
        <f aca="false">VLOOKUP($A97,content_factors_backup!$A$2:$Q$468,P$525,FALSE())</f>
        <v>22</v>
      </c>
      <c r="Q97" s="0" t="n">
        <f aca="false">VLOOKUP($A97,content_factors_backup!$A$2:$Q$468,Q$525,FALSE())</f>
        <v>0.1</v>
      </c>
      <c r="R97" s="0" t="n">
        <f aca="false">VLOOKUP($A97,content_factors_backup!$A$2:$Q$468,R$525,FALSE())</f>
        <v>28.8</v>
      </c>
      <c r="S97" s="0" t="n">
        <f aca="false">VLOOKUP($A97,content_factors_backup!$A$2:$Q$468,S$525,FALSE())</f>
        <v>659</v>
      </c>
      <c r="T97" s="0" t="n">
        <f aca="false">VLOOKUP($A97,content_factors_backup!$A$2:$Q$468,T$525,FALSE())</f>
        <v>5.65</v>
      </c>
      <c r="U97" s="0" t="n">
        <f aca="false">VLOOKUP($A97,content_factors_backup!$A$2:$Q$468,U$525,FALSE())</f>
        <v>0</v>
      </c>
      <c r="V97" s="0" t="n">
        <f aca="false">VLOOKUP($A97,content_factors_backup!$A$2:$Q$468,V$525,FALSE())</f>
        <v>0</v>
      </c>
      <c r="W97" s="0" t="n">
        <f aca="false">VLOOKUP($A97,content_factors_backup!$A$2:$Q$468,W$525,FALSE())</f>
        <v>0</v>
      </c>
    </row>
    <row r="98" customFormat="false" ht="14.25" hidden="false" customHeight="false" outlineLevel="0" collapsed="false">
      <c r="A98" s="0" t="n">
        <v>217</v>
      </c>
      <c r="B98" s="0" t="s">
        <v>253</v>
      </c>
      <c r="C98" s="0" t="s">
        <v>254</v>
      </c>
      <c r="E98" s="0" t="n">
        <v>80131</v>
      </c>
      <c r="F98" s="0" t="n">
        <v>80131</v>
      </c>
      <c r="G98" s="0" t="n">
        <v>1372</v>
      </c>
      <c r="I98" s="0" t="n">
        <f aca="false">VLOOKUP($A98,content_factors_backup!$A$2:$Q$468,I$525,FALSE())</f>
        <v>95</v>
      </c>
      <c r="J98" s="0" t="n">
        <f aca="false">VLOOKUP($A98,content_factors_backup!$A$2:$Q$468,J$525,FALSE())</f>
        <v>572</v>
      </c>
      <c r="K98" s="0" t="n">
        <f aca="false">VLOOKUP($A98,content_factors_backup!$A$2:$Q$468,K$525,FALSE())</f>
        <v>18.22</v>
      </c>
      <c r="L98" s="0" t="n">
        <f aca="false">VLOOKUP($A98,content_factors_backup!$A$2:$Q$468,L$525,FALSE())</f>
        <v>3.1</v>
      </c>
      <c r="M98" s="0" t="n">
        <f aca="false">VLOOKUP($A98,content_factors_backup!$A$2:$Q$468,M$525,FALSE())</f>
        <v>5.185</v>
      </c>
      <c r="N98" s="0" t="n">
        <f aca="false">VLOOKUP($A98,content_factors_backup!$A$2:$Q$468,N$525,FALSE())</f>
        <v>6</v>
      </c>
      <c r="O98" s="0" t="n">
        <f aca="false">VLOOKUP($A98,content_factors_backup!$A$2:$Q$468,O$525,FALSE())</f>
        <v>38</v>
      </c>
      <c r="P98" s="0" t="n">
        <f aca="false">VLOOKUP($A98,content_factors_backup!$A$2:$Q$468,P$525,FALSE())</f>
        <v>35.5</v>
      </c>
      <c r="Q98" s="0" t="n">
        <f aca="false">VLOOKUP($A98,content_factors_backup!$A$2:$Q$468,Q$525,FALSE())</f>
        <v>0.18</v>
      </c>
      <c r="R98" s="0" t="n">
        <f aca="false">VLOOKUP($A98,content_factors_backup!$A$2:$Q$468,R$525,FALSE())</f>
        <v>0</v>
      </c>
      <c r="S98" s="0" t="n">
        <f aca="false">VLOOKUP($A98,content_factors_backup!$A$2:$Q$468,S$525,FALSE())</f>
        <v>650.5</v>
      </c>
      <c r="T98" s="0" t="n">
        <f aca="false">VLOOKUP($A98,content_factors_backup!$A$2:$Q$468,T$525,FALSE())</f>
        <v>0.9</v>
      </c>
      <c r="U98" s="0" t="n">
        <f aca="false">VLOOKUP($A98,content_factors_backup!$A$2:$Q$468,U$525,FALSE())</f>
        <v>0</v>
      </c>
      <c r="V98" s="0" t="n">
        <f aca="false">VLOOKUP($A98,content_factors_backup!$A$2:$Q$468,V$525,FALSE())</f>
        <v>34.1</v>
      </c>
      <c r="W98" s="0" t="n">
        <f aca="false">VLOOKUP($A98,content_factors_backup!$A$2:$Q$468,W$525,FALSE())</f>
        <v>4</v>
      </c>
    </row>
    <row r="99" customFormat="false" ht="14.25" hidden="false" customHeight="false" outlineLevel="0" collapsed="false">
      <c r="A99" s="0" t="n">
        <v>220</v>
      </c>
      <c r="B99" s="0" t="s">
        <v>255</v>
      </c>
      <c r="C99" s="0" t="s">
        <v>256</v>
      </c>
      <c r="E99" s="0" t="n">
        <v>80240</v>
      </c>
      <c r="F99" s="0" t="s">
        <v>257</v>
      </c>
      <c r="G99" s="0" t="n">
        <v>1373</v>
      </c>
      <c r="I99" s="0" t="n">
        <f aca="false">VLOOKUP($A99,content_factors_backup!$A$2:$Q$468,I$525,FALSE())</f>
        <v>92</v>
      </c>
      <c r="J99" s="0" t="n">
        <f aca="false">VLOOKUP($A99,content_factors_backup!$A$2:$Q$468,J$525,FALSE())</f>
        <v>224</v>
      </c>
      <c r="K99" s="0" t="n">
        <f aca="false">VLOOKUP($A99,content_factors_backup!$A$2:$Q$468,K$525,FALSE())</f>
        <v>4.7</v>
      </c>
      <c r="L99" s="0" t="n">
        <f aca="false">VLOOKUP($A99,content_factors_backup!$A$2:$Q$468,L$525,FALSE())</f>
        <v>12.3</v>
      </c>
      <c r="M99" s="0" t="n">
        <f aca="false">VLOOKUP($A99,content_factors_backup!$A$2:$Q$468,M$525,FALSE())</f>
        <v>0.46</v>
      </c>
      <c r="N99" s="0" t="n">
        <f aca="false">VLOOKUP($A99,content_factors_backup!$A$2:$Q$468,N$525,FALSE())</f>
        <v>1.5</v>
      </c>
      <c r="O99" s="0" t="n">
        <f aca="false">VLOOKUP($A99,content_factors_backup!$A$2:$Q$468,O$525,FALSE())</f>
        <v>28</v>
      </c>
      <c r="P99" s="0" t="n">
        <f aca="false">VLOOKUP($A99,content_factors_backup!$A$2:$Q$468,P$525,FALSE())</f>
        <v>109</v>
      </c>
      <c r="Q99" s="0" t="n">
        <f aca="false">VLOOKUP($A99,content_factors_backup!$A$2:$Q$468,Q$525,FALSE())</f>
        <v>0.17</v>
      </c>
      <c r="R99" s="0" t="n">
        <f aca="false">VLOOKUP($A99,content_factors_backup!$A$2:$Q$468,R$525,FALSE())</f>
        <v>0</v>
      </c>
      <c r="S99" s="0" t="n">
        <f aca="false">VLOOKUP($A99,content_factors_backup!$A$2:$Q$468,S$525,FALSE())</f>
        <v>653.5</v>
      </c>
      <c r="T99" s="0" t="n">
        <f aca="false">VLOOKUP($A99,content_factors_backup!$A$2:$Q$468,T$525,FALSE())</f>
        <v>0</v>
      </c>
      <c r="U99" s="0" t="n">
        <f aca="false">VLOOKUP($A99,content_factors_backup!$A$2:$Q$468,U$525,FALSE())</f>
        <v>0</v>
      </c>
      <c r="V99" s="0" t="n">
        <f aca="false">VLOOKUP($A99,content_factors_backup!$A$2:$Q$468,V$525,FALSE())</f>
        <v>0</v>
      </c>
      <c r="W99" s="0" t="n">
        <f aca="false">VLOOKUP($A99,content_factors_backup!$A$2:$Q$468,W$525,FALSE())</f>
        <v>16</v>
      </c>
    </row>
    <row r="100" customFormat="false" ht="14.25" hidden="false" customHeight="false" outlineLevel="0" collapsed="false">
      <c r="A100" s="0" t="n">
        <v>221</v>
      </c>
      <c r="B100" s="0" t="s">
        <v>258</v>
      </c>
      <c r="C100" s="0" t="s">
        <v>259</v>
      </c>
      <c r="E100" s="0" t="n">
        <v>80211</v>
      </c>
      <c r="F100" s="0" t="n">
        <v>80211</v>
      </c>
      <c r="G100" s="0" t="n">
        <v>1371</v>
      </c>
      <c r="I100" s="0" t="n">
        <f aca="false">VLOOKUP($A100,content_factors_backup!$A$2:$Q$468,I$525,FALSE())</f>
        <v>96</v>
      </c>
      <c r="J100" s="0" t="n">
        <f aca="false">VLOOKUP($A100,content_factors_backup!$A$2:$Q$468,J$525,FALSE())</f>
        <v>592</v>
      </c>
      <c r="K100" s="0" t="n">
        <f aca="false">VLOOKUP($A100,content_factors_backup!$A$2:$Q$468,K$525,FALSE())</f>
        <v>21.825</v>
      </c>
      <c r="L100" s="0" t="n">
        <f aca="false">VLOOKUP($A100,content_factors_backup!$A$2:$Q$468,L$525,FALSE())</f>
        <v>7.25</v>
      </c>
      <c r="M100" s="0" t="n">
        <f aca="false">VLOOKUP($A100,content_factors_backup!$A$2:$Q$468,M$525,FALSE())</f>
        <v>3.59</v>
      </c>
      <c r="N100" s="0" t="n">
        <f aca="false">VLOOKUP($A100,content_factors_backup!$A$2:$Q$468,N$525,FALSE())</f>
        <v>3.055</v>
      </c>
      <c r="O100" s="0" t="n">
        <f aca="false">VLOOKUP($A100,content_factors_backup!$A$2:$Q$468,O$525,FALSE())</f>
        <v>247</v>
      </c>
      <c r="P100" s="0" t="n">
        <f aca="false">VLOOKUP($A100,content_factors_backup!$A$2:$Q$468,P$525,FALSE())</f>
        <v>44</v>
      </c>
      <c r="Q100" s="0" t="n">
        <f aca="false">VLOOKUP($A100,content_factors_backup!$A$2:$Q$468,Q$525,FALSE())</f>
        <v>0.56</v>
      </c>
      <c r="R100" s="0" t="n">
        <f aca="false">VLOOKUP($A100,content_factors_backup!$A$2:$Q$468,R$525,FALSE())</f>
        <v>52.1</v>
      </c>
      <c r="S100" s="0" t="n">
        <f aca="false">VLOOKUP($A100,content_factors_backup!$A$2:$Q$468,S$525,FALSE())</f>
        <v>773</v>
      </c>
      <c r="T100" s="0" t="n">
        <f aca="false">VLOOKUP($A100,content_factors_backup!$A$2:$Q$468,T$525,FALSE())</f>
        <v>25.63</v>
      </c>
      <c r="U100" s="0" t="n">
        <f aca="false">VLOOKUP($A100,content_factors_backup!$A$2:$Q$468,U$525,FALSE())</f>
        <v>0</v>
      </c>
      <c r="V100" s="0" t="n">
        <f aca="false">VLOOKUP($A100,content_factors_backup!$A$2:$Q$468,V$525,FALSE())</f>
        <v>0</v>
      </c>
      <c r="W100" s="0" t="n">
        <f aca="false">VLOOKUP($A100,content_factors_backup!$A$2:$Q$468,W$525,FALSE())</f>
        <v>0</v>
      </c>
    </row>
    <row r="101" customFormat="false" ht="14.25" hidden="false" customHeight="false" outlineLevel="0" collapsed="false">
      <c r="A101" s="0" t="n">
        <v>222</v>
      </c>
      <c r="B101" s="0" t="s">
        <v>260</v>
      </c>
      <c r="C101" s="0" t="s">
        <v>261</v>
      </c>
      <c r="E101" s="0" t="n">
        <v>80231</v>
      </c>
      <c r="F101" s="0" t="n">
        <v>80231</v>
      </c>
      <c r="G101" s="0" t="n">
        <v>1376</v>
      </c>
      <c r="I101" s="0" t="n">
        <f aca="false">VLOOKUP($A101,content_factors_backup!$A$2:$Q$468,I$525,FALSE())</f>
        <v>96</v>
      </c>
      <c r="J101" s="0" t="n">
        <f aca="false">VLOOKUP($A101,content_factors_backup!$A$2:$Q$468,J$525,FALSE())</f>
        <v>646</v>
      </c>
      <c r="K101" s="0" t="n">
        <f aca="false">VLOOKUP($A101,content_factors_backup!$A$2:$Q$468,K$525,FALSE())</f>
        <v>15.23</v>
      </c>
      <c r="L101" s="0" t="n">
        <f aca="false">VLOOKUP($A101,content_factors_backup!$A$2:$Q$468,L$525,FALSE())</f>
        <v>6.7</v>
      </c>
      <c r="M101" s="0" t="n">
        <f aca="false">VLOOKUP($A101,content_factors_backup!$A$2:$Q$468,M$525,FALSE())</f>
        <v>3.09</v>
      </c>
      <c r="N101" s="0" t="n">
        <f aca="false">VLOOKUP($A101,content_factors_backup!$A$2:$Q$468,N$525,FALSE())</f>
        <v>2.955</v>
      </c>
      <c r="O101" s="0" t="n">
        <f aca="false">VLOOKUP($A101,content_factors_backup!$A$2:$Q$468,O$525,FALSE())</f>
        <v>91</v>
      </c>
      <c r="P101" s="0" t="n">
        <f aca="false">VLOOKUP($A101,content_factors_backup!$A$2:$Q$468,P$525,FALSE())</f>
        <v>64.5</v>
      </c>
      <c r="Q101" s="0" t="n">
        <f aca="false">VLOOKUP($A101,content_factors_backup!$A$2:$Q$468,Q$525,FALSE())</f>
        <v>0.14</v>
      </c>
      <c r="R101" s="0" t="n">
        <f aca="false">VLOOKUP($A101,content_factors_backup!$A$2:$Q$468,R$525,FALSE())</f>
        <v>35.65</v>
      </c>
      <c r="S101" s="0" t="n">
        <f aca="false">VLOOKUP($A101,content_factors_backup!$A$2:$Q$468,S$525,FALSE())</f>
        <v>486.5</v>
      </c>
      <c r="T101" s="0" t="n">
        <f aca="false">VLOOKUP($A101,content_factors_backup!$A$2:$Q$468,T$525,FALSE())</f>
        <v>0.7</v>
      </c>
      <c r="U101" s="0" t="n">
        <f aca="false">VLOOKUP($A101,content_factors_backup!$A$2:$Q$468,U$525,FALSE())</f>
        <v>0</v>
      </c>
      <c r="V101" s="0" t="n">
        <f aca="false">VLOOKUP($A101,content_factors_backup!$A$2:$Q$468,V$525,FALSE())</f>
        <v>2.7</v>
      </c>
      <c r="W101" s="0" t="n">
        <f aca="false">VLOOKUP($A101,content_factors_backup!$A$2:$Q$468,W$525,FALSE())</f>
        <v>4.3</v>
      </c>
    </row>
    <row r="102" customFormat="false" ht="14.25" hidden="false" customHeight="false" outlineLevel="0" collapsed="false">
      <c r="A102" s="0" t="n">
        <v>223</v>
      </c>
      <c r="B102" s="0" t="s">
        <v>262</v>
      </c>
      <c r="C102" s="0" t="s">
        <v>263</v>
      </c>
      <c r="E102" s="0" t="n">
        <v>80250</v>
      </c>
      <c r="F102" s="0" t="s">
        <v>264</v>
      </c>
      <c r="G102" s="0" t="n">
        <v>1375</v>
      </c>
      <c r="I102" s="0" t="n">
        <f aca="false">VLOOKUP($A102,content_factors_backup!$A$2:$Q$468,I$525,FALSE())</f>
        <v>95</v>
      </c>
      <c r="J102" s="0" t="n">
        <f aca="false">VLOOKUP($A102,content_factors_backup!$A$2:$Q$468,J$525,FALSE())</f>
        <v>612</v>
      </c>
      <c r="K102" s="0" t="n">
        <f aca="false">VLOOKUP($A102,content_factors_backup!$A$2:$Q$468,K$525,FALSE())</f>
        <v>20.135</v>
      </c>
      <c r="L102" s="0" t="n">
        <f aca="false">VLOOKUP($A102,content_factors_backup!$A$2:$Q$468,L$525,FALSE())</f>
        <v>8.2</v>
      </c>
      <c r="M102" s="0" t="n">
        <f aca="false">VLOOKUP($A102,content_factors_backup!$A$2:$Q$468,M$525,FALSE())</f>
        <v>2.655</v>
      </c>
      <c r="N102" s="0" t="n">
        <f aca="false">VLOOKUP($A102,content_factors_backup!$A$2:$Q$468,N$525,FALSE())</f>
        <v>5.85</v>
      </c>
      <c r="O102" s="0" t="n">
        <f aca="false">VLOOKUP($A102,content_factors_backup!$A$2:$Q$468,O$525,FALSE())</f>
        <v>119.5</v>
      </c>
      <c r="P102" s="0" t="n">
        <f aca="false">VLOOKUP($A102,content_factors_backup!$A$2:$Q$468,P$525,FALSE())</f>
        <v>51</v>
      </c>
      <c r="Q102" s="0" t="n">
        <f aca="false">VLOOKUP($A102,content_factors_backup!$A$2:$Q$468,Q$525,FALSE())</f>
        <v>0.1</v>
      </c>
      <c r="R102" s="0" t="n">
        <f aca="false">VLOOKUP($A102,content_factors_backup!$A$2:$Q$468,R$525,FALSE())</f>
        <v>0</v>
      </c>
      <c r="S102" s="0" t="n">
        <f aca="false">VLOOKUP($A102,content_factors_backup!$A$2:$Q$468,S$525,FALSE())</f>
        <v>998.5</v>
      </c>
      <c r="T102" s="0" t="n">
        <f aca="false">VLOOKUP($A102,content_factors_backup!$A$2:$Q$468,T$525,FALSE())</f>
        <v>2.3</v>
      </c>
      <c r="U102" s="0" t="n">
        <f aca="false">VLOOKUP($A102,content_factors_backup!$A$2:$Q$468,U$525,FALSE())</f>
        <v>0</v>
      </c>
      <c r="V102" s="0" t="n">
        <f aca="false">VLOOKUP($A102,content_factors_backup!$A$2:$Q$468,V$525,FALSE())</f>
        <v>0</v>
      </c>
      <c r="W102" s="0" t="n">
        <f aca="false">VLOOKUP($A102,content_factors_backup!$A$2:$Q$468,W$525,FALSE())</f>
        <v>79.5</v>
      </c>
    </row>
    <row r="103" customFormat="false" ht="14.25" hidden="false" customHeight="false" outlineLevel="0" collapsed="false">
      <c r="A103" s="0" t="n">
        <v>224</v>
      </c>
      <c r="B103" s="0" t="s">
        <v>265</v>
      </c>
      <c r="C103" s="0" t="s">
        <v>266</v>
      </c>
      <c r="E103" s="0" t="n">
        <v>80290</v>
      </c>
      <c r="F103" s="0" t="n">
        <v>80270</v>
      </c>
      <c r="G103" s="0" t="n">
        <v>1379.02</v>
      </c>
      <c r="I103" s="0" t="n">
        <f aca="false">VLOOKUP($A103,content_factors_backup!$A$2:$Q$468,I$525,FALSE())</f>
        <v>95</v>
      </c>
      <c r="J103" s="0" t="n">
        <f aca="false">VLOOKUP($A103,content_factors_backup!$A$2:$Q$468,J$525,FALSE())</f>
        <v>154.5</v>
      </c>
      <c r="K103" s="0" t="n">
        <f aca="false">VLOOKUP($A103,content_factors_backup!$A$2:$Q$468,K$525,FALSE())</f>
        <v>2.5460666745</v>
      </c>
      <c r="L103" s="0" t="n">
        <f aca="false">VLOOKUP($A103,content_factors_backup!$A$2:$Q$468,L$525,FALSE())</f>
        <v>1.4</v>
      </c>
      <c r="M103" s="0" t="n">
        <f aca="false">VLOOKUP($A103,content_factors_backup!$A$2:$Q$468,M$525,FALSE())</f>
        <v>0</v>
      </c>
      <c r="N103" s="0" t="n">
        <f aca="false">VLOOKUP($A103,content_factors_backup!$A$2:$Q$468,N$525,FALSE())</f>
        <v>2</v>
      </c>
      <c r="O103" s="0" t="n">
        <f aca="false">VLOOKUP($A103,content_factors_backup!$A$2:$Q$468,O$525,FALSE())</f>
        <v>51</v>
      </c>
      <c r="P103" s="0" t="n">
        <f aca="false">VLOOKUP($A103,content_factors_backup!$A$2:$Q$468,P$525,FALSE())</f>
        <v>0</v>
      </c>
      <c r="Q103" s="0" t="n">
        <f aca="false">VLOOKUP($A103,content_factors_backup!$A$2:$Q$468,Q$525,FALSE())</f>
        <v>0.0275</v>
      </c>
      <c r="R103" s="0" t="n">
        <f aca="false">VLOOKUP($A103,content_factors_backup!$A$2:$Q$468,R$525,FALSE())</f>
        <v>0</v>
      </c>
      <c r="S103" s="0" t="n">
        <f aca="false">VLOOKUP($A103,content_factors_backup!$A$2:$Q$468,S$525,FALSE())</f>
        <v>0</v>
      </c>
      <c r="T103" s="0" t="n">
        <f aca="false">VLOOKUP($A103,content_factors_backup!$A$2:$Q$468,T$525,FALSE())</f>
        <v>0</v>
      </c>
      <c r="U103" s="0" t="n">
        <f aca="false">VLOOKUP($A103,content_factors_backup!$A$2:$Q$468,U$525,FALSE())</f>
        <v>0</v>
      </c>
      <c r="V103" s="0" t="n">
        <f aca="false">VLOOKUP($A103,content_factors_backup!$A$2:$Q$468,V$525,FALSE())</f>
        <v>0</v>
      </c>
      <c r="W103" s="0" t="n">
        <f aca="false">VLOOKUP($A103,content_factors_backup!$A$2:$Q$468,W$525,FALSE())</f>
        <v>1.0416666665</v>
      </c>
    </row>
    <row r="104" customFormat="false" ht="14.25" hidden="false" customHeight="false" outlineLevel="0" collapsed="false">
      <c r="A104" s="0" t="n">
        <v>225</v>
      </c>
      <c r="B104" s="0" t="s">
        <v>267</v>
      </c>
      <c r="C104" s="0" t="s">
        <v>268</v>
      </c>
      <c r="E104" s="0" t="n">
        <v>80221</v>
      </c>
      <c r="F104" s="0" t="n">
        <v>80221</v>
      </c>
      <c r="G104" s="0" t="n">
        <v>1374</v>
      </c>
      <c r="I104" s="0" t="n">
        <f aca="false">VLOOKUP($A104,content_factors_backup!$A$2:$Q$468,I$525,FALSE())</f>
        <v>94.2</v>
      </c>
      <c r="J104" s="0" t="n">
        <f aca="false">VLOOKUP($A104,content_factors_backup!$A$2:$Q$468,J$525,FALSE())</f>
        <v>588</v>
      </c>
      <c r="K104" s="0" t="n">
        <f aca="false">VLOOKUP($A104,content_factors_backup!$A$2:$Q$468,K$525,FALSE())</f>
        <v>14.325</v>
      </c>
      <c r="L104" s="0" t="n">
        <f aca="false">VLOOKUP($A104,content_factors_backup!$A$2:$Q$468,L$525,FALSE())</f>
        <v>7.65</v>
      </c>
      <c r="M104" s="0" t="n">
        <f aca="false">VLOOKUP($A104,content_factors_backup!$A$2:$Q$468,M$525,FALSE())</f>
        <v>4.14</v>
      </c>
      <c r="N104" s="0" t="n">
        <f aca="false">VLOOKUP($A104,content_factors_backup!$A$2:$Q$468,N$525,FALSE())</f>
        <v>4.4</v>
      </c>
      <c r="O104" s="0" t="n">
        <f aca="false">VLOOKUP($A104,content_factors_backup!$A$2:$Q$468,O$525,FALSE())</f>
        <v>184</v>
      </c>
      <c r="P104" s="0" t="n">
        <f aca="false">VLOOKUP($A104,content_factors_backup!$A$2:$Q$468,P$525,FALSE())</f>
        <v>113</v>
      </c>
      <c r="Q104" s="0" t="n">
        <f aca="false">VLOOKUP($A104,content_factors_backup!$A$2:$Q$468,Q$525,FALSE())</f>
        <v>0.285</v>
      </c>
      <c r="R104" s="0" t="n">
        <f aca="false">VLOOKUP($A104,content_factors_backup!$A$2:$Q$468,R$525,FALSE())</f>
        <v>45.6</v>
      </c>
      <c r="S104" s="0" t="n">
        <f aca="false">VLOOKUP($A104,content_factors_backup!$A$2:$Q$468,S$525,FALSE())</f>
        <v>680</v>
      </c>
      <c r="T104" s="0" t="n">
        <f aca="false">VLOOKUP($A104,content_factors_backup!$A$2:$Q$468,T$525,FALSE())</f>
        <v>15.03</v>
      </c>
      <c r="U104" s="0" t="n">
        <f aca="false">VLOOKUP($A104,content_factors_backup!$A$2:$Q$468,U$525,FALSE())</f>
        <v>0</v>
      </c>
      <c r="V104" s="0" t="n">
        <f aca="false">VLOOKUP($A104,content_factors_backup!$A$2:$Q$468,V$525,FALSE())</f>
        <v>14.2</v>
      </c>
      <c r="W104" s="0" t="n">
        <f aca="false">VLOOKUP($A104,content_factors_backup!$A$2:$Q$468,W$525,FALSE())</f>
        <v>8</v>
      </c>
    </row>
    <row r="105" customFormat="false" ht="14.25" hidden="false" customHeight="false" outlineLevel="0" collapsed="false">
      <c r="A105" s="0" t="n">
        <v>226</v>
      </c>
      <c r="B105" s="0" t="s">
        <v>269</v>
      </c>
      <c r="C105" s="0" t="s">
        <v>270</v>
      </c>
      <c r="E105" s="0" t="n">
        <v>80290</v>
      </c>
      <c r="F105" s="0" t="n">
        <v>80280</v>
      </c>
      <c r="G105" s="0" t="n">
        <v>1379.01</v>
      </c>
      <c r="I105" s="0" t="n">
        <f aca="false">VLOOKUP($A105,content_factors_backup!$A$2:$Q$468,I$525,FALSE())</f>
        <v>95</v>
      </c>
      <c r="J105" s="0" t="e">
        <f aca="false">VLOOKUP($A105,content_factors_backup!$A$2:$Q$468,J$525,FALSE())</f>
        <v>#N/A</v>
      </c>
      <c r="K105" s="0" t="e">
        <f aca="false">VLOOKUP($A105,content_factors_backup!$A$2:$Q$468,K$525,FALSE())</f>
        <v>#N/A</v>
      </c>
      <c r="L105" s="0" t="e">
        <f aca="false">VLOOKUP($A105,content_factors_backup!$A$2:$Q$468,L$525,FALSE())</f>
        <v>#N/A</v>
      </c>
      <c r="M105" s="0" t="e">
        <f aca="false">VLOOKUP($A105,content_factors_backup!$A$2:$Q$468,M$525,FALSE())</f>
        <v>#N/A</v>
      </c>
      <c r="N105" s="0" t="e">
        <f aca="false">VLOOKUP($A105,content_factors_backup!$A$2:$Q$468,N$525,FALSE())</f>
        <v>#N/A</v>
      </c>
      <c r="O105" s="0" t="e">
        <f aca="false">VLOOKUP($A105,content_factors_backup!$A$2:$Q$468,O$525,FALSE())</f>
        <v>#N/A</v>
      </c>
      <c r="P105" s="0" t="e">
        <f aca="false">VLOOKUP($A105,content_factors_backup!$A$2:$Q$468,P$525,FALSE())</f>
        <v>#N/A</v>
      </c>
      <c r="Q105" s="0" t="e">
        <f aca="false">VLOOKUP($A105,content_factors_backup!$A$2:$Q$468,Q$525,FALSE())</f>
        <v>#N/A</v>
      </c>
      <c r="R105" s="0" t="e">
        <f aca="false">VLOOKUP($A105,content_factors_backup!$A$2:$Q$468,R$525,FALSE())</f>
        <v>#N/A</v>
      </c>
      <c r="S105" s="0" t="e">
        <f aca="false">VLOOKUP($A105,content_factors_backup!$A$2:$Q$468,S$525,FALSE())</f>
        <v>#N/A</v>
      </c>
      <c r="T105" s="0" t="e">
        <f aca="false">VLOOKUP($A105,content_factors_backup!$A$2:$Q$468,T$525,FALSE())</f>
        <v>#N/A</v>
      </c>
      <c r="U105" s="0" t="e">
        <f aca="false">VLOOKUP($A105,content_factors_backup!$A$2:$Q$468,U$525,FALSE())</f>
        <v>#N/A</v>
      </c>
      <c r="V105" s="0" t="e">
        <f aca="false">VLOOKUP($A105,content_factors_backup!$A$2:$Q$468,V$525,FALSE())</f>
        <v>#N/A</v>
      </c>
      <c r="W105" s="0" t="e">
        <f aca="false">VLOOKUP($A105,content_factors_backup!$A$2:$Q$468,W$525,FALSE())</f>
        <v>#N/A</v>
      </c>
    </row>
    <row r="106" customFormat="false" ht="14.25" hidden="false" customHeight="false" outlineLevel="0" collapsed="false">
      <c r="A106" s="0" t="n">
        <v>229</v>
      </c>
      <c r="B106" s="0" t="s">
        <v>271</v>
      </c>
      <c r="C106" s="0" t="s">
        <v>272</v>
      </c>
      <c r="E106" s="0" t="n">
        <v>80122</v>
      </c>
      <c r="F106" s="0" t="n">
        <v>80122</v>
      </c>
      <c r="G106" s="0" t="n">
        <v>21429.01</v>
      </c>
      <c r="I106" s="0" t="n">
        <f aca="false">VLOOKUP($A106,content_factors_backup!$A$2:$Q$468,I$525,FALSE())</f>
        <v>95</v>
      </c>
      <c r="J106" s="0" t="n">
        <f aca="false">VLOOKUP($A106,content_factors_backup!$A$2:$Q$468,J$525,FALSE())</f>
        <v>653.5</v>
      </c>
      <c r="K106" s="0" t="n">
        <f aca="false">VLOOKUP($A106,content_factors_backup!$A$2:$Q$468,K$525,FALSE())</f>
        <v>14.8</v>
      </c>
      <c r="L106" s="0" t="n">
        <f aca="false">VLOOKUP($A106,content_factors_backup!$A$2:$Q$468,L$525,FALSE())</f>
        <v>7.5</v>
      </c>
      <c r="M106" s="0" t="n">
        <f aca="false">VLOOKUP($A106,content_factors_backup!$A$2:$Q$468,M$525,FALSE())</f>
        <v>4.06</v>
      </c>
      <c r="N106" s="0" t="n">
        <f aca="false">VLOOKUP($A106,content_factors_backup!$A$2:$Q$468,N$525,FALSE())</f>
        <v>2.265</v>
      </c>
      <c r="O106" s="0" t="n">
        <f aca="false">VLOOKUP($A106,content_factors_backup!$A$2:$Q$468,O$525,FALSE())</f>
        <v>165</v>
      </c>
      <c r="P106" s="0" t="n">
        <f aca="false">VLOOKUP($A106,content_factors_backup!$A$2:$Q$468,P$525,FALSE())</f>
        <v>22</v>
      </c>
      <c r="Q106" s="0" t="n">
        <f aca="false">VLOOKUP($A106,content_factors_backup!$A$2:$Q$468,Q$525,FALSE())</f>
        <v>0.1</v>
      </c>
      <c r="R106" s="0" t="n">
        <f aca="false">VLOOKUP($A106,content_factors_backup!$A$2:$Q$468,R$525,FALSE())</f>
        <v>28.8</v>
      </c>
      <c r="S106" s="0" t="n">
        <f aca="false">VLOOKUP($A106,content_factors_backup!$A$2:$Q$468,S$525,FALSE())</f>
        <v>659</v>
      </c>
      <c r="T106" s="0" t="n">
        <f aca="false">VLOOKUP($A106,content_factors_backup!$A$2:$Q$468,T$525,FALSE())</f>
        <v>5.65</v>
      </c>
      <c r="U106" s="0" t="n">
        <f aca="false">VLOOKUP($A106,content_factors_backup!$A$2:$Q$468,U$525,FALSE())</f>
        <v>0</v>
      </c>
      <c r="V106" s="0" t="n">
        <f aca="false">VLOOKUP($A106,content_factors_backup!$A$2:$Q$468,V$525,FALSE())</f>
        <v>0</v>
      </c>
      <c r="W106" s="0" t="n">
        <f aca="false">VLOOKUP($A106,content_factors_backup!$A$2:$Q$468,W$525,FALSE())</f>
        <v>0</v>
      </c>
    </row>
    <row r="107" customFormat="false" ht="14.25" hidden="false" customHeight="false" outlineLevel="0" collapsed="false">
      <c r="A107" s="0" t="n">
        <v>230</v>
      </c>
      <c r="B107" s="0" t="s">
        <v>273</v>
      </c>
      <c r="C107" s="0" t="s">
        <v>274</v>
      </c>
      <c r="E107" s="0" t="n">
        <v>80132</v>
      </c>
      <c r="F107" s="0" t="n">
        <v>80132</v>
      </c>
      <c r="G107" s="0" t="n">
        <v>21424</v>
      </c>
      <c r="I107" s="0" t="n">
        <f aca="false">VLOOKUP($A107,content_factors_backup!$A$2:$Q$468,I$525,FALSE())</f>
        <v>95</v>
      </c>
      <c r="J107" s="0" t="n">
        <f aca="false">VLOOKUP($A107,content_factors_backup!$A$2:$Q$468,J$525,FALSE())</f>
        <v>572</v>
      </c>
      <c r="K107" s="0" t="n">
        <f aca="false">VLOOKUP($A107,content_factors_backup!$A$2:$Q$468,K$525,FALSE())</f>
        <v>18.22</v>
      </c>
      <c r="L107" s="0" t="n">
        <f aca="false">VLOOKUP($A107,content_factors_backup!$A$2:$Q$468,L$525,FALSE())</f>
        <v>3.1</v>
      </c>
      <c r="M107" s="0" t="n">
        <f aca="false">VLOOKUP($A107,content_factors_backup!$A$2:$Q$468,M$525,FALSE())</f>
        <v>5.185</v>
      </c>
      <c r="N107" s="0" t="n">
        <f aca="false">VLOOKUP($A107,content_factors_backup!$A$2:$Q$468,N$525,FALSE())</f>
        <v>6</v>
      </c>
      <c r="O107" s="0" t="n">
        <f aca="false">VLOOKUP($A107,content_factors_backup!$A$2:$Q$468,O$525,FALSE())</f>
        <v>38</v>
      </c>
      <c r="P107" s="0" t="n">
        <f aca="false">VLOOKUP($A107,content_factors_backup!$A$2:$Q$468,P$525,FALSE())</f>
        <v>35.5</v>
      </c>
      <c r="Q107" s="0" t="n">
        <f aca="false">VLOOKUP($A107,content_factors_backup!$A$2:$Q$468,Q$525,FALSE())</f>
        <v>0.18</v>
      </c>
      <c r="R107" s="0" t="n">
        <f aca="false">VLOOKUP($A107,content_factors_backup!$A$2:$Q$468,R$525,FALSE())</f>
        <v>0</v>
      </c>
      <c r="S107" s="0" t="n">
        <f aca="false">VLOOKUP($A107,content_factors_backup!$A$2:$Q$468,S$525,FALSE())</f>
        <v>650.5</v>
      </c>
      <c r="T107" s="0" t="n">
        <f aca="false">VLOOKUP($A107,content_factors_backup!$A$2:$Q$468,T$525,FALSE())</f>
        <v>0.9</v>
      </c>
      <c r="U107" s="0" t="n">
        <f aca="false">VLOOKUP($A107,content_factors_backup!$A$2:$Q$468,U$525,FALSE())</f>
        <v>0</v>
      </c>
      <c r="V107" s="0" t="n">
        <f aca="false">VLOOKUP($A107,content_factors_backup!$A$2:$Q$468,V$525,FALSE())</f>
        <v>34.1</v>
      </c>
      <c r="W107" s="0" t="n">
        <f aca="false">VLOOKUP($A107,content_factors_backup!$A$2:$Q$468,W$525,FALSE())</f>
        <v>4</v>
      </c>
    </row>
    <row r="108" customFormat="false" ht="14.25" hidden="false" customHeight="false" outlineLevel="0" collapsed="false">
      <c r="A108" s="0" t="n">
        <v>231</v>
      </c>
      <c r="B108" s="0" t="s">
        <v>275</v>
      </c>
      <c r="C108" s="0" t="s">
        <v>272</v>
      </c>
      <c r="E108" s="0" t="n">
        <v>80212</v>
      </c>
      <c r="F108" s="0" t="n">
        <v>80212</v>
      </c>
      <c r="G108" s="0" t="n">
        <v>21422</v>
      </c>
      <c r="I108" s="0" t="n">
        <f aca="false">VLOOKUP($A108,content_factors_backup!$A$2:$Q$468,I$525,FALSE())</f>
        <v>96</v>
      </c>
      <c r="J108" s="0" t="n">
        <f aca="false">VLOOKUP($A108,content_factors_backup!$A$2:$Q$468,J$525,FALSE())</f>
        <v>592</v>
      </c>
      <c r="K108" s="0" t="n">
        <f aca="false">VLOOKUP($A108,content_factors_backup!$A$2:$Q$468,K$525,FALSE())</f>
        <v>21.825</v>
      </c>
      <c r="L108" s="0" t="n">
        <f aca="false">VLOOKUP($A108,content_factors_backup!$A$2:$Q$468,L$525,FALSE())</f>
        <v>7.25</v>
      </c>
      <c r="M108" s="0" t="n">
        <f aca="false">VLOOKUP($A108,content_factors_backup!$A$2:$Q$468,M$525,FALSE())</f>
        <v>3.59</v>
      </c>
      <c r="N108" s="0" t="n">
        <f aca="false">VLOOKUP($A108,content_factors_backup!$A$2:$Q$468,N$525,FALSE())</f>
        <v>3.055</v>
      </c>
      <c r="O108" s="0" t="n">
        <f aca="false">VLOOKUP($A108,content_factors_backup!$A$2:$Q$468,O$525,FALSE())</f>
        <v>247</v>
      </c>
      <c r="P108" s="0" t="n">
        <f aca="false">VLOOKUP($A108,content_factors_backup!$A$2:$Q$468,P$525,FALSE())</f>
        <v>44</v>
      </c>
      <c r="Q108" s="0" t="n">
        <f aca="false">VLOOKUP($A108,content_factors_backup!$A$2:$Q$468,Q$525,FALSE())</f>
        <v>0.56</v>
      </c>
      <c r="R108" s="0" t="n">
        <f aca="false">VLOOKUP($A108,content_factors_backup!$A$2:$Q$468,R$525,FALSE())</f>
        <v>52.1</v>
      </c>
      <c r="S108" s="0" t="n">
        <f aca="false">VLOOKUP($A108,content_factors_backup!$A$2:$Q$468,S$525,FALSE())</f>
        <v>773</v>
      </c>
      <c r="T108" s="0" t="n">
        <f aca="false">VLOOKUP($A108,content_factors_backup!$A$2:$Q$468,T$525,FALSE())</f>
        <v>25.63</v>
      </c>
      <c r="U108" s="0" t="n">
        <f aca="false">VLOOKUP($A108,content_factors_backup!$A$2:$Q$468,U$525,FALSE())</f>
        <v>0</v>
      </c>
      <c r="V108" s="0" t="n">
        <f aca="false">VLOOKUP($A108,content_factors_backup!$A$2:$Q$468,V$525,FALSE())</f>
        <v>0</v>
      </c>
      <c r="W108" s="0" t="n">
        <f aca="false">VLOOKUP($A108,content_factors_backup!$A$2:$Q$468,W$525,FALSE())</f>
        <v>0</v>
      </c>
    </row>
    <row r="109" customFormat="false" ht="14.25" hidden="false" customHeight="false" outlineLevel="0" collapsed="false">
      <c r="A109" s="0" t="n">
        <v>232</v>
      </c>
      <c r="B109" s="0" t="s">
        <v>276</v>
      </c>
      <c r="C109" s="0" t="s">
        <v>277</v>
      </c>
      <c r="E109" s="0" t="n">
        <v>80232</v>
      </c>
      <c r="F109" s="0" t="n">
        <v>80232</v>
      </c>
      <c r="G109" s="0" t="n">
        <v>21429.02</v>
      </c>
      <c r="I109" s="0" t="n">
        <f aca="false">VLOOKUP($A109,content_factors_backup!$A$2:$Q$468,I$525,FALSE())</f>
        <v>96</v>
      </c>
      <c r="J109" s="0" t="n">
        <f aca="false">VLOOKUP($A109,content_factors_backup!$A$2:$Q$468,J$525,FALSE())</f>
        <v>646</v>
      </c>
      <c r="K109" s="0" t="n">
        <f aca="false">VLOOKUP($A109,content_factors_backup!$A$2:$Q$468,K$525,FALSE())</f>
        <v>15.23</v>
      </c>
      <c r="L109" s="0" t="n">
        <f aca="false">VLOOKUP($A109,content_factors_backup!$A$2:$Q$468,L$525,FALSE())</f>
        <v>6.7</v>
      </c>
      <c r="M109" s="0" t="n">
        <f aca="false">VLOOKUP($A109,content_factors_backup!$A$2:$Q$468,M$525,FALSE())</f>
        <v>3.09</v>
      </c>
      <c r="N109" s="0" t="n">
        <f aca="false">VLOOKUP($A109,content_factors_backup!$A$2:$Q$468,N$525,FALSE())</f>
        <v>2.955</v>
      </c>
      <c r="O109" s="0" t="n">
        <f aca="false">VLOOKUP($A109,content_factors_backup!$A$2:$Q$468,O$525,FALSE())</f>
        <v>91</v>
      </c>
      <c r="P109" s="0" t="n">
        <f aca="false">VLOOKUP($A109,content_factors_backup!$A$2:$Q$468,P$525,FALSE())</f>
        <v>64.5</v>
      </c>
      <c r="Q109" s="0" t="n">
        <f aca="false">VLOOKUP($A109,content_factors_backup!$A$2:$Q$468,Q$525,FALSE())</f>
        <v>0.14</v>
      </c>
      <c r="R109" s="0" t="n">
        <f aca="false">VLOOKUP($A109,content_factors_backup!$A$2:$Q$468,R$525,FALSE())</f>
        <v>35.65</v>
      </c>
      <c r="S109" s="0" t="n">
        <f aca="false">VLOOKUP($A109,content_factors_backup!$A$2:$Q$468,S$525,FALSE())</f>
        <v>486.5</v>
      </c>
      <c r="T109" s="0" t="n">
        <f aca="false">VLOOKUP($A109,content_factors_backup!$A$2:$Q$468,T$525,FALSE())</f>
        <v>0.7</v>
      </c>
      <c r="U109" s="0" t="n">
        <f aca="false">VLOOKUP($A109,content_factors_backup!$A$2:$Q$468,U$525,FALSE())</f>
        <v>0</v>
      </c>
      <c r="V109" s="0" t="n">
        <f aca="false">VLOOKUP($A109,content_factors_backup!$A$2:$Q$468,V$525,FALSE())</f>
        <v>2.7</v>
      </c>
      <c r="W109" s="0" t="n">
        <f aca="false">VLOOKUP($A109,content_factors_backup!$A$2:$Q$468,W$525,FALSE())</f>
        <v>4.3</v>
      </c>
    </row>
    <row r="110" customFormat="false" ht="14.25" hidden="false" customHeight="false" outlineLevel="0" collapsed="false">
      <c r="A110" s="0" t="n">
        <v>233</v>
      </c>
      <c r="B110" s="0" t="s">
        <v>278</v>
      </c>
      <c r="C110" s="0" t="s">
        <v>279</v>
      </c>
      <c r="E110" s="0" t="n">
        <v>80222</v>
      </c>
      <c r="F110" s="0" t="n">
        <v>80222</v>
      </c>
      <c r="G110" s="0" t="n">
        <v>21423</v>
      </c>
      <c r="I110" s="0" t="n">
        <f aca="false">VLOOKUP($A110,content_factors_backup!$A$2:$Q$468,I$525,FALSE())</f>
        <v>94</v>
      </c>
      <c r="J110" s="0" t="n">
        <f aca="false">VLOOKUP($A110,content_factors_backup!$A$2:$Q$468,J$525,FALSE())</f>
        <v>588</v>
      </c>
      <c r="K110" s="0" t="n">
        <f aca="false">VLOOKUP($A110,content_factors_backup!$A$2:$Q$468,K$525,FALSE())</f>
        <v>14.325</v>
      </c>
      <c r="L110" s="0" t="n">
        <f aca="false">VLOOKUP($A110,content_factors_backup!$A$2:$Q$468,L$525,FALSE())</f>
        <v>7.65</v>
      </c>
      <c r="M110" s="0" t="n">
        <f aca="false">VLOOKUP($A110,content_factors_backup!$A$2:$Q$468,M$525,FALSE())</f>
        <v>4.14</v>
      </c>
      <c r="N110" s="0" t="n">
        <f aca="false">VLOOKUP($A110,content_factors_backup!$A$2:$Q$468,N$525,FALSE())</f>
        <v>4.4</v>
      </c>
      <c r="O110" s="0" t="n">
        <f aca="false">VLOOKUP($A110,content_factors_backup!$A$2:$Q$468,O$525,FALSE())</f>
        <v>184</v>
      </c>
      <c r="P110" s="0" t="n">
        <f aca="false">VLOOKUP($A110,content_factors_backup!$A$2:$Q$468,P$525,FALSE())</f>
        <v>113</v>
      </c>
      <c r="Q110" s="0" t="n">
        <f aca="false">VLOOKUP($A110,content_factors_backup!$A$2:$Q$468,Q$525,FALSE())</f>
        <v>0.285</v>
      </c>
      <c r="R110" s="0" t="n">
        <f aca="false">VLOOKUP($A110,content_factors_backup!$A$2:$Q$468,R$525,FALSE())</f>
        <v>45.6</v>
      </c>
      <c r="S110" s="0" t="n">
        <f aca="false">VLOOKUP($A110,content_factors_backup!$A$2:$Q$468,S$525,FALSE())</f>
        <v>680</v>
      </c>
      <c r="T110" s="0" t="n">
        <f aca="false">VLOOKUP($A110,content_factors_backup!$A$2:$Q$468,T$525,FALSE())</f>
        <v>15.03</v>
      </c>
      <c r="U110" s="0" t="n">
        <f aca="false">VLOOKUP($A110,content_factors_backup!$A$2:$Q$468,U$525,FALSE())</f>
        <v>0</v>
      </c>
      <c r="V110" s="0" t="n">
        <f aca="false">VLOOKUP($A110,content_factors_backup!$A$2:$Q$468,V$525,FALSE())</f>
        <v>14.2</v>
      </c>
      <c r="W110" s="0" t="n">
        <f aca="false">VLOOKUP($A110,content_factors_backup!$A$2:$Q$468,W$525,FALSE())</f>
        <v>8</v>
      </c>
    </row>
    <row r="111" customFormat="false" ht="14.25" hidden="false" customHeight="false" outlineLevel="0" collapsed="false">
      <c r="A111" s="0" t="n">
        <v>234</v>
      </c>
      <c r="B111" s="0" t="s">
        <v>280</v>
      </c>
      <c r="C111" s="0" t="s">
        <v>281</v>
      </c>
      <c r="E111" s="0" t="s">
        <v>282</v>
      </c>
      <c r="F111" s="0" t="s">
        <v>283</v>
      </c>
      <c r="G111" s="0" t="n">
        <v>1379.9</v>
      </c>
      <c r="I111" s="0" t="n">
        <f aca="false">VLOOKUP($A111,content_factors_backup!$A$2:$Q$468,I$525,FALSE())</f>
        <v>95</v>
      </c>
      <c r="J111" s="0" t="n">
        <f aca="false">VLOOKUP($A111,content_factors_backup!$A$2:$Q$468,J$525,FALSE())</f>
        <v>596</v>
      </c>
      <c r="K111" s="0" t="n">
        <f aca="false">VLOOKUP($A111,content_factors_backup!$A$2:$Q$468,K$525,FALSE())</f>
        <v>13.4</v>
      </c>
      <c r="L111" s="0" t="n">
        <f aca="false">VLOOKUP($A111,content_factors_backup!$A$2:$Q$468,L$525,FALSE())</f>
        <v>2.7</v>
      </c>
      <c r="M111" s="0" t="n">
        <f aca="false">VLOOKUP($A111,content_factors_backup!$A$2:$Q$468,M$525,FALSE())</f>
        <v>3.75</v>
      </c>
      <c r="N111" s="0" t="n">
        <f aca="false">VLOOKUP($A111,content_factors_backup!$A$2:$Q$468,N$525,FALSE())</f>
        <v>3.61</v>
      </c>
      <c r="O111" s="0" t="n">
        <f aca="false">VLOOKUP($A111,content_factors_backup!$A$2:$Q$468,O$525,FALSE())</f>
        <v>111</v>
      </c>
      <c r="P111" s="0" t="n">
        <f aca="false">VLOOKUP($A111,content_factors_backup!$A$2:$Q$468,P$525,FALSE())</f>
        <v>28</v>
      </c>
      <c r="Q111" s="0" t="n">
        <f aca="false">VLOOKUP($A111,content_factors_backup!$A$2:$Q$468,Q$525,FALSE())</f>
        <v>0.12</v>
      </c>
      <c r="R111" s="0" t="n">
        <f aca="false">VLOOKUP($A111,content_factors_backup!$A$2:$Q$468,R$525,FALSE())</f>
        <v>48.15</v>
      </c>
      <c r="S111" s="0" t="n">
        <f aca="false">VLOOKUP($A111,content_factors_backup!$A$2:$Q$468,S$525,FALSE())</f>
        <v>458.5</v>
      </c>
      <c r="T111" s="0" t="n">
        <f aca="false">VLOOKUP($A111,content_factors_backup!$A$2:$Q$468,T$525,FALSE())</f>
        <v>1.4</v>
      </c>
      <c r="U111" s="0" t="n">
        <f aca="false">VLOOKUP($A111,content_factors_backup!$A$2:$Q$468,U$525,FALSE())</f>
        <v>0</v>
      </c>
      <c r="V111" s="0" t="n">
        <f aca="false">VLOOKUP($A111,content_factors_backup!$A$2:$Q$468,V$525,FALSE())</f>
        <v>3.5</v>
      </c>
      <c r="W111" s="0" t="n">
        <f aca="false">VLOOKUP($A111,content_factors_backup!$A$2:$Q$468,W$525,FALSE())</f>
        <v>2</v>
      </c>
    </row>
    <row r="112" customFormat="false" ht="14.25" hidden="false" customHeight="false" outlineLevel="0" collapsed="false">
      <c r="A112" s="0" t="n">
        <v>235</v>
      </c>
      <c r="B112" s="0" t="s">
        <v>284</v>
      </c>
      <c r="C112" s="0" t="s">
        <v>285</v>
      </c>
      <c r="E112" s="0" t="s">
        <v>286</v>
      </c>
      <c r="F112" s="0" t="s">
        <v>286</v>
      </c>
      <c r="G112" s="0" t="s">
        <v>287</v>
      </c>
      <c r="I112" s="0" t="n">
        <f aca="false">VLOOKUP($A112,content_factors_backup!$A$2:$Q$468,I$525,FALSE())</f>
        <v>95</v>
      </c>
      <c r="J112" s="0" t="n">
        <f aca="false">VLOOKUP($A112,content_factors_backup!$A$2:$Q$468,J$525,FALSE())</f>
        <v>592</v>
      </c>
      <c r="K112" s="0" t="n">
        <f aca="false">VLOOKUP($A112,content_factors_backup!$A$2:$Q$468,K$525,FALSE())</f>
        <v>15.17</v>
      </c>
      <c r="L112" s="0" t="n">
        <f aca="false">VLOOKUP($A112,content_factors_backup!$A$2:$Q$468,L$525,FALSE())</f>
        <v>9.4</v>
      </c>
      <c r="M112" s="0" t="n">
        <f aca="false">VLOOKUP($A112,content_factors_backup!$A$2:$Q$468,M$525,FALSE())</f>
        <v>3.02</v>
      </c>
      <c r="N112" s="0" t="n">
        <f aca="false">VLOOKUP($A112,content_factors_backup!$A$2:$Q$468,N$525,FALSE())</f>
        <v>3.04</v>
      </c>
      <c r="O112" s="0" t="n">
        <f aca="false">VLOOKUP($A112,content_factors_backup!$A$2:$Q$468,O$525,FALSE())</f>
        <v>70</v>
      </c>
      <c r="P112" s="0" t="n">
        <f aca="false">VLOOKUP($A112,content_factors_backup!$A$2:$Q$468,P$525,FALSE())</f>
        <v>52</v>
      </c>
      <c r="Q112" s="0" t="n">
        <f aca="false">VLOOKUP($A112,content_factors_backup!$A$2:$Q$468,Q$525,FALSE())</f>
        <v>0.187</v>
      </c>
      <c r="R112" s="0" t="n">
        <f aca="false">VLOOKUP($A112,content_factors_backup!$A$2:$Q$468,R$525,FALSE())</f>
        <v>52.1</v>
      </c>
      <c r="S112" s="0" t="n">
        <f aca="false">VLOOKUP($A112,content_factors_backup!$A$2:$Q$468,S$525,FALSE())</f>
        <v>594.5</v>
      </c>
      <c r="T112" s="0" t="n">
        <f aca="false">VLOOKUP($A112,content_factors_backup!$A$2:$Q$468,T$525,FALSE())</f>
        <v>0.92</v>
      </c>
      <c r="U112" s="0" t="n">
        <f aca="false">VLOOKUP($A112,content_factors_backup!$A$2:$Q$468,U$525,FALSE())</f>
        <v>0</v>
      </c>
      <c r="V112" s="0" t="n">
        <f aca="false">VLOOKUP($A112,content_factors_backup!$A$2:$Q$468,V$525,FALSE())</f>
        <v>34.7</v>
      </c>
      <c r="W112" s="0" t="n">
        <f aca="false">VLOOKUP($A112,content_factors_backup!$A$2:$Q$468,W$525,FALSE())</f>
        <v>1</v>
      </c>
    </row>
    <row r="113" customFormat="false" ht="14.25" hidden="false" customHeight="false" outlineLevel="0" collapsed="false">
      <c r="A113" s="0" t="n">
        <v>236</v>
      </c>
      <c r="B113" s="0" t="s">
        <v>288</v>
      </c>
      <c r="C113" s="0" t="s">
        <v>289</v>
      </c>
      <c r="E113" s="0" t="n">
        <v>120100</v>
      </c>
      <c r="F113" s="0" t="s">
        <v>290</v>
      </c>
      <c r="G113" s="0" t="n">
        <v>141</v>
      </c>
      <c r="I113" s="0" t="n">
        <f aca="false">VLOOKUP($A113,content_factors_backup!$A$2:$Q$468,I$525,FALSE())</f>
        <v>90</v>
      </c>
      <c r="J113" s="0" t="n">
        <f aca="false">VLOOKUP($A113,content_factors_backup!$A$2:$Q$468,J$525,FALSE())</f>
        <v>401</v>
      </c>
      <c r="K113" s="0" t="n">
        <f aca="false">VLOOKUP($A113,content_factors_backup!$A$2:$Q$468,K$525,FALSE())</f>
        <v>34.6</v>
      </c>
      <c r="L113" s="0" t="n">
        <f aca="false">VLOOKUP($A113,content_factors_backup!$A$2:$Q$468,L$525,FALSE())</f>
        <v>9.3</v>
      </c>
      <c r="M113" s="0" t="n">
        <f aca="false">VLOOKUP($A113,content_factors_backup!$A$2:$Q$468,M$525,FALSE())</f>
        <v>4.09</v>
      </c>
      <c r="N113" s="0" t="n">
        <f aca="false">VLOOKUP($A113,content_factors_backup!$A$2:$Q$468,N$525,FALSE())</f>
        <v>8.25</v>
      </c>
      <c r="O113" s="0" t="n">
        <f aca="false">VLOOKUP($A113,content_factors_backup!$A$2:$Q$468,O$525,FALSE())</f>
        <v>226</v>
      </c>
      <c r="P113" s="0" t="n">
        <f aca="false">VLOOKUP($A113,content_factors_backup!$A$2:$Q$468,P$525,FALSE())</f>
        <v>375</v>
      </c>
      <c r="Q113" s="0" t="n">
        <f aca="false">VLOOKUP($A113,content_factors_backup!$A$2:$Q$468,Q$525,FALSE())</f>
        <v>0.2725</v>
      </c>
      <c r="R113" s="0" t="n">
        <f aca="false">VLOOKUP($A113,content_factors_backup!$A$2:$Q$468,R$525,FALSE())</f>
        <v>115.9</v>
      </c>
      <c r="S113" s="0" t="n">
        <f aca="false">VLOOKUP($A113,content_factors_backup!$A$2:$Q$468,S$525,FALSE())</f>
        <v>1770</v>
      </c>
      <c r="T113" s="0" t="n">
        <f aca="false">VLOOKUP($A113,content_factors_backup!$A$2:$Q$468,T$525,FALSE())</f>
        <v>0.274670570086443</v>
      </c>
      <c r="U113" s="0" t="n">
        <f aca="false">VLOOKUP($A113,content_factors_backup!$A$2:$Q$468,U$525,FALSE())</f>
        <v>0</v>
      </c>
      <c r="V113" s="0" t="n">
        <f aca="false">VLOOKUP($A113,content_factors_backup!$A$2:$Q$468,V$525,FALSE())</f>
        <v>15.0676427018849</v>
      </c>
      <c r="W113" s="0" t="n">
        <f aca="false">VLOOKUP($A113,content_factors_backup!$A$2:$Q$468,W$525,FALSE())</f>
        <v>4.7916666665</v>
      </c>
    </row>
    <row r="114" customFormat="false" ht="14.25" hidden="false" customHeight="false" outlineLevel="0" collapsed="false">
      <c r="A114" s="0" t="n">
        <v>237</v>
      </c>
      <c r="B114" s="0" t="s">
        <v>291</v>
      </c>
      <c r="C114" s="0" t="s">
        <v>292</v>
      </c>
      <c r="E114" s="0" t="s">
        <v>293</v>
      </c>
      <c r="F114" s="0" t="s">
        <v>293</v>
      </c>
      <c r="G114" s="0" t="n">
        <v>2161</v>
      </c>
      <c r="I114" s="0" t="n">
        <f aca="false">VLOOKUP($A114,content_factors_backup!$A$2:$Q$468,I$525,FALSE())</f>
        <v>100</v>
      </c>
      <c r="J114" s="0" t="n">
        <f aca="false">VLOOKUP($A114,content_factors_backup!$A$2:$Q$468,J$525,FALSE())</f>
        <v>900</v>
      </c>
      <c r="K114" s="0" t="n">
        <f aca="false">VLOOKUP($A114,content_factors_backup!$A$2:$Q$468,K$525,FALSE())</f>
        <v>0</v>
      </c>
      <c r="L114" s="0" t="n">
        <f aca="false">VLOOKUP($A114,content_factors_backup!$A$2:$Q$468,L$525,FALSE())</f>
        <v>0</v>
      </c>
      <c r="M114" s="0" t="n">
        <f aca="false">VLOOKUP($A114,content_factors_backup!$A$2:$Q$468,M$525,FALSE())</f>
        <v>0.01</v>
      </c>
      <c r="N114" s="0" t="n">
        <f aca="false">VLOOKUP($A114,content_factors_backup!$A$2:$Q$468,N$525,FALSE())</f>
        <v>0.05</v>
      </c>
      <c r="O114" s="0" t="n">
        <f aca="false">VLOOKUP($A114,content_factors_backup!$A$2:$Q$468,O$525,FALSE())</f>
        <v>0</v>
      </c>
      <c r="P114" s="0" t="n">
        <f aca="false">VLOOKUP($A114,content_factors_backup!$A$2:$Q$468,P$525,FALSE())</f>
        <v>0</v>
      </c>
      <c r="Q114" s="0" t="n">
        <f aca="false">VLOOKUP($A114,content_factors_backup!$A$2:$Q$468,Q$525,FALSE())</f>
        <v>0</v>
      </c>
      <c r="R114" s="0" t="n">
        <f aca="false">VLOOKUP($A114,content_factors_backup!$A$2:$Q$468,R$525,FALSE())</f>
        <v>0.2</v>
      </c>
      <c r="S114" s="0" t="n">
        <f aca="false">VLOOKUP($A114,content_factors_backup!$A$2:$Q$468,S$525,FALSE())</f>
        <v>0</v>
      </c>
      <c r="T114" s="0" t="n">
        <f aca="false">VLOOKUP($A114,content_factors_backup!$A$2:$Q$468,T$525,FALSE())</f>
        <v>8.18</v>
      </c>
      <c r="U114" s="0" t="n">
        <f aca="false">VLOOKUP($A114,content_factors_backup!$A$2:$Q$468,U$525,FALSE())</f>
        <v>0</v>
      </c>
      <c r="V114" s="0" t="n">
        <f aca="false">VLOOKUP($A114,content_factors_backup!$A$2:$Q$468,V$525,FALSE())</f>
        <v>183.9</v>
      </c>
      <c r="W114" s="0" t="n">
        <f aca="false">VLOOKUP($A114,content_factors_backup!$A$2:$Q$468,W$525,FALSE())</f>
        <v>0</v>
      </c>
    </row>
    <row r="115" customFormat="false" ht="14.25" hidden="false" customHeight="false" outlineLevel="0" collapsed="false">
      <c r="A115" s="0" t="n">
        <v>238</v>
      </c>
      <c r="B115" s="0" t="s">
        <v>294</v>
      </c>
      <c r="C115" s="0" t="s">
        <v>295</v>
      </c>
      <c r="E115" s="0" t="n">
        <v>230400</v>
      </c>
      <c r="F115" s="0" t="n">
        <v>230400</v>
      </c>
      <c r="G115" s="0" t="n">
        <v>21910.03</v>
      </c>
      <c r="I115" s="0" t="n">
        <f aca="false">VLOOKUP($A115,content_factors_backup!$A$2:$Q$468,I$525,FALSE())</f>
        <v>90</v>
      </c>
      <c r="J115" s="0" t="n">
        <f aca="false">VLOOKUP($A115,content_factors_backup!$A$2:$Q$468,J$525,FALSE())</f>
        <v>339</v>
      </c>
      <c r="K115" s="0" t="n">
        <f aca="false">VLOOKUP($A115,content_factors_backup!$A$2:$Q$468,K$525,FALSE())</f>
        <v>44.95</v>
      </c>
      <c r="L115" s="0" t="n">
        <f aca="false">VLOOKUP($A115,content_factors_backup!$A$2:$Q$468,L$525,FALSE())</f>
        <v>0</v>
      </c>
      <c r="M115" s="0" t="n">
        <f aca="false">VLOOKUP($A115,content_factors_backup!$A$2:$Q$468,M$525,FALSE())</f>
        <v>5.06</v>
      </c>
      <c r="N115" s="0" t="n">
        <f aca="false">VLOOKUP($A115,content_factors_backup!$A$2:$Q$468,N$525,FALSE())</f>
        <v>13.7</v>
      </c>
      <c r="O115" s="0" t="n">
        <f aca="false">VLOOKUP($A115,content_factors_backup!$A$2:$Q$468,O$525,FALSE())</f>
        <v>244</v>
      </c>
      <c r="P115" s="0" t="n">
        <f aca="false">VLOOKUP($A115,content_factors_backup!$A$2:$Q$468,P$525,FALSE())</f>
        <v>303</v>
      </c>
      <c r="Q115" s="0" t="n">
        <f aca="false">VLOOKUP($A115,content_factors_backup!$A$2:$Q$468,Q$525,FALSE())</f>
        <v>0.251</v>
      </c>
      <c r="R115" s="0" t="n">
        <f aca="false">VLOOKUP($A115,content_factors_backup!$A$2:$Q$468,R$525,FALSE())</f>
        <v>0</v>
      </c>
      <c r="S115" s="0" t="n">
        <f aca="false">VLOOKUP($A115,content_factors_backup!$A$2:$Q$468,S$525,FALSE())</f>
        <v>2490</v>
      </c>
      <c r="T115" s="0" t="n">
        <f aca="false">VLOOKUP($A115,content_factors_backup!$A$2:$Q$468,T$525,FALSE())</f>
        <v>0</v>
      </c>
      <c r="U115" s="0" t="n">
        <f aca="false">VLOOKUP($A115,content_factors_backup!$A$2:$Q$468,U$525,FALSE())</f>
        <v>0</v>
      </c>
      <c r="V115" s="0" t="n">
        <f aca="false">VLOOKUP($A115,content_factors_backup!$A$2:$Q$468,V$525,FALSE())</f>
        <v>0</v>
      </c>
      <c r="W115" s="0" t="n">
        <f aca="false">VLOOKUP($A115,content_factors_backup!$A$2:$Q$468,W$525,FALSE())</f>
        <v>2</v>
      </c>
    </row>
    <row r="116" customFormat="false" ht="14.25" hidden="false" customHeight="false" outlineLevel="0" collapsed="false">
      <c r="A116" s="0" t="n">
        <v>239</v>
      </c>
      <c r="B116" s="0" t="s">
        <v>296</v>
      </c>
      <c r="C116" s="0" t="s">
        <v>297</v>
      </c>
      <c r="E116" s="0" t="n">
        <v>210310</v>
      </c>
      <c r="F116" s="0" t="n">
        <v>210310</v>
      </c>
      <c r="G116" s="0" t="n">
        <v>23995.01</v>
      </c>
      <c r="I116" s="0" t="n">
        <f aca="false">VLOOKUP($A116,content_factors_backup!$A$2:$Q$468,I$525,FALSE())</f>
        <v>37</v>
      </c>
      <c r="J116" s="0" t="n">
        <f aca="false">VLOOKUP($A116,content_factors_backup!$A$2:$Q$468,J$525,FALSE())</f>
        <v>60</v>
      </c>
      <c r="K116" s="0" t="n">
        <f aca="false">VLOOKUP($A116,content_factors_backup!$A$2:$Q$468,K$525,FALSE())</f>
        <v>10.51</v>
      </c>
      <c r="L116" s="0" t="n">
        <f aca="false">VLOOKUP($A116,content_factors_backup!$A$2:$Q$468,L$525,FALSE())</f>
        <v>0.8</v>
      </c>
      <c r="M116" s="0" t="n">
        <f aca="false">VLOOKUP($A116,content_factors_backup!$A$2:$Q$468,M$525,FALSE())</f>
        <v>0.43</v>
      </c>
      <c r="N116" s="0" t="n">
        <f aca="false">VLOOKUP($A116,content_factors_backup!$A$2:$Q$468,N$525,FALSE())</f>
        <v>2.38</v>
      </c>
      <c r="O116" s="0" t="n">
        <f aca="false">VLOOKUP($A116,content_factors_backup!$A$2:$Q$468,O$525,FALSE())</f>
        <v>20</v>
      </c>
      <c r="P116" s="0" t="n">
        <f aca="false">VLOOKUP($A116,content_factors_backup!$A$2:$Q$468,P$525,FALSE())</f>
        <v>18</v>
      </c>
      <c r="Q116" s="0" t="n">
        <f aca="false">VLOOKUP($A116,content_factors_backup!$A$2:$Q$468,Q$525,FALSE())</f>
        <v>0.152</v>
      </c>
      <c r="R116" s="0" t="n">
        <f aca="false">VLOOKUP($A116,content_factors_backup!$A$2:$Q$468,R$525,FALSE())</f>
        <v>38.4</v>
      </c>
      <c r="S116" s="0" t="n">
        <f aca="false">VLOOKUP($A116,content_factors_backup!$A$2:$Q$468,S$525,FALSE())</f>
        <v>212</v>
      </c>
      <c r="T116" s="0" t="n">
        <f aca="false">VLOOKUP($A116,content_factors_backup!$A$2:$Q$468,T$525,FALSE())</f>
        <v>0</v>
      </c>
      <c r="U116" s="0" t="n">
        <f aca="false">VLOOKUP($A116,content_factors_backup!$A$2:$Q$468,U$525,FALSE())</f>
        <v>0</v>
      </c>
      <c r="V116" s="0" t="n">
        <f aca="false">VLOOKUP($A116,content_factors_backup!$A$2:$Q$468,V$525,FALSE())</f>
        <v>0</v>
      </c>
      <c r="W116" s="0" t="n">
        <f aca="false">VLOOKUP($A116,content_factors_backup!$A$2:$Q$468,W$525,FALSE())</f>
        <v>0</v>
      </c>
    </row>
    <row r="117" customFormat="false" ht="14.25" hidden="false" customHeight="false" outlineLevel="0" collapsed="false">
      <c r="A117" s="0" t="n">
        <v>240</v>
      </c>
      <c r="B117" s="0" t="s">
        <v>298</v>
      </c>
      <c r="C117" s="0" t="s">
        <v>299</v>
      </c>
      <c r="E117" s="0" t="s">
        <v>300</v>
      </c>
      <c r="F117" s="0" t="s">
        <v>300</v>
      </c>
      <c r="G117" s="0" t="n">
        <v>23995.02</v>
      </c>
      <c r="I117" s="0" t="n">
        <f aca="false">VLOOKUP($A117,content_factors_backup!$A$2:$Q$468,I$525,FALSE())</f>
        <v>37</v>
      </c>
      <c r="J117" s="0" t="n">
        <f aca="false">VLOOKUP($A117,content_factors_backup!$A$2:$Q$468,J$525,FALSE())</f>
        <v>441</v>
      </c>
      <c r="K117" s="0" t="n">
        <f aca="false">VLOOKUP($A117,content_factors_backup!$A$2:$Q$468,K$525,FALSE())</f>
        <v>34.8</v>
      </c>
      <c r="L117" s="0" t="n">
        <f aca="false">VLOOKUP($A117,content_factors_backup!$A$2:$Q$468,L$525,FALSE())</f>
        <v>9.7</v>
      </c>
      <c r="M117" s="0" t="n">
        <f aca="false">VLOOKUP($A117,content_factors_backup!$A$2:$Q$468,M$525,FALSE())</f>
        <v>3.58</v>
      </c>
      <c r="N117" s="0" t="n">
        <f aca="false">VLOOKUP($A117,content_factors_backup!$A$2:$Q$468,N$525,FALSE())</f>
        <v>5.82</v>
      </c>
      <c r="O117" s="0" t="n">
        <f aca="false">VLOOKUP($A117,content_factors_backup!$A$2:$Q$468,O$525,FALSE())</f>
        <v>188</v>
      </c>
      <c r="P117" s="0" t="n">
        <f aca="false">VLOOKUP($A117,content_factors_backup!$A$2:$Q$468,P$525,FALSE())</f>
        <v>227</v>
      </c>
      <c r="Q117" s="0" t="n">
        <f aca="false">VLOOKUP($A117,content_factors_backup!$A$2:$Q$468,Q$525,FALSE())</f>
        <v>0.941</v>
      </c>
      <c r="R117" s="0" t="n">
        <f aca="false">VLOOKUP($A117,content_factors_backup!$A$2:$Q$468,R$525,FALSE())</f>
        <v>0</v>
      </c>
      <c r="S117" s="0" t="n">
        <f aca="false">VLOOKUP($A117,content_factors_backup!$A$2:$Q$468,S$525,FALSE())</f>
        <v>2041</v>
      </c>
      <c r="T117" s="0" t="n">
        <f aca="false">VLOOKUP($A117,content_factors_backup!$A$2:$Q$468,T$525,FALSE())</f>
        <v>1.98</v>
      </c>
      <c r="U117" s="0" t="n">
        <f aca="false">VLOOKUP($A117,content_factors_backup!$A$2:$Q$468,U$525,FALSE())</f>
        <v>0</v>
      </c>
      <c r="V117" s="0" t="n">
        <f aca="false">VLOOKUP($A117,content_factors_backup!$A$2:$Q$468,V$525,FALSE())</f>
        <v>71</v>
      </c>
      <c r="W117" s="0" t="n">
        <f aca="false">VLOOKUP($A117,content_factors_backup!$A$2:$Q$468,W$525,FALSE())</f>
        <v>6</v>
      </c>
    </row>
    <row r="118" customFormat="false" ht="14.25" hidden="false" customHeight="false" outlineLevel="0" collapsed="false">
      <c r="A118" s="0" t="n">
        <v>241</v>
      </c>
      <c r="B118" s="0" t="s">
        <v>301</v>
      </c>
      <c r="C118" s="0" t="s">
        <v>302</v>
      </c>
      <c r="E118" s="0" t="n">
        <v>210610</v>
      </c>
      <c r="F118" s="0" t="n">
        <v>210610</v>
      </c>
      <c r="G118" s="0" t="n">
        <v>23999.03</v>
      </c>
      <c r="I118" s="0" t="e">
        <f aca="false">VLOOKUP($A118,content_factors_backup!$A$2:$Q$468,I$525,FALSE())</f>
        <v>#N/A</v>
      </c>
      <c r="J118" s="0" t="e">
        <f aca="false">VLOOKUP($A118,content_factors_backup!$A$2:$Q$468,J$525,FALSE())</f>
        <v>#N/A</v>
      </c>
      <c r="K118" s="0" t="e">
        <f aca="false">VLOOKUP($A118,content_factors_backup!$A$2:$Q$468,K$525,FALSE())</f>
        <v>#N/A</v>
      </c>
      <c r="L118" s="0" t="e">
        <f aca="false">VLOOKUP($A118,content_factors_backup!$A$2:$Q$468,L$525,FALSE())</f>
        <v>#N/A</v>
      </c>
      <c r="M118" s="0" t="e">
        <f aca="false">VLOOKUP($A118,content_factors_backup!$A$2:$Q$468,M$525,FALSE())</f>
        <v>#N/A</v>
      </c>
      <c r="N118" s="0" t="e">
        <f aca="false">VLOOKUP($A118,content_factors_backup!$A$2:$Q$468,N$525,FALSE())</f>
        <v>#N/A</v>
      </c>
      <c r="O118" s="0" t="e">
        <f aca="false">VLOOKUP($A118,content_factors_backup!$A$2:$Q$468,O$525,FALSE())</f>
        <v>#N/A</v>
      </c>
      <c r="P118" s="0" t="e">
        <f aca="false">VLOOKUP($A118,content_factors_backup!$A$2:$Q$468,P$525,FALSE())</f>
        <v>#N/A</v>
      </c>
      <c r="Q118" s="0" t="e">
        <f aca="false">VLOOKUP($A118,content_factors_backup!$A$2:$Q$468,Q$525,FALSE())</f>
        <v>#N/A</v>
      </c>
      <c r="R118" s="0" t="e">
        <f aca="false">VLOOKUP($A118,content_factors_backup!$A$2:$Q$468,R$525,FALSE())</f>
        <v>#N/A</v>
      </c>
      <c r="S118" s="0" t="e">
        <f aca="false">VLOOKUP($A118,content_factors_backup!$A$2:$Q$468,S$525,FALSE())</f>
        <v>#N/A</v>
      </c>
      <c r="T118" s="0" t="e">
        <f aca="false">VLOOKUP($A118,content_factors_backup!$A$2:$Q$468,T$525,FALSE())</f>
        <v>#N/A</v>
      </c>
      <c r="U118" s="0" t="e">
        <f aca="false">VLOOKUP($A118,content_factors_backup!$A$2:$Q$468,U$525,FALSE())</f>
        <v>#N/A</v>
      </c>
      <c r="V118" s="0" t="e">
        <f aca="false">VLOOKUP($A118,content_factors_backup!$A$2:$Q$468,V$525,FALSE())</f>
        <v>#N/A</v>
      </c>
      <c r="W118" s="0" t="e">
        <f aca="false">VLOOKUP($A118,content_factors_backup!$A$2:$Q$468,W$525,FALSE())</f>
        <v>#N/A</v>
      </c>
    </row>
    <row r="119" customFormat="false" ht="14.25" hidden="false" customHeight="false" outlineLevel="0" collapsed="false">
      <c r="A119" s="0" t="n">
        <v>242</v>
      </c>
      <c r="B119" s="0" t="s">
        <v>303</v>
      </c>
      <c r="C119" s="0" t="s">
        <v>304</v>
      </c>
      <c r="E119" s="0" t="s">
        <v>305</v>
      </c>
      <c r="F119" s="0" t="s">
        <v>306</v>
      </c>
      <c r="G119" s="0" t="n">
        <v>142</v>
      </c>
      <c r="I119" s="0" t="n">
        <f aca="false">VLOOKUP($A119,content_factors_backup!$A$2:$Q$468,I$525,FALSE())</f>
        <v>94.4</v>
      </c>
      <c r="J119" s="0" t="n">
        <f aca="false">VLOOKUP($A119,content_factors_backup!$A$2:$Q$468,J$525,FALSE())</f>
        <v>567</v>
      </c>
      <c r="K119" s="0" t="n">
        <f aca="false">VLOOKUP($A119,content_factors_backup!$A$2:$Q$468,K$525,FALSE())</f>
        <v>24.1</v>
      </c>
      <c r="L119" s="0" t="n">
        <f aca="false">VLOOKUP($A119,content_factors_backup!$A$2:$Q$468,L$525,FALSE())</f>
        <v>8.476981079</v>
      </c>
      <c r="M119" s="0" t="n">
        <f aca="false">VLOOKUP($A119,content_factors_backup!$A$2:$Q$468,M$525,FALSE())</f>
        <v>2.52</v>
      </c>
      <c r="N119" s="0" t="n">
        <f aca="false">VLOOKUP($A119,content_factors_backup!$A$2:$Q$468,N$525,FALSE())</f>
        <v>3.725</v>
      </c>
      <c r="O119" s="0" t="n">
        <f aca="false">VLOOKUP($A119,content_factors_backup!$A$2:$Q$468,O$525,FALSE())</f>
        <v>55</v>
      </c>
      <c r="P119" s="0" t="n">
        <f aca="false">VLOOKUP($A119,content_factors_backup!$A$2:$Q$468,P$525,FALSE())</f>
        <v>110</v>
      </c>
      <c r="Q119" s="0" t="n">
        <f aca="false">VLOOKUP($A119,content_factors_backup!$A$2:$Q$468,Q$525,FALSE())</f>
        <v>0.136</v>
      </c>
      <c r="R119" s="0" t="n">
        <f aca="false">VLOOKUP($A119,content_factors_backup!$A$2:$Q$468,R$525,FALSE())</f>
        <v>138.25</v>
      </c>
      <c r="S119" s="0" t="n">
        <f aca="false">VLOOKUP($A119,content_factors_backup!$A$2:$Q$468,S$525,FALSE())</f>
        <v>720.1574649</v>
      </c>
      <c r="T119" s="0" t="n">
        <f aca="false">VLOOKUP($A119,content_factors_backup!$A$2:$Q$468,T$525,FALSE())</f>
        <v>8.33</v>
      </c>
      <c r="U119" s="0" t="n">
        <f aca="false">VLOOKUP($A119,content_factors_backup!$A$2:$Q$468,U$525,FALSE())</f>
        <v>0</v>
      </c>
      <c r="V119" s="0" t="n">
        <f aca="false">VLOOKUP($A119,content_factors_backup!$A$2:$Q$468,V$525,FALSE())</f>
        <v>0</v>
      </c>
      <c r="W119" s="0" t="n">
        <f aca="false">VLOOKUP($A119,content_factors_backup!$A$2:$Q$468,W$525,FALSE())</f>
        <v>0</v>
      </c>
    </row>
    <row r="120" customFormat="false" ht="14.25" hidden="false" customHeight="false" outlineLevel="0" collapsed="false">
      <c r="A120" s="0" t="n">
        <v>243</v>
      </c>
      <c r="B120" s="0" t="s">
        <v>307</v>
      </c>
      <c r="C120" s="0" t="s">
        <v>308</v>
      </c>
      <c r="E120" s="0" t="n">
        <v>120220</v>
      </c>
      <c r="F120" s="0" t="n">
        <v>120242</v>
      </c>
      <c r="G120" s="0" t="n">
        <v>21421</v>
      </c>
      <c r="I120" s="0" t="n">
        <f aca="false">VLOOKUP($A120,content_factors_backup!$A$2:$Q$468,I$525,FALSE())</f>
        <v>94</v>
      </c>
      <c r="J120" s="0" t="n">
        <f aca="false">VLOOKUP($A120,content_factors_backup!$A$2:$Q$468,J$525,FALSE())</f>
        <v>567</v>
      </c>
      <c r="K120" s="0" t="n">
        <f aca="false">VLOOKUP($A120,content_factors_backup!$A$2:$Q$468,K$525,FALSE())</f>
        <v>24.1</v>
      </c>
      <c r="L120" s="0" t="n">
        <f aca="false">VLOOKUP($A120,content_factors_backup!$A$2:$Q$468,L$525,FALSE())</f>
        <v>8.476981079</v>
      </c>
      <c r="M120" s="0" t="n">
        <f aca="false">VLOOKUP($A120,content_factors_backup!$A$2:$Q$468,M$525,FALSE())</f>
        <v>2.52</v>
      </c>
      <c r="N120" s="0" t="n">
        <f aca="false">VLOOKUP($A120,content_factors_backup!$A$2:$Q$468,N$525,FALSE())</f>
        <v>3.725</v>
      </c>
      <c r="O120" s="0" t="n">
        <f aca="false">VLOOKUP($A120,content_factors_backup!$A$2:$Q$468,O$525,FALSE())</f>
        <v>55</v>
      </c>
      <c r="P120" s="0" t="n">
        <f aca="false">VLOOKUP($A120,content_factors_backup!$A$2:$Q$468,P$525,FALSE())</f>
        <v>110</v>
      </c>
      <c r="Q120" s="0" t="n">
        <f aca="false">VLOOKUP($A120,content_factors_backup!$A$2:$Q$468,Q$525,FALSE())</f>
        <v>0.136</v>
      </c>
      <c r="R120" s="0" t="n">
        <f aca="false">VLOOKUP($A120,content_factors_backup!$A$2:$Q$468,R$525,FALSE())</f>
        <v>138.25</v>
      </c>
      <c r="S120" s="0" t="n">
        <f aca="false">VLOOKUP($A120,content_factors_backup!$A$2:$Q$468,S$525,FALSE())</f>
        <v>720.1574649</v>
      </c>
      <c r="T120" s="0" t="n">
        <f aca="false">VLOOKUP($A120,content_factors_backup!$A$2:$Q$468,T$525,FALSE())</f>
        <v>8.33</v>
      </c>
      <c r="U120" s="0" t="n">
        <f aca="false">VLOOKUP($A120,content_factors_backup!$A$2:$Q$468,U$525,FALSE())</f>
        <v>0</v>
      </c>
      <c r="V120" s="0" t="n">
        <f aca="false">VLOOKUP($A120,content_factors_backup!$A$2:$Q$468,V$525,FALSE())</f>
        <v>0</v>
      </c>
      <c r="W120" s="0" t="n">
        <f aca="false">VLOOKUP($A120,content_factors_backup!$A$2:$Q$468,W$525,FALSE())</f>
        <v>0</v>
      </c>
    </row>
    <row r="121" customFormat="false" ht="14.25" hidden="false" customHeight="false" outlineLevel="0" collapsed="false">
      <c r="A121" s="0" t="n">
        <v>244</v>
      </c>
      <c r="B121" s="0" t="s">
        <v>309</v>
      </c>
      <c r="C121" s="0" t="s">
        <v>310</v>
      </c>
      <c r="E121" s="0" t="s">
        <v>311</v>
      </c>
      <c r="F121" s="0" t="s">
        <v>311</v>
      </c>
      <c r="G121" s="0" t="n">
        <v>2162</v>
      </c>
      <c r="I121" s="0" t="n">
        <f aca="false">VLOOKUP($A121,content_factors_backup!$A$2:$Q$468,I$525,FALSE())</f>
        <v>100</v>
      </c>
      <c r="J121" s="0" t="n">
        <f aca="false">VLOOKUP($A121,content_factors_backup!$A$2:$Q$468,J$525,FALSE())</f>
        <v>900</v>
      </c>
      <c r="K121" s="0" t="n">
        <f aca="false">VLOOKUP($A121,content_factors_backup!$A$2:$Q$468,K$525,FALSE())</f>
        <v>0</v>
      </c>
      <c r="L121" s="0" t="n">
        <f aca="false">VLOOKUP($A121,content_factors_backup!$A$2:$Q$468,L$525,FALSE())</f>
        <v>0</v>
      </c>
      <c r="M121" s="0" t="n">
        <f aca="false">VLOOKUP($A121,content_factors_backup!$A$2:$Q$468,M$525,FALSE())</f>
        <v>0.005</v>
      </c>
      <c r="N121" s="0" t="n">
        <f aca="false">VLOOKUP($A121,content_factors_backup!$A$2:$Q$468,N$525,FALSE())</f>
        <v>0.03</v>
      </c>
      <c r="O121" s="0" t="n">
        <f aca="false">VLOOKUP($A121,content_factors_backup!$A$2:$Q$468,O$525,FALSE())</f>
        <v>0</v>
      </c>
      <c r="P121" s="0" t="n">
        <f aca="false">VLOOKUP($A121,content_factors_backup!$A$2:$Q$468,P$525,FALSE())</f>
        <v>0</v>
      </c>
      <c r="Q121" s="0" t="n">
        <f aca="false">VLOOKUP($A121,content_factors_backup!$A$2:$Q$468,Q$525,FALSE())</f>
        <v>0</v>
      </c>
      <c r="R121" s="0" t="n">
        <f aca="false">VLOOKUP($A121,content_factors_backup!$A$2:$Q$468,R$525,FALSE())</f>
        <v>0.1</v>
      </c>
      <c r="S121" s="0" t="n">
        <f aca="false">VLOOKUP($A121,content_factors_backup!$A$2:$Q$468,S$525,FALSE())</f>
        <v>0</v>
      </c>
      <c r="T121" s="0" t="n">
        <f aca="false">VLOOKUP($A121,content_factors_backup!$A$2:$Q$468,T$525,FALSE())</f>
        <v>15.69</v>
      </c>
      <c r="U121" s="0" t="n">
        <f aca="false">VLOOKUP($A121,content_factors_backup!$A$2:$Q$468,U$525,FALSE())</f>
        <v>0</v>
      </c>
      <c r="V121" s="0" t="n">
        <f aca="false">VLOOKUP($A121,content_factors_backup!$A$2:$Q$468,V$525,FALSE())</f>
        <v>0.7</v>
      </c>
      <c r="W121" s="0" t="n">
        <f aca="false">VLOOKUP($A121,content_factors_backup!$A$2:$Q$468,W$525,FALSE())</f>
        <v>0</v>
      </c>
    </row>
    <row r="122" customFormat="false" ht="14.25" hidden="false" customHeight="false" outlineLevel="0" collapsed="false">
      <c r="A122" s="0" t="n">
        <v>245</v>
      </c>
      <c r="B122" s="0" t="s">
        <v>312</v>
      </c>
      <c r="C122" s="0" t="s">
        <v>313</v>
      </c>
      <c r="E122" s="0" t="n">
        <v>230500</v>
      </c>
      <c r="F122" s="0" t="n">
        <v>230500</v>
      </c>
      <c r="G122" s="0" t="n">
        <v>21910.04</v>
      </c>
      <c r="I122" s="0" t="n">
        <f aca="false">VLOOKUP($A122,content_factors_backup!$A$2:$Q$468,I$525,FALSE())</f>
        <v>95</v>
      </c>
      <c r="J122" s="0" t="n">
        <f aca="false">VLOOKUP($A122,content_factors_backup!$A$2:$Q$468,J$525,FALSE())</f>
        <v>599</v>
      </c>
      <c r="K122" s="0" t="n">
        <f aca="false">VLOOKUP($A122,content_factors_backup!$A$2:$Q$468,K$525,FALSE())</f>
        <v>28.03</v>
      </c>
      <c r="L122" s="0" t="n">
        <f aca="false">VLOOKUP($A122,content_factors_backup!$A$2:$Q$468,L$525,FALSE())</f>
        <v>9.4</v>
      </c>
      <c r="M122" s="0" t="n">
        <f aca="false">VLOOKUP($A122,content_factors_backup!$A$2:$Q$468,M$525,FALSE())</f>
        <v>3.28</v>
      </c>
      <c r="N122" s="0" t="n">
        <f aca="false">VLOOKUP($A122,content_factors_backup!$A$2:$Q$468,N$525,FALSE())</f>
        <v>1.52</v>
      </c>
      <c r="O122" s="0" t="n">
        <f aca="false">VLOOKUP($A122,content_factors_backup!$A$2:$Q$468,O$525,FALSE())</f>
        <v>61</v>
      </c>
      <c r="P122" s="0" t="n">
        <f aca="false">VLOOKUP($A122,content_factors_backup!$A$2:$Q$468,P$525,FALSE())</f>
        <v>120</v>
      </c>
      <c r="Q122" s="0" t="n">
        <f aca="false">VLOOKUP($A122,content_factors_backup!$A$2:$Q$468,Q$525,FALSE())</f>
        <v>0.089</v>
      </c>
      <c r="R122" s="0" t="n">
        <f aca="false">VLOOKUP($A122,content_factors_backup!$A$2:$Q$468,R$525,FALSE())</f>
        <v>55.3</v>
      </c>
      <c r="S122" s="0" t="n">
        <f aca="false">VLOOKUP($A122,content_factors_backup!$A$2:$Q$468,S$525,FALSE())</f>
        <v>726</v>
      </c>
      <c r="T122" s="0" t="n">
        <f aca="false">VLOOKUP($A122,content_factors_backup!$A$2:$Q$468,T$525,FALSE())</f>
        <v>6.94</v>
      </c>
      <c r="U122" s="0" t="n">
        <f aca="false">VLOOKUP($A122,content_factors_backup!$A$2:$Q$468,U$525,FALSE())</f>
        <v>0</v>
      </c>
      <c r="V122" s="0" t="n">
        <f aca="false">VLOOKUP($A122,content_factors_backup!$A$2:$Q$468,V$525,FALSE())</f>
        <v>0</v>
      </c>
      <c r="W122" s="0" t="n">
        <f aca="false">VLOOKUP($A122,content_factors_backup!$A$2:$Q$468,W$525,FALSE())</f>
        <v>0</v>
      </c>
    </row>
    <row r="123" customFormat="false" ht="14.25" hidden="false" customHeight="false" outlineLevel="0" collapsed="false">
      <c r="A123" s="0" t="n">
        <v>246</v>
      </c>
      <c r="B123" s="0" t="s">
        <v>314</v>
      </c>
      <c r="C123" s="0" t="s">
        <v>315</v>
      </c>
      <c r="E123" s="0" t="n">
        <v>200811</v>
      </c>
      <c r="F123" s="0" t="n">
        <v>200811</v>
      </c>
      <c r="G123" s="0" t="n">
        <v>21495.01</v>
      </c>
      <c r="I123" s="0" t="n">
        <f aca="false">VLOOKUP($A123,content_factors_backup!$A$2:$Q$468,I$525,FALSE())</f>
        <v>94</v>
      </c>
      <c r="J123" s="0" t="e">
        <f aca="false">VLOOKUP($A123,content_factors_backup!$A$2:$Q$468,J$525,FALSE())</f>
        <v>#N/A</v>
      </c>
      <c r="K123" s="0" t="e">
        <f aca="false">VLOOKUP($A123,content_factors_backup!$A$2:$Q$468,K$525,FALSE())</f>
        <v>#N/A</v>
      </c>
      <c r="L123" s="0" t="e">
        <f aca="false">VLOOKUP($A123,content_factors_backup!$A$2:$Q$468,L$525,FALSE())</f>
        <v>#N/A</v>
      </c>
      <c r="M123" s="0" t="e">
        <f aca="false">VLOOKUP($A123,content_factors_backup!$A$2:$Q$468,M$525,FALSE())</f>
        <v>#N/A</v>
      </c>
      <c r="N123" s="0" t="e">
        <f aca="false">VLOOKUP($A123,content_factors_backup!$A$2:$Q$468,N$525,FALSE())</f>
        <v>#N/A</v>
      </c>
      <c r="O123" s="0" t="e">
        <f aca="false">VLOOKUP($A123,content_factors_backup!$A$2:$Q$468,O$525,FALSE())</f>
        <v>#N/A</v>
      </c>
      <c r="P123" s="0" t="e">
        <f aca="false">VLOOKUP($A123,content_factors_backup!$A$2:$Q$468,P$525,FALSE())</f>
        <v>#N/A</v>
      </c>
      <c r="Q123" s="0" t="e">
        <f aca="false">VLOOKUP($A123,content_factors_backup!$A$2:$Q$468,Q$525,FALSE())</f>
        <v>#N/A</v>
      </c>
      <c r="R123" s="0" t="e">
        <f aca="false">VLOOKUP($A123,content_factors_backup!$A$2:$Q$468,R$525,FALSE())</f>
        <v>#N/A</v>
      </c>
      <c r="S123" s="0" t="e">
        <f aca="false">VLOOKUP($A123,content_factors_backup!$A$2:$Q$468,S$525,FALSE())</f>
        <v>#N/A</v>
      </c>
      <c r="T123" s="0" t="e">
        <f aca="false">VLOOKUP($A123,content_factors_backup!$A$2:$Q$468,T$525,FALSE())</f>
        <v>#N/A</v>
      </c>
      <c r="U123" s="0" t="e">
        <f aca="false">VLOOKUP($A123,content_factors_backup!$A$2:$Q$468,U$525,FALSE())</f>
        <v>#N/A</v>
      </c>
      <c r="V123" s="0" t="e">
        <f aca="false">VLOOKUP($A123,content_factors_backup!$A$2:$Q$468,V$525,FALSE())</f>
        <v>#N/A</v>
      </c>
      <c r="W123" s="0" t="e">
        <f aca="false">VLOOKUP($A123,content_factors_backup!$A$2:$Q$468,W$525,FALSE())</f>
        <v>#N/A</v>
      </c>
    </row>
    <row r="124" customFormat="false" ht="14.25" hidden="false" customHeight="false" outlineLevel="0" collapsed="false">
      <c r="A124" s="0" t="n">
        <v>247</v>
      </c>
      <c r="B124" s="0" t="s">
        <v>316</v>
      </c>
      <c r="C124" s="0" t="s">
        <v>317</v>
      </c>
      <c r="E124" s="0" t="n">
        <v>200811</v>
      </c>
      <c r="F124" s="0" t="n">
        <v>200811</v>
      </c>
      <c r="G124" s="0" t="n">
        <v>21495.02</v>
      </c>
      <c r="I124" s="0" t="n">
        <f aca="false">VLOOKUP($A124,content_factors_backup!$A$2:$Q$468,I$525,FALSE())</f>
        <v>98</v>
      </c>
      <c r="J124" s="0" t="n">
        <f aca="false">VLOOKUP($A124,content_factors_backup!$A$2:$Q$468,J$525,FALSE())</f>
        <v>598</v>
      </c>
      <c r="K124" s="0" t="n">
        <f aca="false">VLOOKUP($A124,content_factors_backup!$A$2:$Q$468,K$525,FALSE())</f>
        <v>22.21</v>
      </c>
      <c r="L124" s="0" t="n">
        <f aca="false">VLOOKUP($A124,content_factors_backup!$A$2:$Q$468,L$525,FALSE())</f>
        <v>5</v>
      </c>
      <c r="M124" s="0" t="n">
        <f aca="false">VLOOKUP($A124,content_factors_backup!$A$2:$Q$468,M$525,FALSE())</f>
        <v>2.51</v>
      </c>
      <c r="N124" s="0" t="n">
        <f aca="false">VLOOKUP($A124,content_factors_backup!$A$2:$Q$468,N$525,FALSE())</f>
        <v>1.74</v>
      </c>
      <c r="O124" s="0" t="n">
        <f aca="false">VLOOKUP($A124,content_factors_backup!$A$2:$Q$468,O$525,FALSE())</f>
        <v>49</v>
      </c>
      <c r="P124" s="0" t="n">
        <f aca="false">VLOOKUP($A124,content_factors_backup!$A$2:$Q$468,P$525,FALSE())</f>
        <v>87</v>
      </c>
      <c r="Q124" s="0" t="n">
        <f aca="false">VLOOKUP($A124,content_factors_backup!$A$2:$Q$468,Q$525,FALSE())</f>
        <v>0.192</v>
      </c>
      <c r="R124" s="0" t="n">
        <f aca="false">VLOOKUP($A124,content_factors_backup!$A$2:$Q$468,R$525,FALSE())</f>
        <v>63</v>
      </c>
      <c r="S124" s="0" t="n">
        <f aca="false">VLOOKUP($A124,content_factors_backup!$A$2:$Q$468,S$525,FALSE())</f>
        <v>558</v>
      </c>
      <c r="T124" s="0" t="n">
        <f aca="false">VLOOKUP($A124,content_factors_backup!$A$2:$Q$468,T$525,FALSE())</f>
        <v>9.1</v>
      </c>
      <c r="U124" s="0" t="n">
        <f aca="false">VLOOKUP($A124,content_factors_backup!$A$2:$Q$468,U$525,FALSE())</f>
        <v>0</v>
      </c>
      <c r="V124" s="0" t="n">
        <f aca="false">VLOOKUP($A124,content_factors_backup!$A$2:$Q$468,V$525,FALSE())</f>
        <v>0.3</v>
      </c>
      <c r="W124" s="0" t="n">
        <f aca="false">VLOOKUP($A124,content_factors_backup!$A$2:$Q$468,W$525,FALSE())</f>
        <v>0</v>
      </c>
    </row>
    <row r="125" customFormat="false" ht="14.25" hidden="false" customHeight="false" outlineLevel="0" collapsed="false">
      <c r="A125" s="0" t="n">
        <v>249</v>
      </c>
      <c r="B125" s="0" t="s">
        <v>318</v>
      </c>
      <c r="C125" s="0" t="s">
        <v>319</v>
      </c>
      <c r="E125" s="0" t="n">
        <v>80119</v>
      </c>
      <c r="F125" s="0" t="s">
        <v>320</v>
      </c>
      <c r="G125" s="0" t="n">
        <v>1460</v>
      </c>
      <c r="I125" s="0" t="n">
        <f aca="false">VLOOKUP($A125,content_factors_backup!$A$2:$Q$468,I$525,FALSE())</f>
        <v>60</v>
      </c>
      <c r="J125" s="0" t="n">
        <f aca="false">VLOOKUP($A125,content_factors_backup!$A$2:$Q$468,J$525,FALSE())</f>
        <v>358</v>
      </c>
      <c r="K125" s="0" t="n">
        <f aca="false">VLOOKUP($A125,content_factors_backup!$A$2:$Q$468,K$525,FALSE())</f>
        <v>3.5</v>
      </c>
      <c r="L125" s="0" t="n">
        <f aca="false">VLOOKUP($A125,content_factors_backup!$A$2:$Q$468,L$525,FALSE())</f>
        <v>6.55</v>
      </c>
      <c r="M125" s="0" t="n">
        <f aca="false">VLOOKUP($A125,content_factors_backup!$A$2:$Q$468,M$525,FALSE())</f>
        <v>0.92</v>
      </c>
      <c r="N125" s="0" t="n">
        <f aca="false">VLOOKUP($A125,content_factors_backup!$A$2:$Q$468,N$525,FALSE())</f>
        <v>2.427272727</v>
      </c>
      <c r="O125" s="0" t="n">
        <f aca="false">VLOOKUP($A125,content_factors_backup!$A$2:$Q$468,O$525,FALSE())</f>
        <v>16.72727273</v>
      </c>
      <c r="P125" s="0" t="n">
        <f aca="false">VLOOKUP($A125,content_factors_backup!$A$2:$Q$468,P$525,FALSE())</f>
        <v>19.25</v>
      </c>
      <c r="Q125" s="0" t="n">
        <f aca="false">VLOOKUP($A125,content_factors_backup!$A$2:$Q$468,Q$525,FALSE())</f>
        <v>0.022</v>
      </c>
      <c r="R125" s="0" t="n">
        <f aca="false">VLOOKUP($A125,content_factors_backup!$A$2:$Q$468,R$525,FALSE())</f>
        <v>12.1</v>
      </c>
      <c r="S125" s="0" t="n">
        <f aca="false">VLOOKUP($A125,content_factors_backup!$A$2:$Q$468,S$525,FALSE())</f>
        <v>318.5</v>
      </c>
      <c r="T125" s="0" t="n">
        <f aca="false">VLOOKUP($A125,content_factors_backup!$A$2:$Q$468,T$525,FALSE())</f>
        <v>0.24</v>
      </c>
      <c r="U125" s="0" t="n">
        <f aca="false">VLOOKUP($A125,content_factors_backup!$A$2:$Q$468,U$525,FALSE())</f>
        <v>0</v>
      </c>
      <c r="V125" s="0" t="n">
        <f aca="false">VLOOKUP($A125,content_factors_backup!$A$2:$Q$468,V$525,FALSE())</f>
        <v>0.2</v>
      </c>
      <c r="W125" s="0" t="n">
        <f aca="false">VLOOKUP($A125,content_factors_backup!$A$2:$Q$468,W$525,FALSE())</f>
        <v>0</v>
      </c>
    </row>
    <row r="126" customFormat="false" ht="14.25" hidden="false" customHeight="false" outlineLevel="0" collapsed="false">
      <c r="A126" s="0" t="n">
        <v>250</v>
      </c>
      <c r="B126" s="0" t="s">
        <v>321</v>
      </c>
      <c r="C126" s="0" t="s">
        <v>322</v>
      </c>
      <c r="E126" s="0" t="n">
        <v>80111</v>
      </c>
      <c r="F126" s="0" t="n">
        <v>80111</v>
      </c>
      <c r="G126" s="0" t="n">
        <v>21429.07</v>
      </c>
      <c r="I126" s="0" t="n">
        <f aca="false">VLOOKUP($A126,content_factors_backup!$A$2:$Q$468,I$525,FALSE())</f>
        <v>96</v>
      </c>
      <c r="J126" s="0" t="n">
        <f aca="false">VLOOKUP($A126,content_factors_backup!$A$2:$Q$468,J$525,FALSE())</f>
        <v>684</v>
      </c>
      <c r="K126" s="0" t="n">
        <f aca="false">VLOOKUP($A126,content_factors_backup!$A$2:$Q$468,K$525,FALSE())</f>
        <v>5.3</v>
      </c>
      <c r="L126" s="0" t="n">
        <f aca="false">VLOOKUP($A126,content_factors_backup!$A$2:$Q$468,L$525,FALSE())</f>
        <v>0</v>
      </c>
      <c r="M126" s="0" t="n">
        <f aca="false">VLOOKUP($A126,content_factors_backup!$A$2:$Q$468,M$525,FALSE())</f>
        <v>2.04</v>
      </c>
      <c r="N126" s="0" t="n">
        <f aca="false">VLOOKUP($A126,content_factors_backup!$A$2:$Q$468,N$525,FALSE())</f>
        <v>3.36</v>
      </c>
      <c r="O126" s="0" t="n">
        <f aca="false">VLOOKUP($A126,content_factors_backup!$A$2:$Q$468,O$525,FALSE())</f>
        <v>26</v>
      </c>
      <c r="P126" s="0" t="n">
        <f aca="false">VLOOKUP($A126,content_factors_backup!$A$2:$Q$468,P$525,FALSE())</f>
        <v>9</v>
      </c>
      <c r="Q126" s="0" t="n">
        <f aca="false">VLOOKUP($A126,content_factors_backup!$A$2:$Q$468,Q$525,FALSE())</f>
        <v>0.101</v>
      </c>
      <c r="R126" s="0" t="n">
        <f aca="false">VLOOKUP($A126,content_factors_backup!$A$2:$Q$468,R$525,FALSE())</f>
        <v>0</v>
      </c>
      <c r="S126" s="0" t="n">
        <f aca="false">VLOOKUP($A126,content_factors_backup!$A$2:$Q$468,S$525,FALSE())</f>
        <v>551</v>
      </c>
      <c r="T126" s="0" t="n">
        <f aca="false">VLOOKUP($A126,content_factors_backup!$A$2:$Q$468,T$525,FALSE())</f>
        <v>0</v>
      </c>
      <c r="U126" s="0" t="n">
        <f aca="false">VLOOKUP($A126,content_factors_backup!$A$2:$Q$468,U$525,FALSE())</f>
        <v>0</v>
      </c>
      <c r="V126" s="0" t="n">
        <f aca="false">VLOOKUP($A126,content_factors_backup!$A$2:$Q$468,V$525,FALSE())</f>
        <v>0</v>
      </c>
      <c r="W126" s="0" t="n">
        <f aca="false">VLOOKUP($A126,content_factors_backup!$A$2:$Q$468,W$525,FALSE())</f>
        <v>0</v>
      </c>
    </row>
    <row r="127" customFormat="false" ht="14.25" hidden="false" customHeight="false" outlineLevel="0" collapsed="false">
      <c r="A127" s="0" t="n">
        <v>251</v>
      </c>
      <c r="B127" s="0" t="s">
        <v>323</v>
      </c>
      <c r="C127" s="0" t="s">
        <v>324</v>
      </c>
      <c r="E127" s="0" t="n">
        <v>120300</v>
      </c>
      <c r="F127" s="0" t="n">
        <v>120300</v>
      </c>
      <c r="G127" s="0" t="n">
        <v>1492</v>
      </c>
      <c r="I127" s="0" t="n">
        <f aca="false">VLOOKUP($A127,content_factors_backup!$A$2:$Q$468,I$525,FALSE())</f>
        <v>96</v>
      </c>
      <c r="J127" s="0" t="n">
        <f aca="false">VLOOKUP($A127,content_factors_backup!$A$2:$Q$468,J$525,FALSE())</f>
        <v>358</v>
      </c>
      <c r="K127" s="0" t="n">
        <f aca="false">VLOOKUP($A127,content_factors_backup!$A$2:$Q$468,K$525,FALSE())</f>
        <v>3.5</v>
      </c>
      <c r="L127" s="0" t="n">
        <f aca="false">VLOOKUP($A127,content_factors_backup!$A$2:$Q$468,L$525,FALSE())</f>
        <v>6.55</v>
      </c>
      <c r="M127" s="0" t="n">
        <f aca="false">VLOOKUP($A127,content_factors_backup!$A$2:$Q$468,M$525,FALSE())</f>
        <v>0.92</v>
      </c>
      <c r="N127" s="0" t="n">
        <f aca="false">VLOOKUP($A127,content_factors_backup!$A$2:$Q$468,N$525,FALSE())</f>
        <v>2.427272727</v>
      </c>
      <c r="O127" s="0" t="n">
        <f aca="false">VLOOKUP($A127,content_factors_backup!$A$2:$Q$468,O$525,FALSE())</f>
        <v>16.72727273</v>
      </c>
      <c r="P127" s="0" t="n">
        <f aca="false">VLOOKUP($A127,content_factors_backup!$A$2:$Q$468,P$525,FALSE())</f>
        <v>19.25</v>
      </c>
      <c r="Q127" s="0" t="n">
        <f aca="false">VLOOKUP($A127,content_factors_backup!$A$2:$Q$468,Q$525,FALSE())</f>
        <v>0.022</v>
      </c>
      <c r="R127" s="0" t="n">
        <f aca="false">VLOOKUP($A127,content_factors_backup!$A$2:$Q$468,R$525,FALSE())</f>
        <v>12.1</v>
      </c>
      <c r="S127" s="0" t="n">
        <f aca="false">VLOOKUP($A127,content_factors_backup!$A$2:$Q$468,S$525,FALSE())</f>
        <v>318.5</v>
      </c>
      <c r="T127" s="0" t="n">
        <f aca="false">VLOOKUP($A127,content_factors_backup!$A$2:$Q$468,T$525,FALSE())</f>
        <v>0.24</v>
      </c>
      <c r="U127" s="0" t="n">
        <f aca="false">VLOOKUP($A127,content_factors_backup!$A$2:$Q$468,U$525,FALSE())</f>
        <v>0</v>
      </c>
      <c r="V127" s="0" t="n">
        <f aca="false">VLOOKUP($A127,content_factors_backup!$A$2:$Q$468,V$525,FALSE())</f>
        <v>0.2</v>
      </c>
      <c r="W127" s="0" t="n">
        <f aca="false">VLOOKUP($A127,content_factors_backup!$A$2:$Q$468,W$525,FALSE())</f>
        <v>0</v>
      </c>
    </row>
    <row r="128" customFormat="false" ht="14.25" hidden="false" customHeight="false" outlineLevel="0" collapsed="false">
      <c r="A128" s="0" t="n">
        <v>252</v>
      </c>
      <c r="B128" s="0" t="s">
        <v>325</v>
      </c>
      <c r="C128" s="0" t="s">
        <v>326</v>
      </c>
      <c r="E128" s="0" t="s">
        <v>327</v>
      </c>
      <c r="F128" s="0" t="s">
        <v>327</v>
      </c>
      <c r="G128" s="0" t="n">
        <v>2166</v>
      </c>
      <c r="I128" s="0" t="n">
        <f aca="false">VLOOKUP($A128,content_factors_backup!$A$2:$Q$468,I$525,FALSE())</f>
        <v>100</v>
      </c>
      <c r="J128" s="0" t="n">
        <f aca="false">VLOOKUP($A128,content_factors_backup!$A$2:$Q$468,J$525,FALSE())</f>
        <v>899.5</v>
      </c>
      <c r="K128" s="0" t="n">
        <f aca="false">VLOOKUP($A128,content_factors_backup!$A$2:$Q$468,K$525,FALSE())</f>
        <v>0</v>
      </c>
      <c r="L128" s="0" t="n">
        <f aca="false">VLOOKUP($A128,content_factors_backup!$A$2:$Q$468,L$525,FALSE())</f>
        <v>0</v>
      </c>
      <c r="M128" s="0" t="n">
        <f aca="false">VLOOKUP($A128,content_factors_backup!$A$2:$Q$468,M$525,FALSE())</f>
        <v>0</v>
      </c>
      <c r="N128" s="0" t="n">
        <f aca="false">VLOOKUP($A128,content_factors_backup!$A$2:$Q$468,N$525,FALSE())</f>
        <v>0.04</v>
      </c>
      <c r="O128" s="0" t="n">
        <f aca="false">VLOOKUP($A128,content_factors_backup!$A$2:$Q$468,O$525,FALSE())</f>
        <v>0</v>
      </c>
      <c r="P128" s="0" t="n">
        <f aca="false">VLOOKUP($A128,content_factors_backup!$A$2:$Q$468,P$525,FALSE())</f>
        <v>0</v>
      </c>
      <c r="Q128" s="0" t="n">
        <f aca="false">VLOOKUP($A128,content_factors_backup!$A$2:$Q$468,Q$525,FALSE())</f>
        <v>0</v>
      </c>
      <c r="R128" s="0" t="n">
        <f aca="false">VLOOKUP($A128,content_factors_backup!$A$2:$Q$468,R$525,FALSE())</f>
        <v>0.3</v>
      </c>
      <c r="S128" s="0" t="n">
        <f aca="false">VLOOKUP($A128,content_factors_backup!$A$2:$Q$468,S$525,FALSE())</f>
        <v>0</v>
      </c>
      <c r="T128" s="0" t="n">
        <f aca="false">VLOOKUP($A128,content_factors_backup!$A$2:$Q$468,T$525,FALSE())</f>
        <v>0.09</v>
      </c>
      <c r="U128" s="0" t="n">
        <f aca="false">VLOOKUP($A128,content_factors_backup!$A$2:$Q$468,U$525,FALSE())</f>
        <v>0</v>
      </c>
      <c r="V128" s="0" t="n">
        <f aca="false">VLOOKUP($A128,content_factors_backup!$A$2:$Q$468,V$525,FALSE())</f>
        <v>0.5</v>
      </c>
      <c r="W128" s="0" t="n">
        <f aca="false">VLOOKUP($A128,content_factors_backup!$A$2:$Q$468,W$525,FALSE())</f>
        <v>0</v>
      </c>
    </row>
    <row r="129" customFormat="false" ht="14.25" hidden="false" customHeight="false" outlineLevel="0" collapsed="false">
      <c r="A129" s="0" t="n">
        <v>253</v>
      </c>
      <c r="B129" s="0" t="s">
        <v>328</v>
      </c>
      <c r="C129" s="0" t="s">
        <v>313</v>
      </c>
      <c r="E129" s="0" t="n">
        <v>230650</v>
      </c>
      <c r="F129" s="0" t="n">
        <v>230650</v>
      </c>
      <c r="G129" s="0" t="n">
        <v>21910.05</v>
      </c>
      <c r="I129" s="0" t="n">
        <f aca="false">VLOOKUP($A129,content_factors_backup!$A$2:$Q$468,I$525,FALSE())</f>
        <v>90</v>
      </c>
      <c r="J129" s="0" t="n">
        <f aca="false">VLOOKUP($A129,content_factors_backup!$A$2:$Q$468,J$525,FALSE())</f>
        <v>660</v>
      </c>
      <c r="K129" s="0" t="n">
        <f aca="false">VLOOKUP($A129,content_factors_backup!$A$2:$Q$468,K$525,FALSE())</f>
        <v>6.88</v>
      </c>
      <c r="L129" s="0" t="n">
        <f aca="false">VLOOKUP($A129,content_factors_backup!$A$2:$Q$468,L$525,FALSE())</f>
        <v>16.3</v>
      </c>
      <c r="M129" s="0" t="n">
        <f aca="false">VLOOKUP($A129,content_factors_backup!$A$2:$Q$468,M$525,FALSE())</f>
        <v>2.01</v>
      </c>
      <c r="N129" s="0" t="n">
        <f aca="false">VLOOKUP($A129,content_factors_backup!$A$2:$Q$468,N$525,FALSE())</f>
        <v>3.32</v>
      </c>
      <c r="O129" s="0" t="n">
        <f aca="false">VLOOKUP($A129,content_factors_backup!$A$2:$Q$468,O$525,FALSE())</f>
        <v>26</v>
      </c>
      <c r="P129" s="0" t="n">
        <f aca="false">VLOOKUP($A129,content_factors_backup!$A$2:$Q$468,P$525,FALSE())</f>
        <v>9</v>
      </c>
      <c r="Q129" s="0" t="n">
        <f aca="false">VLOOKUP($A129,content_factors_backup!$A$2:$Q$468,Q$525,FALSE())</f>
        <v>0.1</v>
      </c>
      <c r="R129" s="0" t="n">
        <f aca="false">VLOOKUP($A129,content_factors_backup!$A$2:$Q$468,R$525,FALSE())</f>
        <v>22.1</v>
      </c>
      <c r="S129" s="0" t="n">
        <f aca="false">VLOOKUP($A129,content_factors_backup!$A$2:$Q$468,S$525,FALSE())</f>
        <v>543</v>
      </c>
      <c r="T129" s="0" t="n">
        <f aca="false">VLOOKUP($A129,content_factors_backup!$A$2:$Q$468,T$525,FALSE())</f>
        <v>0.44</v>
      </c>
      <c r="U129" s="0" t="n">
        <f aca="false">VLOOKUP($A129,content_factors_backup!$A$2:$Q$468,U$525,FALSE())</f>
        <v>0</v>
      </c>
      <c r="V129" s="0" t="n">
        <f aca="false">VLOOKUP($A129,content_factors_backup!$A$2:$Q$468,V$525,FALSE())</f>
        <v>0.3</v>
      </c>
      <c r="W129" s="0" t="n">
        <f aca="false">VLOOKUP($A129,content_factors_backup!$A$2:$Q$468,W$525,FALSE())</f>
        <v>0</v>
      </c>
    </row>
    <row r="130" customFormat="false" ht="14.25" hidden="false" customHeight="false" outlineLevel="0" collapsed="false">
      <c r="A130" s="0" t="n">
        <v>254</v>
      </c>
      <c r="B130" s="0" t="s">
        <v>329</v>
      </c>
      <c r="C130" s="0" t="s">
        <v>330</v>
      </c>
      <c r="E130" s="0" t="n">
        <v>120799</v>
      </c>
      <c r="F130" s="0" t="n">
        <v>120710</v>
      </c>
      <c r="G130" s="0" t="n">
        <v>1491.01</v>
      </c>
      <c r="I130" s="0" t="n">
        <f aca="false">VLOOKUP($A130,content_factors_backup!$A$2:$Q$468,I$525,FALSE())</f>
        <v>25</v>
      </c>
      <c r="J130" s="0" t="n">
        <f aca="false">VLOOKUP($A130,content_factors_backup!$A$2:$Q$468,J$525,FALSE())</f>
        <v>900</v>
      </c>
      <c r="K130" s="0" t="n">
        <f aca="false">VLOOKUP($A130,content_factors_backup!$A$2:$Q$468,K$525,FALSE())</f>
        <v>0</v>
      </c>
      <c r="L130" s="0" t="n">
        <f aca="false">VLOOKUP($A130,content_factors_backup!$A$2:$Q$468,L$525,FALSE())</f>
        <v>0</v>
      </c>
      <c r="M130" s="0" t="n">
        <f aca="false">VLOOKUP($A130,content_factors_backup!$A$2:$Q$468,M$525,FALSE())</f>
        <v>0</v>
      </c>
      <c r="N130" s="0" t="n">
        <f aca="false">VLOOKUP($A130,content_factors_backup!$A$2:$Q$468,N$525,FALSE())</f>
        <v>0.01</v>
      </c>
      <c r="O130" s="0" t="n">
        <f aca="false">VLOOKUP($A130,content_factors_backup!$A$2:$Q$468,O$525,FALSE())</f>
        <v>0</v>
      </c>
      <c r="P130" s="0" t="n">
        <f aca="false">VLOOKUP($A130,content_factors_backup!$A$2:$Q$468,P$525,FALSE())</f>
        <v>0</v>
      </c>
      <c r="Q130" s="0" t="n">
        <f aca="false">VLOOKUP($A130,content_factors_backup!$A$2:$Q$468,Q$525,FALSE())</f>
        <v>0</v>
      </c>
      <c r="R130" s="0" t="n">
        <f aca="false">VLOOKUP($A130,content_factors_backup!$A$2:$Q$468,R$525,FALSE())</f>
        <v>0.3</v>
      </c>
      <c r="S130" s="0" t="n">
        <f aca="false">VLOOKUP($A130,content_factors_backup!$A$2:$Q$468,S$525,FALSE())</f>
        <v>0</v>
      </c>
      <c r="T130" s="0" t="n">
        <f aca="false">VLOOKUP($A130,content_factors_backup!$A$2:$Q$468,T$525,FALSE())</f>
        <v>15.94</v>
      </c>
      <c r="U130" s="0" t="n">
        <f aca="false">VLOOKUP($A130,content_factors_backup!$A$2:$Q$468,U$525,FALSE())</f>
        <v>0</v>
      </c>
      <c r="V130" s="0" t="n">
        <f aca="false">VLOOKUP($A130,content_factors_backup!$A$2:$Q$468,V$525,FALSE())</f>
        <v>8</v>
      </c>
      <c r="W130" s="0" t="n">
        <f aca="false">VLOOKUP($A130,content_factors_backup!$A$2:$Q$468,W$525,FALSE())</f>
        <v>6010</v>
      </c>
    </row>
    <row r="131" customFormat="false" ht="14.25" hidden="false" customHeight="false" outlineLevel="0" collapsed="false">
      <c r="A131" s="0" t="n">
        <v>256</v>
      </c>
      <c r="B131" s="0" t="s">
        <v>331</v>
      </c>
      <c r="C131" s="0" t="s">
        <v>332</v>
      </c>
      <c r="E131" s="0" t="n">
        <v>120999</v>
      </c>
      <c r="F131" s="0" t="n">
        <v>120999</v>
      </c>
      <c r="G131" s="0" t="n">
        <v>1491.02</v>
      </c>
      <c r="I131" s="0" t="n">
        <f aca="false">VLOOKUP($A131,content_factors_backup!$A$2:$Q$468,I$525,FALSE())</f>
        <v>90</v>
      </c>
      <c r="J131" s="0" t="n">
        <f aca="false">VLOOKUP($A131,content_factors_backup!$A$2:$Q$468,J$525,FALSE())</f>
        <v>609</v>
      </c>
      <c r="K131" s="0" t="n">
        <f aca="false">VLOOKUP($A131,content_factors_backup!$A$2:$Q$468,K$525,FALSE())</f>
        <v>6.1</v>
      </c>
      <c r="L131" s="0" t="n">
        <f aca="false">VLOOKUP($A131,content_factors_backup!$A$2:$Q$468,L$525,FALSE())</f>
        <v>0</v>
      </c>
      <c r="M131" s="0" t="n">
        <f aca="false">VLOOKUP($A131,content_factors_backup!$A$2:$Q$468,M$525,FALSE())</f>
        <v>2.3738</v>
      </c>
      <c r="N131" s="0" t="n">
        <f aca="false">VLOOKUP($A131,content_factors_backup!$A$2:$Q$468,N$525,FALSE())</f>
        <v>9</v>
      </c>
      <c r="O131" s="0" t="n">
        <f aca="false">VLOOKUP($A131,content_factors_backup!$A$2:$Q$468,O$525,FALSE())</f>
        <v>91</v>
      </c>
      <c r="P131" s="0" t="n">
        <f aca="false">VLOOKUP($A131,content_factors_backup!$A$2:$Q$468,P$525,FALSE())</f>
        <v>0</v>
      </c>
      <c r="Q131" s="0" t="n">
        <f aca="false">VLOOKUP($A131,content_factors_backup!$A$2:$Q$468,Q$525,FALSE())</f>
        <v>0</v>
      </c>
      <c r="R131" s="0" t="n">
        <f aca="false">VLOOKUP($A131,content_factors_backup!$A$2:$Q$468,R$525,FALSE())</f>
        <v>0</v>
      </c>
      <c r="S131" s="0" t="n">
        <f aca="false">VLOOKUP($A131,content_factors_backup!$A$2:$Q$468,S$525,FALSE())</f>
        <v>270.4345</v>
      </c>
      <c r="T131" s="0" t="n">
        <f aca="false">VLOOKUP($A131,content_factors_backup!$A$2:$Q$468,T$525,FALSE())</f>
        <v>15.94</v>
      </c>
      <c r="U131" s="0" t="n">
        <f aca="false">VLOOKUP($A131,content_factors_backup!$A$2:$Q$468,U$525,FALSE())</f>
        <v>0</v>
      </c>
      <c r="V131" s="0" t="n">
        <f aca="false">VLOOKUP($A131,content_factors_backup!$A$2:$Q$468,V$525,FALSE())</f>
        <v>8</v>
      </c>
      <c r="W131" s="0" t="n">
        <f aca="false">VLOOKUP($A131,content_factors_backup!$A$2:$Q$468,W$525,FALSE())</f>
        <v>0</v>
      </c>
    </row>
    <row r="132" customFormat="false" ht="14.25" hidden="false" customHeight="false" outlineLevel="0" collapsed="false">
      <c r="A132" s="0" t="n">
        <v>257</v>
      </c>
      <c r="B132" s="0" t="s">
        <v>333</v>
      </c>
      <c r="C132" s="0" t="s">
        <v>334</v>
      </c>
      <c r="E132" s="0" t="s">
        <v>335</v>
      </c>
      <c r="F132" s="0" t="s">
        <v>335</v>
      </c>
      <c r="G132" s="0" t="n">
        <v>2165</v>
      </c>
      <c r="I132" s="0" t="n">
        <f aca="false">VLOOKUP($A132,content_factors_backup!$A$2:$Q$468,I$525,FALSE())</f>
        <v>100</v>
      </c>
      <c r="J132" s="0" t="n">
        <f aca="false">VLOOKUP($A132,content_factors_backup!$A$2:$Q$468,J$525,FALSE())</f>
        <v>900</v>
      </c>
      <c r="K132" s="0" t="n">
        <f aca="false">VLOOKUP($A132,content_factors_backup!$A$2:$Q$468,K$525,FALSE())</f>
        <v>0</v>
      </c>
      <c r="L132" s="0" t="n">
        <f aca="false">VLOOKUP($A132,content_factors_backup!$A$2:$Q$468,L$525,FALSE())</f>
        <v>0</v>
      </c>
      <c r="M132" s="0" t="n">
        <f aca="false">VLOOKUP($A132,content_factors_backup!$A$2:$Q$468,M$525,FALSE())</f>
        <v>0</v>
      </c>
      <c r="N132" s="0" t="n">
        <f aca="false">VLOOKUP($A132,content_factors_backup!$A$2:$Q$468,N$525,FALSE())</f>
        <v>0.01</v>
      </c>
      <c r="O132" s="0" t="n">
        <f aca="false">VLOOKUP($A132,content_factors_backup!$A$2:$Q$468,O$525,FALSE())</f>
        <v>0</v>
      </c>
      <c r="P132" s="0" t="n">
        <f aca="false">VLOOKUP($A132,content_factors_backup!$A$2:$Q$468,P$525,FALSE())</f>
        <v>0</v>
      </c>
      <c r="Q132" s="0" t="n">
        <f aca="false">VLOOKUP($A132,content_factors_backup!$A$2:$Q$468,Q$525,FALSE())</f>
        <v>0</v>
      </c>
      <c r="R132" s="0" t="n">
        <f aca="false">VLOOKUP($A132,content_factors_backup!$A$2:$Q$468,R$525,FALSE())</f>
        <v>0.3</v>
      </c>
      <c r="S132" s="0" t="n">
        <f aca="false">VLOOKUP($A132,content_factors_backup!$A$2:$Q$468,S$525,FALSE())</f>
        <v>0</v>
      </c>
      <c r="T132" s="0" t="n">
        <f aca="false">VLOOKUP($A132,content_factors_backup!$A$2:$Q$468,T$525,FALSE())</f>
        <v>15.94</v>
      </c>
      <c r="U132" s="0" t="n">
        <f aca="false">VLOOKUP($A132,content_factors_backup!$A$2:$Q$468,U$525,FALSE())</f>
        <v>0</v>
      </c>
      <c r="V132" s="0" t="n">
        <f aca="false">VLOOKUP($A132,content_factors_backup!$A$2:$Q$468,V$525,FALSE())</f>
        <v>8</v>
      </c>
      <c r="W132" s="0" t="n">
        <f aca="false">VLOOKUP($A132,content_factors_backup!$A$2:$Q$468,W$525,FALSE())</f>
        <v>6010</v>
      </c>
    </row>
    <row r="133" customFormat="false" ht="14.25" hidden="false" customHeight="false" outlineLevel="0" collapsed="false">
      <c r="A133" s="0" t="n">
        <v>258</v>
      </c>
      <c r="B133" s="0" t="s">
        <v>336</v>
      </c>
      <c r="C133" s="0" t="s">
        <v>337</v>
      </c>
      <c r="E133" s="0" t="s">
        <v>338</v>
      </c>
      <c r="F133" s="0" t="s">
        <v>338</v>
      </c>
      <c r="G133" s="0" t="n">
        <v>21691.14</v>
      </c>
      <c r="I133" s="0" t="n">
        <f aca="false">VLOOKUP($A133,content_factors_backup!$A$2:$Q$468,I$525,FALSE())</f>
        <v>100</v>
      </c>
      <c r="J133" s="0" t="n">
        <f aca="false">VLOOKUP($A133,content_factors_backup!$A$2:$Q$468,J$525,FALSE())</f>
        <v>881</v>
      </c>
      <c r="K133" s="0" t="n">
        <f aca="false">VLOOKUP($A133,content_factors_backup!$A$2:$Q$468,K$525,FALSE())</f>
        <v>0</v>
      </c>
      <c r="L133" s="0" t="n">
        <f aca="false">VLOOKUP($A133,content_factors_backup!$A$2:$Q$468,L$525,FALSE())</f>
        <v>0</v>
      </c>
      <c r="M133" s="0" t="n">
        <f aca="false">VLOOKUP($A133,content_factors_backup!$A$2:$Q$468,M$525,FALSE())</f>
        <v>0</v>
      </c>
      <c r="N133" s="0" t="n">
        <f aca="false">VLOOKUP($A133,content_factors_backup!$A$2:$Q$468,N$525,FALSE())</f>
        <v>0</v>
      </c>
      <c r="O133" s="0" t="n">
        <f aca="false">VLOOKUP($A133,content_factors_backup!$A$2:$Q$468,O$525,FALSE())</f>
        <v>0</v>
      </c>
      <c r="P133" s="0" t="n">
        <f aca="false">VLOOKUP($A133,content_factors_backup!$A$2:$Q$468,P$525,FALSE())</f>
        <v>0</v>
      </c>
      <c r="Q133" s="0" t="n">
        <f aca="false">VLOOKUP($A133,content_factors_backup!$A$2:$Q$468,Q$525,FALSE())</f>
        <v>0</v>
      </c>
      <c r="R133" s="0" t="n">
        <f aca="false">VLOOKUP($A133,content_factors_backup!$A$2:$Q$468,R$525,FALSE())</f>
        <v>0.2</v>
      </c>
      <c r="S133" s="0" t="n">
        <f aca="false">VLOOKUP($A133,content_factors_backup!$A$2:$Q$468,S$525,FALSE())</f>
        <v>0</v>
      </c>
      <c r="T133" s="0" t="n">
        <f aca="false">VLOOKUP($A133,content_factors_backup!$A$2:$Q$468,T$525,FALSE())</f>
        <v>3.81</v>
      </c>
      <c r="U133" s="0" t="n">
        <f aca="false">VLOOKUP($A133,content_factors_backup!$A$2:$Q$468,U$525,FALSE())</f>
        <v>0</v>
      </c>
      <c r="V133" s="0" t="n">
        <f aca="false">VLOOKUP($A133,content_factors_backup!$A$2:$Q$468,V$525,FALSE())</f>
        <v>24.7</v>
      </c>
      <c r="W133" s="0" t="n">
        <f aca="false">VLOOKUP($A133,content_factors_backup!$A$2:$Q$468,W$525,FALSE())</f>
        <v>0</v>
      </c>
    </row>
    <row r="134" customFormat="false" ht="14.25" hidden="false" customHeight="false" outlineLevel="0" collapsed="false">
      <c r="A134" s="0" t="n">
        <v>259</v>
      </c>
      <c r="B134" s="0" t="s">
        <v>339</v>
      </c>
      <c r="C134" s="0" t="s">
        <v>313</v>
      </c>
      <c r="E134" s="0" t="n">
        <v>230660</v>
      </c>
      <c r="F134" s="0" t="n">
        <v>230660</v>
      </c>
      <c r="G134" s="0" t="n">
        <v>21910.06</v>
      </c>
      <c r="I134" s="0" t="n">
        <f aca="false">VLOOKUP($A134,content_factors_backup!$A$2:$Q$468,I$525,FALSE())</f>
        <v>90</v>
      </c>
      <c r="J134" s="0" t="n">
        <f aca="false">VLOOKUP($A134,content_factors_backup!$A$2:$Q$468,J$525,FALSE())</f>
        <v>862</v>
      </c>
      <c r="K134" s="0" t="n">
        <f aca="false">VLOOKUP($A134,content_factors_backup!$A$2:$Q$468,K$525,FALSE())</f>
        <v>0</v>
      </c>
      <c r="L134" s="0" t="n">
        <f aca="false">VLOOKUP($A134,content_factors_backup!$A$2:$Q$468,L$525,FALSE())</f>
        <v>0</v>
      </c>
      <c r="M134" s="0" t="n">
        <f aca="false">VLOOKUP($A134,content_factors_backup!$A$2:$Q$468,M$525,FALSE())</f>
        <v>0</v>
      </c>
      <c r="N134" s="0" t="n">
        <f aca="false">VLOOKUP($A134,content_factors_backup!$A$2:$Q$468,N$525,FALSE())</f>
        <v>0</v>
      </c>
      <c r="O134" s="0" t="n">
        <f aca="false">VLOOKUP($A134,content_factors_backup!$A$2:$Q$468,O$525,FALSE())</f>
        <v>0</v>
      </c>
      <c r="P134" s="0" t="n">
        <f aca="false">VLOOKUP($A134,content_factors_backup!$A$2:$Q$468,P$525,FALSE())</f>
        <v>0</v>
      </c>
      <c r="Q134" s="0" t="n">
        <f aca="false">VLOOKUP($A134,content_factors_backup!$A$2:$Q$468,Q$525,FALSE())</f>
        <v>0</v>
      </c>
      <c r="R134" s="0" t="n">
        <f aca="false">VLOOKUP($A134,content_factors_backup!$A$2:$Q$468,R$525,FALSE())</f>
        <v>0.2</v>
      </c>
      <c r="S134" s="0" t="n">
        <f aca="false">VLOOKUP($A134,content_factors_backup!$A$2:$Q$468,S$525,FALSE())</f>
        <v>0</v>
      </c>
      <c r="T134" s="0" t="n">
        <f aca="false">VLOOKUP($A134,content_factors_backup!$A$2:$Q$468,T$525,FALSE())</f>
        <v>3.81</v>
      </c>
      <c r="U134" s="0" t="n">
        <f aca="false">VLOOKUP($A134,content_factors_backup!$A$2:$Q$468,U$525,FALSE())</f>
        <v>0</v>
      </c>
      <c r="V134" s="0" t="n">
        <f aca="false">VLOOKUP($A134,content_factors_backup!$A$2:$Q$468,V$525,FALSE())</f>
        <v>24.7</v>
      </c>
      <c r="W134" s="0" t="n">
        <f aca="false">VLOOKUP($A134,content_factors_backup!$A$2:$Q$468,W$525,FALSE())</f>
        <v>0</v>
      </c>
    </row>
    <row r="135" customFormat="false" ht="14.25" hidden="false" customHeight="false" outlineLevel="0" collapsed="false">
      <c r="A135" s="0" t="n">
        <v>260</v>
      </c>
      <c r="B135" s="0" t="s">
        <v>340</v>
      </c>
      <c r="C135" s="0" t="s">
        <v>341</v>
      </c>
      <c r="E135" s="0" t="n">
        <v>70990</v>
      </c>
      <c r="F135" s="0" t="n">
        <v>70992</v>
      </c>
      <c r="G135" s="0" t="n">
        <v>1450</v>
      </c>
      <c r="I135" s="0" t="n">
        <f aca="false">VLOOKUP($A135,content_factors_backup!$A$2:$Q$468,I$525,FALSE())</f>
        <v>40</v>
      </c>
      <c r="J135" s="0" t="n">
        <f aca="false">VLOOKUP($A135,content_factors_backup!$A$2:$Q$468,J$525,FALSE())</f>
        <v>98</v>
      </c>
      <c r="K135" s="0" t="n">
        <f aca="false">VLOOKUP($A135,content_factors_backup!$A$2:$Q$468,K$525,FALSE())</f>
        <v>0.905</v>
      </c>
      <c r="L135" s="0" t="n">
        <f aca="false">VLOOKUP($A135,content_factors_backup!$A$2:$Q$468,L$525,FALSE())</f>
        <v>2.85</v>
      </c>
      <c r="M135" s="0" t="n">
        <f aca="false">VLOOKUP($A135,content_factors_backup!$A$2:$Q$468,M$525,FALSE())</f>
        <v>0.22</v>
      </c>
      <c r="N135" s="0" t="n">
        <f aca="false">VLOOKUP($A135,content_factors_backup!$A$2:$Q$468,N$525,FALSE())</f>
        <v>2.85</v>
      </c>
      <c r="O135" s="0" t="n">
        <f aca="false">VLOOKUP($A135,content_factors_backup!$A$2:$Q$468,O$525,FALSE())</f>
        <v>87</v>
      </c>
      <c r="P135" s="0" t="n">
        <f aca="false">VLOOKUP($A135,content_factors_backup!$A$2:$Q$468,P$525,FALSE())</f>
        <v>0</v>
      </c>
      <c r="Q135" s="0" t="n">
        <f aca="false">VLOOKUP($A135,content_factors_backup!$A$2:$Q$468,Q$525,FALSE())</f>
        <v>0.005</v>
      </c>
      <c r="R135" s="0" t="n">
        <f aca="false">VLOOKUP($A135,content_factors_backup!$A$2:$Q$468,R$525,FALSE())</f>
        <v>8.45</v>
      </c>
      <c r="S135" s="0" t="n">
        <f aca="false">VLOOKUP($A135,content_factors_backup!$A$2:$Q$468,S$525,FALSE())</f>
        <v>8.5</v>
      </c>
      <c r="T135" s="0" t="n">
        <f aca="false">VLOOKUP($A135,content_factors_backup!$A$2:$Q$468,T$525,FALSE())</f>
        <v>3.37587649338238</v>
      </c>
      <c r="U135" s="0" t="n">
        <f aca="false">VLOOKUP($A135,content_factors_backup!$A$2:$Q$468,U$525,FALSE())</f>
        <v>0</v>
      </c>
      <c r="V135" s="0" t="n">
        <f aca="false">VLOOKUP($A135,content_factors_backup!$A$2:$Q$468,V$525,FALSE())</f>
        <v>1.4</v>
      </c>
      <c r="W135" s="0" t="n">
        <f aca="false">VLOOKUP($A135,content_factors_backup!$A$2:$Q$468,W$525,FALSE())</f>
        <v>20</v>
      </c>
    </row>
    <row r="136" customFormat="false" ht="14.25" hidden="false" customHeight="false" outlineLevel="0" collapsed="false">
      <c r="A136" s="0" t="n">
        <v>261</v>
      </c>
      <c r="B136" s="0" t="s">
        <v>342</v>
      </c>
      <c r="C136" s="0" t="s">
        <v>343</v>
      </c>
      <c r="E136" s="0" t="n">
        <v>150910</v>
      </c>
      <c r="F136" s="0" t="n">
        <v>150910</v>
      </c>
      <c r="G136" s="0" t="n">
        <v>2167</v>
      </c>
      <c r="I136" s="0" t="n">
        <f aca="false">VLOOKUP($A136,content_factors_backup!$A$2:$Q$468,I$525,FALSE())</f>
        <v>100</v>
      </c>
      <c r="J136" s="0" t="n">
        <f aca="false">VLOOKUP($A136,content_factors_backup!$A$2:$Q$468,J$525,FALSE())</f>
        <v>900</v>
      </c>
      <c r="K136" s="0" t="n">
        <f aca="false">VLOOKUP($A136,content_factors_backup!$A$2:$Q$468,K$525,FALSE())</f>
        <v>0</v>
      </c>
      <c r="L136" s="0" t="n">
        <f aca="false">VLOOKUP($A136,content_factors_backup!$A$2:$Q$468,L$525,FALSE())</f>
        <v>0</v>
      </c>
      <c r="M136" s="0" t="n">
        <f aca="false">VLOOKUP($A136,content_factors_backup!$A$2:$Q$468,M$525,FALSE())</f>
        <v>0</v>
      </c>
      <c r="N136" s="0" t="n">
        <f aca="false">VLOOKUP($A136,content_factors_backup!$A$2:$Q$468,N$525,FALSE())</f>
        <v>0.4</v>
      </c>
      <c r="O136" s="0" t="n">
        <f aca="false">VLOOKUP($A136,content_factors_backup!$A$2:$Q$468,O$525,FALSE())</f>
        <v>1</v>
      </c>
      <c r="P136" s="0" t="n">
        <f aca="false">VLOOKUP($A136,content_factors_backup!$A$2:$Q$468,P$525,FALSE())</f>
        <v>0</v>
      </c>
      <c r="Q136" s="0" t="n">
        <f aca="false">VLOOKUP($A136,content_factors_backup!$A$2:$Q$468,Q$525,FALSE())</f>
        <v>0</v>
      </c>
      <c r="R136" s="0" t="n">
        <f aca="false">VLOOKUP($A136,content_factors_backup!$A$2:$Q$468,R$525,FALSE())</f>
        <v>0.3</v>
      </c>
      <c r="S136" s="0" t="n">
        <f aca="false">VLOOKUP($A136,content_factors_backup!$A$2:$Q$468,S$525,FALSE())</f>
        <v>1</v>
      </c>
      <c r="T136" s="0" t="n">
        <f aca="false">VLOOKUP($A136,content_factors_backup!$A$2:$Q$468,T$525,FALSE())</f>
        <v>14.35</v>
      </c>
      <c r="U136" s="0" t="n">
        <f aca="false">VLOOKUP($A136,content_factors_backup!$A$2:$Q$468,U$525,FALSE())</f>
        <v>0</v>
      </c>
      <c r="V136" s="0" t="n">
        <f aca="false">VLOOKUP($A136,content_factors_backup!$A$2:$Q$468,V$525,FALSE())</f>
        <v>60.2000000000001</v>
      </c>
      <c r="W136" s="0" t="n">
        <f aca="false">VLOOKUP($A136,content_factors_backup!$A$2:$Q$468,W$525,FALSE())</f>
        <v>0</v>
      </c>
    </row>
    <row r="137" customFormat="false" ht="14.25" hidden="false" customHeight="false" outlineLevel="0" collapsed="false">
      <c r="A137" s="0" t="n">
        <v>262</v>
      </c>
      <c r="B137" s="0" t="s">
        <v>344</v>
      </c>
      <c r="C137" s="0" t="s">
        <v>345</v>
      </c>
      <c r="E137" s="0" t="s">
        <v>346</v>
      </c>
      <c r="F137" s="0" t="s">
        <v>346</v>
      </c>
      <c r="G137" s="0" t="s">
        <v>347</v>
      </c>
      <c r="I137" s="0" t="n">
        <f aca="false">VLOOKUP($A137,content_factors_backup!$A$2:$Q$468,I$525,FALSE())</f>
        <v>40</v>
      </c>
      <c r="J137" s="0" t="n">
        <f aca="false">VLOOKUP($A137,content_factors_backup!$A$2:$Q$468,J$525,FALSE())</f>
        <v>98</v>
      </c>
      <c r="K137" s="0" t="n">
        <f aca="false">VLOOKUP($A137,content_factors_backup!$A$2:$Q$468,K$525,FALSE())</f>
        <v>0.905</v>
      </c>
      <c r="L137" s="0" t="n">
        <f aca="false">VLOOKUP($A137,content_factors_backup!$A$2:$Q$468,L$525,FALSE())</f>
        <v>2.85</v>
      </c>
      <c r="M137" s="0" t="n">
        <f aca="false">VLOOKUP($A137,content_factors_backup!$A$2:$Q$468,M$525,FALSE())</f>
        <v>0.22</v>
      </c>
      <c r="N137" s="0" t="n">
        <f aca="false">VLOOKUP($A137,content_factors_backup!$A$2:$Q$468,N$525,FALSE())</f>
        <v>2.85</v>
      </c>
      <c r="O137" s="0" t="n">
        <f aca="false">VLOOKUP($A137,content_factors_backup!$A$2:$Q$468,O$525,FALSE())</f>
        <v>87</v>
      </c>
      <c r="P137" s="0" t="n">
        <f aca="false">VLOOKUP($A137,content_factors_backup!$A$2:$Q$468,P$525,FALSE())</f>
        <v>0</v>
      </c>
      <c r="Q137" s="0" t="n">
        <f aca="false">VLOOKUP($A137,content_factors_backup!$A$2:$Q$468,Q$525,FALSE())</f>
        <v>0.005</v>
      </c>
      <c r="R137" s="0" t="n">
        <f aca="false">VLOOKUP($A137,content_factors_backup!$A$2:$Q$468,R$525,FALSE())</f>
        <v>8.45</v>
      </c>
      <c r="S137" s="0" t="n">
        <f aca="false">VLOOKUP($A137,content_factors_backup!$A$2:$Q$468,S$525,FALSE())</f>
        <v>8.5</v>
      </c>
      <c r="T137" s="0" t="n">
        <f aca="false">VLOOKUP($A137,content_factors_backup!$A$2:$Q$468,T$525,FALSE())</f>
        <v>3.37587649338238</v>
      </c>
      <c r="U137" s="0" t="n">
        <f aca="false">VLOOKUP($A137,content_factors_backup!$A$2:$Q$468,U$525,FALSE())</f>
        <v>0</v>
      </c>
      <c r="V137" s="0" t="n">
        <f aca="false">VLOOKUP($A137,content_factors_backup!$A$2:$Q$468,V$525,FALSE())</f>
        <v>1.4</v>
      </c>
      <c r="W137" s="0" t="n">
        <f aca="false">VLOOKUP($A137,content_factors_backup!$A$2:$Q$468,W$525,FALSE())</f>
        <v>20</v>
      </c>
    </row>
    <row r="138" customFormat="false" ht="14.25" hidden="false" customHeight="false" outlineLevel="0" collapsed="false">
      <c r="A138" s="0" t="n">
        <v>263</v>
      </c>
      <c r="B138" s="0" t="s">
        <v>348</v>
      </c>
      <c r="C138" s="0" t="s">
        <v>349</v>
      </c>
      <c r="E138" s="0" t="n">
        <v>120799</v>
      </c>
      <c r="F138" s="0" t="n">
        <v>120799</v>
      </c>
      <c r="G138" s="0" t="n">
        <v>1499.01</v>
      </c>
      <c r="I138" s="0" t="n">
        <f aca="false">VLOOKUP($A138,content_factors_backup!$A$2:$Q$468,I$525,FALSE())</f>
        <v>95</v>
      </c>
      <c r="J138" s="0" t="n">
        <f aca="false">VLOOKUP($A138,content_factors_backup!$A$2:$Q$468,J$525,FALSE())</f>
        <v>884</v>
      </c>
      <c r="K138" s="0" t="n">
        <f aca="false">VLOOKUP($A138,content_factors_backup!$A$2:$Q$468,K$525,FALSE())</f>
        <v>0</v>
      </c>
      <c r="L138" s="0" t="n">
        <f aca="false">VLOOKUP($A138,content_factors_backup!$A$2:$Q$468,L$525,FALSE())</f>
        <v>0</v>
      </c>
      <c r="M138" s="0" t="n">
        <f aca="false">VLOOKUP($A138,content_factors_backup!$A$2:$Q$468,M$525,FALSE())</f>
        <v>0</v>
      </c>
      <c r="N138" s="0" t="n">
        <f aca="false">VLOOKUP($A138,content_factors_backup!$A$2:$Q$468,N$525,FALSE())</f>
        <v>0</v>
      </c>
      <c r="O138" s="0" t="n">
        <f aca="false">VLOOKUP($A138,content_factors_backup!$A$2:$Q$468,O$525,FALSE())</f>
        <v>0</v>
      </c>
      <c r="P138" s="0" t="n">
        <f aca="false">VLOOKUP($A138,content_factors_backup!$A$2:$Q$468,P$525,FALSE())</f>
        <v>0</v>
      </c>
      <c r="Q138" s="0" t="n">
        <f aca="false">VLOOKUP($A138,content_factors_backup!$A$2:$Q$468,Q$525,FALSE())</f>
        <v>0</v>
      </c>
      <c r="R138" s="0" t="n">
        <f aca="false">VLOOKUP($A138,content_factors_backup!$A$2:$Q$468,R$525,FALSE())</f>
        <v>0</v>
      </c>
      <c r="S138" s="0" t="n">
        <f aca="false">VLOOKUP($A138,content_factors_backup!$A$2:$Q$468,S$525,FALSE())</f>
        <v>0</v>
      </c>
      <c r="T138" s="0" t="n">
        <f aca="false">VLOOKUP($A138,content_factors_backup!$A$2:$Q$468,T$525,FALSE())</f>
        <v>0</v>
      </c>
      <c r="U138" s="0" t="n">
        <f aca="false">VLOOKUP($A138,content_factors_backup!$A$2:$Q$468,U$525,FALSE())</f>
        <v>0</v>
      </c>
      <c r="V138" s="0" t="n">
        <f aca="false">VLOOKUP($A138,content_factors_backup!$A$2:$Q$468,V$525,FALSE())</f>
        <v>0</v>
      </c>
      <c r="W138" s="0" t="n">
        <f aca="false">VLOOKUP($A138,content_factors_backup!$A$2:$Q$468,W$525,FALSE())</f>
        <v>0</v>
      </c>
    </row>
    <row r="139" customFormat="false" ht="14.25" hidden="false" customHeight="false" outlineLevel="0" collapsed="false">
      <c r="A139" s="0" t="n">
        <v>264</v>
      </c>
      <c r="B139" s="0" t="s">
        <v>350</v>
      </c>
      <c r="C139" s="0" t="s">
        <v>351</v>
      </c>
      <c r="E139" s="0" t="n">
        <v>151590</v>
      </c>
      <c r="F139" s="0" t="n">
        <v>151590</v>
      </c>
      <c r="G139" s="0" t="n">
        <v>21691.03</v>
      </c>
      <c r="I139" s="0" t="n">
        <f aca="false">VLOOKUP($A139,content_factors_backup!$A$2:$Q$468,I$525,FALSE())</f>
        <v>90</v>
      </c>
      <c r="J139" s="0" t="n">
        <f aca="false">VLOOKUP($A139,content_factors_backup!$A$2:$Q$468,J$525,FALSE())</f>
        <v>884</v>
      </c>
      <c r="K139" s="0" t="n">
        <f aca="false">VLOOKUP($A139,content_factors_backup!$A$2:$Q$468,K$525,FALSE())</f>
        <v>0</v>
      </c>
      <c r="L139" s="0" t="n">
        <f aca="false">VLOOKUP($A139,content_factors_backup!$A$2:$Q$468,L$525,FALSE())</f>
        <v>0</v>
      </c>
      <c r="M139" s="0" t="n">
        <f aca="false">VLOOKUP($A139,content_factors_backup!$A$2:$Q$468,M$525,FALSE())</f>
        <v>0</v>
      </c>
      <c r="N139" s="0" t="n">
        <f aca="false">VLOOKUP($A139,content_factors_backup!$A$2:$Q$468,N$525,FALSE())</f>
        <v>0</v>
      </c>
      <c r="O139" s="0" t="n">
        <f aca="false">VLOOKUP($A139,content_factors_backup!$A$2:$Q$468,O$525,FALSE())</f>
        <v>0</v>
      </c>
      <c r="P139" s="0" t="n">
        <f aca="false">VLOOKUP($A139,content_factors_backup!$A$2:$Q$468,P$525,FALSE())</f>
        <v>0</v>
      </c>
      <c r="Q139" s="0" t="n">
        <f aca="false">VLOOKUP($A139,content_factors_backup!$A$2:$Q$468,Q$525,FALSE())</f>
        <v>0</v>
      </c>
      <c r="R139" s="0" t="n">
        <f aca="false">VLOOKUP($A139,content_factors_backup!$A$2:$Q$468,R$525,FALSE())</f>
        <v>0</v>
      </c>
      <c r="S139" s="0" t="n">
        <f aca="false">VLOOKUP($A139,content_factors_backup!$A$2:$Q$468,S$525,FALSE())</f>
        <v>0</v>
      </c>
      <c r="T139" s="0" t="n">
        <f aca="false">VLOOKUP($A139,content_factors_backup!$A$2:$Q$468,T$525,FALSE())</f>
        <v>0</v>
      </c>
      <c r="U139" s="0" t="n">
        <f aca="false">VLOOKUP($A139,content_factors_backup!$A$2:$Q$468,U$525,FALSE())</f>
        <v>0</v>
      </c>
      <c r="V139" s="0" t="n">
        <f aca="false">VLOOKUP($A139,content_factors_backup!$A$2:$Q$468,V$525,FALSE())</f>
        <v>0</v>
      </c>
      <c r="W139" s="0" t="n">
        <f aca="false">VLOOKUP($A139,content_factors_backup!$A$2:$Q$468,W$525,FALSE())</f>
        <v>0</v>
      </c>
    </row>
    <row r="140" customFormat="false" ht="14.25" hidden="false" customHeight="false" outlineLevel="0" collapsed="false">
      <c r="A140" s="0" t="n">
        <v>265</v>
      </c>
      <c r="B140" s="0" t="s">
        <v>352</v>
      </c>
      <c r="C140" s="0" t="s">
        <v>353</v>
      </c>
      <c r="E140" s="0" t="n">
        <v>120799</v>
      </c>
      <c r="F140" s="0" t="n">
        <v>120730</v>
      </c>
      <c r="G140" s="0" t="n">
        <v>1447</v>
      </c>
      <c r="I140" s="0" t="n">
        <f aca="false">VLOOKUP($A140,content_factors_backup!$A$2:$Q$468,I$525,FALSE())</f>
        <v>20</v>
      </c>
      <c r="J140" s="0" t="n">
        <f aca="false">VLOOKUP($A140,content_factors_backup!$A$2:$Q$468,J$525,FALSE())</f>
        <v>884</v>
      </c>
      <c r="K140" s="0" t="n">
        <f aca="false">VLOOKUP($A140,content_factors_backup!$A$2:$Q$468,K$525,FALSE())</f>
        <v>0</v>
      </c>
      <c r="L140" s="0" t="n">
        <f aca="false">VLOOKUP($A140,content_factors_backup!$A$2:$Q$468,L$525,FALSE())</f>
        <v>0</v>
      </c>
      <c r="M140" s="0" t="n">
        <f aca="false">VLOOKUP($A140,content_factors_backup!$A$2:$Q$468,M$525,FALSE())</f>
        <v>0</v>
      </c>
      <c r="N140" s="0" t="n">
        <f aca="false">VLOOKUP($A140,content_factors_backup!$A$2:$Q$468,N$525,FALSE())</f>
        <v>0</v>
      </c>
      <c r="O140" s="0" t="n">
        <f aca="false">VLOOKUP($A140,content_factors_backup!$A$2:$Q$468,O$525,FALSE())</f>
        <v>0</v>
      </c>
      <c r="P140" s="0" t="n">
        <f aca="false">VLOOKUP($A140,content_factors_backup!$A$2:$Q$468,P$525,FALSE())</f>
        <v>0</v>
      </c>
      <c r="Q140" s="0" t="n">
        <f aca="false">VLOOKUP($A140,content_factors_backup!$A$2:$Q$468,Q$525,FALSE())</f>
        <v>0</v>
      </c>
      <c r="R140" s="0" t="n">
        <f aca="false">VLOOKUP($A140,content_factors_backup!$A$2:$Q$468,R$525,FALSE())</f>
        <v>0</v>
      </c>
      <c r="S140" s="0" t="n">
        <f aca="false">VLOOKUP($A140,content_factors_backup!$A$2:$Q$468,S$525,FALSE())</f>
        <v>0</v>
      </c>
      <c r="T140" s="0" t="n">
        <f aca="false">VLOOKUP($A140,content_factors_backup!$A$2:$Q$468,T$525,FALSE())</f>
        <v>0</v>
      </c>
      <c r="U140" s="0" t="n">
        <f aca="false">VLOOKUP($A140,content_factors_backup!$A$2:$Q$468,U$525,FALSE())</f>
        <v>0</v>
      </c>
      <c r="V140" s="0" t="n">
        <f aca="false">VLOOKUP($A140,content_factors_backup!$A$2:$Q$468,V$525,FALSE())</f>
        <v>0</v>
      </c>
      <c r="W140" s="0" t="n">
        <f aca="false">VLOOKUP($A140,content_factors_backup!$A$2:$Q$468,W$525,FALSE())</f>
        <v>0</v>
      </c>
    </row>
    <row r="141" customFormat="false" ht="14.25" hidden="false" customHeight="false" outlineLevel="0" collapsed="false">
      <c r="A141" s="0" t="n">
        <v>266</v>
      </c>
      <c r="B141" s="0" t="s">
        <v>354</v>
      </c>
      <c r="C141" s="0" t="s">
        <v>355</v>
      </c>
      <c r="E141" s="0" t="n">
        <v>151530</v>
      </c>
      <c r="F141" s="0" t="n">
        <v>151530</v>
      </c>
      <c r="G141" s="0" t="n">
        <v>21691.04</v>
      </c>
      <c r="I141" s="0" t="n">
        <f aca="false">VLOOKUP($A141,content_factors_backup!$A$2:$Q$468,I$525,FALSE())</f>
        <v>100</v>
      </c>
      <c r="J141" s="0" t="n">
        <f aca="false">VLOOKUP($A141,content_factors_backup!$A$2:$Q$468,J$525,FALSE())</f>
        <v>884</v>
      </c>
      <c r="K141" s="0" t="n">
        <f aca="false">VLOOKUP($A141,content_factors_backup!$A$2:$Q$468,K$525,FALSE())</f>
        <v>0</v>
      </c>
      <c r="L141" s="0" t="n">
        <f aca="false">VLOOKUP($A141,content_factors_backup!$A$2:$Q$468,L$525,FALSE())</f>
        <v>0</v>
      </c>
      <c r="M141" s="0" t="n">
        <f aca="false">VLOOKUP($A141,content_factors_backup!$A$2:$Q$468,M$525,FALSE())</f>
        <v>0</v>
      </c>
      <c r="N141" s="0" t="n">
        <f aca="false">VLOOKUP($A141,content_factors_backup!$A$2:$Q$468,N$525,FALSE())</f>
        <v>0</v>
      </c>
      <c r="O141" s="0" t="n">
        <f aca="false">VLOOKUP($A141,content_factors_backup!$A$2:$Q$468,O$525,FALSE())</f>
        <v>0</v>
      </c>
      <c r="P141" s="0" t="n">
        <f aca="false">VLOOKUP($A141,content_factors_backup!$A$2:$Q$468,P$525,FALSE())</f>
        <v>0</v>
      </c>
      <c r="Q141" s="0" t="n">
        <f aca="false">VLOOKUP($A141,content_factors_backup!$A$2:$Q$468,Q$525,FALSE())</f>
        <v>0</v>
      </c>
      <c r="R141" s="0" t="n">
        <f aca="false">VLOOKUP($A141,content_factors_backup!$A$2:$Q$468,R$525,FALSE())</f>
        <v>0</v>
      </c>
      <c r="S141" s="0" t="n">
        <f aca="false">VLOOKUP($A141,content_factors_backup!$A$2:$Q$468,S$525,FALSE())</f>
        <v>0</v>
      </c>
      <c r="T141" s="0" t="n">
        <f aca="false">VLOOKUP($A141,content_factors_backup!$A$2:$Q$468,T$525,FALSE())</f>
        <v>0</v>
      </c>
      <c r="U141" s="0" t="n">
        <f aca="false">VLOOKUP($A141,content_factors_backup!$A$2:$Q$468,U$525,FALSE())</f>
        <v>0</v>
      </c>
      <c r="V141" s="0" t="n">
        <f aca="false">VLOOKUP($A141,content_factors_backup!$A$2:$Q$468,V$525,FALSE())</f>
        <v>0</v>
      </c>
      <c r="W141" s="0" t="n">
        <f aca="false">VLOOKUP($A141,content_factors_backup!$A$2:$Q$468,W$525,FALSE())</f>
        <v>0</v>
      </c>
    </row>
    <row r="142" customFormat="false" ht="14.25" hidden="false" customHeight="false" outlineLevel="0" collapsed="false">
      <c r="A142" s="0" t="n">
        <v>267</v>
      </c>
      <c r="B142" s="0" t="s">
        <v>356</v>
      </c>
      <c r="C142" s="0" t="s">
        <v>357</v>
      </c>
      <c r="E142" s="0" t="n">
        <v>120600</v>
      </c>
      <c r="F142" s="0" t="n">
        <v>120600</v>
      </c>
      <c r="G142" s="0" t="n">
        <v>1445</v>
      </c>
      <c r="I142" s="0" t="n">
        <f aca="false">VLOOKUP($A142,content_factors_backup!$A$2:$Q$468,I$525,FALSE())</f>
        <v>93</v>
      </c>
      <c r="J142" s="0" t="n">
        <f aca="false">VLOOKUP($A142,content_factors_backup!$A$2:$Q$468,J$525,FALSE())</f>
        <v>584</v>
      </c>
      <c r="K142" s="0" t="n">
        <f aca="false">VLOOKUP($A142,content_factors_backup!$A$2:$Q$468,K$525,FALSE())</f>
        <v>19.55</v>
      </c>
      <c r="L142" s="0" t="n">
        <f aca="false">VLOOKUP($A142,content_factors_backup!$A$2:$Q$468,L$525,FALSE())</f>
        <v>8.6</v>
      </c>
      <c r="M142" s="0" t="n">
        <f aca="false">VLOOKUP($A142,content_factors_backup!$A$2:$Q$468,M$525,FALSE())</f>
        <v>2.75</v>
      </c>
      <c r="N142" s="0" t="n">
        <f aca="false">VLOOKUP($A142,content_factors_backup!$A$2:$Q$468,N$525,FALSE())</f>
        <v>5.125</v>
      </c>
      <c r="O142" s="0" t="n">
        <f aca="false">VLOOKUP($A142,content_factors_backup!$A$2:$Q$468,O$525,FALSE())</f>
        <v>110</v>
      </c>
      <c r="P142" s="0" t="n">
        <f aca="false">VLOOKUP($A142,content_factors_backup!$A$2:$Q$468,P$525,FALSE())</f>
        <v>227</v>
      </c>
      <c r="Q142" s="0" t="n">
        <f aca="false">VLOOKUP($A142,content_factors_backup!$A$2:$Q$468,Q$525,FALSE())</f>
        <v>0.195</v>
      </c>
      <c r="R142" s="0" t="n">
        <f aca="false">VLOOKUP($A142,content_factors_backup!$A$2:$Q$468,R$525,FALSE())</f>
        <v>55.1</v>
      </c>
      <c r="S142" s="0" t="n">
        <f aca="false">VLOOKUP($A142,content_factors_backup!$A$2:$Q$468,S$525,FALSE())</f>
        <v>782.5</v>
      </c>
      <c r="T142" s="0" t="n">
        <f aca="false">VLOOKUP($A142,content_factors_backup!$A$2:$Q$468,T$525,FALSE())</f>
        <v>35.17</v>
      </c>
      <c r="U142" s="0" t="n">
        <f aca="false">VLOOKUP($A142,content_factors_backup!$A$2:$Q$468,U$525,FALSE())</f>
        <v>0</v>
      </c>
      <c r="V142" s="0" t="n">
        <f aca="false">VLOOKUP($A142,content_factors_backup!$A$2:$Q$468,V$525,FALSE())</f>
        <v>0</v>
      </c>
      <c r="W142" s="0" t="n">
        <f aca="false">VLOOKUP($A142,content_factors_backup!$A$2:$Q$468,W$525,FALSE())</f>
        <v>4</v>
      </c>
    </row>
    <row r="143" customFormat="false" ht="14.25" hidden="false" customHeight="false" outlineLevel="0" collapsed="false">
      <c r="A143" s="0" t="n">
        <v>268</v>
      </c>
      <c r="B143" s="0" t="s">
        <v>358</v>
      </c>
      <c r="C143" s="0" t="s">
        <v>359</v>
      </c>
      <c r="E143" s="0" t="s">
        <v>360</v>
      </c>
      <c r="F143" s="0" t="s">
        <v>360</v>
      </c>
      <c r="G143" s="0" t="n">
        <v>21631.01</v>
      </c>
      <c r="I143" s="0" t="n">
        <f aca="false">VLOOKUP($A143,content_factors_backup!$A$2:$Q$468,I$525,FALSE())</f>
        <v>100</v>
      </c>
      <c r="J143" s="0" t="n">
        <f aca="false">VLOOKUP($A143,content_factors_backup!$A$2:$Q$468,J$525,FALSE())</f>
        <v>900</v>
      </c>
      <c r="K143" s="0" t="n">
        <f aca="false">VLOOKUP($A143,content_factors_backup!$A$2:$Q$468,K$525,FALSE())</f>
        <v>0</v>
      </c>
      <c r="L143" s="0" t="n">
        <f aca="false">VLOOKUP($A143,content_factors_backup!$A$2:$Q$468,L$525,FALSE())</f>
        <v>0</v>
      </c>
      <c r="M143" s="0" t="n">
        <f aca="false">VLOOKUP($A143,content_factors_backup!$A$2:$Q$468,M$525,FALSE())</f>
        <v>0</v>
      </c>
      <c r="N143" s="0" t="n">
        <f aca="false">VLOOKUP($A143,content_factors_backup!$A$2:$Q$468,N$525,FALSE())</f>
        <v>0.03</v>
      </c>
      <c r="O143" s="0" t="n">
        <f aca="false">VLOOKUP($A143,content_factors_backup!$A$2:$Q$468,O$525,FALSE())</f>
        <v>0</v>
      </c>
      <c r="P143" s="0" t="n">
        <f aca="false">VLOOKUP($A143,content_factors_backup!$A$2:$Q$468,P$525,FALSE())</f>
        <v>0</v>
      </c>
      <c r="Q143" s="0" t="n">
        <f aca="false">VLOOKUP($A143,content_factors_backup!$A$2:$Q$468,Q$525,FALSE())</f>
        <v>0</v>
      </c>
      <c r="R143" s="0" t="n">
        <f aca="false">VLOOKUP($A143,content_factors_backup!$A$2:$Q$468,R$525,FALSE())</f>
        <v>0</v>
      </c>
      <c r="S143" s="0" t="n">
        <f aca="false">VLOOKUP($A143,content_factors_backup!$A$2:$Q$468,S$525,FALSE())</f>
        <v>0</v>
      </c>
      <c r="T143" s="0" t="n">
        <f aca="false">VLOOKUP($A143,content_factors_backup!$A$2:$Q$468,T$525,FALSE())</f>
        <v>41.08</v>
      </c>
      <c r="U143" s="0" t="n">
        <f aca="false">VLOOKUP($A143,content_factors_backup!$A$2:$Q$468,U$525,FALSE())</f>
        <v>0</v>
      </c>
      <c r="V143" s="0" t="n">
        <f aca="false">VLOOKUP($A143,content_factors_backup!$A$2:$Q$468,V$525,FALSE())</f>
        <v>5.4</v>
      </c>
      <c r="W143" s="0" t="n">
        <f aca="false">VLOOKUP($A143,content_factors_backup!$A$2:$Q$468,W$525,FALSE())</f>
        <v>0</v>
      </c>
    </row>
    <row r="144" customFormat="false" ht="14.25" hidden="false" customHeight="false" outlineLevel="0" collapsed="false">
      <c r="A144" s="0" t="n">
        <v>269</v>
      </c>
      <c r="B144" s="0" t="s">
        <v>361</v>
      </c>
      <c r="C144" s="0" t="s">
        <v>362</v>
      </c>
      <c r="E144" s="0" t="n">
        <v>230630</v>
      </c>
      <c r="F144" s="0" t="n">
        <v>230630</v>
      </c>
      <c r="G144" s="0" t="n">
        <v>21910.07</v>
      </c>
      <c r="I144" s="0" t="n">
        <f aca="false">VLOOKUP($A144,content_factors_backup!$A$2:$Q$468,I$525,FALSE())</f>
        <v>90</v>
      </c>
      <c r="J144" s="0" t="n">
        <f aca="false">VLOOKUP($A144,content_factors_backup!$A$2:$Q$468,J$525,FALSE())</f>
        <v>884</v>
      </c>
      <c r="K144" s="0" t="n">
        <f aca="false">VLOOKUP($A144,content_factors_backup!$A$2:$Q$468,K$525,FALSE())</f>
        <v>0</v>
      </c>
      <c r="L144" s="0" t="n">
        <f aca="false">VLOOKUP($A144,content_factors_backup!$A$2:$Q$468,L$525,FALSE())</f>
        <v>0</v>
      </c>
      <c r="M144" s="0" t="n">
        <f aca="false">VLOOKUP($A144,content_factors_backup!$A$2:$Q$468,M$525,FALSE())</f>
        <v>0</v>
      </c>
      <c r="N144" s="0" t="n">
        <f aca="false">VLOOKUP($A144,content_factors_backup!$A$2:$Q$468,N$525,FALSE())</f>
        <v>0.03</v>
      </c>
      <c r="O144" s="0" t="n">
        <f aca="false">VLOOKUP($A144,content_factors_backup!$A$2:$Q$468,O$525,FALSE())</f>
        <v>0</v>
      </c>
      <c r="P144" s="0" t="n">
        <f aca="false">VLOOKUP($A144,content_factors_backup!$A$2:$Q$468,P$525,FALSE())</f>
        <v>0</v>
      </c>
      <c r="Q144" s="0" t="n">
        <f aca="false">VLOOKUP($A144,content_factors_backup!$A$2:$Q$468,Q$525,FALSE())</f>
        <v>0</v>
      </c>
      <c r="R144" s="0" t="n">
        <f aca="false">VLOOKUP($A144,content_factors_backup!$A$2:$Q$468,R$525,FALSE())</f>
        <v>0</v>
      </c>
      <c r="S144" s="0" t="n">
        <f aca="false">VLOOKUP($A144,content_factors_backup!$A$2:$Q$468,S$525,FALSE())</f>
        <v>0</v>
      </c>
      <c r="T144" s="0" t="n">
        <f aca="false">VLOOKUP($A144,content_factors_backup!$A$2:$Q$468,T$525,FALSE())</f>
        <v>41.08</v>
      </c>
      <c r="U144" s="0" t="n">
        <f aca="false">VLOOKUP($A144,content_factors_backup!$A$2:$Q$468,U$525,FALSE())</f>
        <v>0</v>
      </c>
      <c r="V144" s="0" t="n">
        <f aca="false">VLOOKUP($A144,content_factors_backup!$A$2:$Q$468,V$525,FALSE())</f>
        <v>5.4</v>
      </c>
      <c r="W144" s="0" t="n">
        <f aca="false">VLOOKUP($A144,content_factors_backup!$A$2:$Q$468,W$525,FALSE())</f>
        <v>0</v>
      </c>
    </row>
    <row r="145" customFormat="false" ht="14.25" hidden="false" customHeight="false" outlineLevel="0" collapsed="false">
      <c r="A145" s="0" t="n">
        <v>270</v>
      </c>
      <c r="B145" s="0" t="s">
        <v>363</v>
      </c>
      <c r="C145" s="0" t="s">
        <v>364</v>
      </c>
      <c r="E145" s="0" t="s">
        <v>365</v>
      </c>
      <c r="F145" s="0" t="s">
        <v>365</v>
      </c>
      <c r="G145" s="0" t="n">
        <v>1443</v>
      </c>
      <c r="I145" s="0" t="n">
        <f aca="false">VLOOKUP($A145,content_factors_backup!$A$2:$Q$468,I$525,FALSE())</f>
        <v>88</v>
      </c>
      <c r="J145" s="0" t="n">
        <f aca="false">VLOOKUP($A145,content_factors_backup!$A$2:$Q$468,J$525,FALSE())</f>
        <v>524.5</v>
      </c>
      <c r="K145" s="0" t="n">
        <f aca="false">VLOOKUP($A145,content_factors_backup!$A$2:$Q$468,K$525,FALSE())</f>
        <v>23.04</v>
      </c>
      <c r="L145" s="0" t="n">
        <f aca="false">VLOOKUP($A145,content_factors_backup!$A$2:$Q$468,L$525,FALSE())</f>
        <v>7.1</v>
      </c>
      <c r="M145" s="0" t="n">
        <f aca="false">VLOOKUP($A145,content_factors_backup!$A$2:$Q$468,M$525,FALSE())</f>
        <v>5.54</v>
      </c>
      <c r="N145" s="0" t="n">
        <f aca="false">VLOOKUP($A145,content_factors_backup!$A$2:$Q$468,N$525,FALSE())</f>
        <v>8.605</v>
      </c>
      <c r="O145" s="0" t="n">
        <f aca="false">VLOOKUP($A145,content_factors_backup!$A$2:$Q$468,O$525,FALSE())</f>
        <v>378</v>
      </c>
      <c r="P145" s="0" t="n">
        <f aca="false">VLOOKUP($A145,content_factors_backup!$A$2:$Q$468,P$525,FALSE())</f>
        <v>162</v>
      </c>
      <c r="Q145" s="0" t="n">
        <f aca="false">VLOOKUP($A145,content_factors_backup!$A$2:$Q$468,Q$525,FALSE())</f>
        <v>0.1305</v>
      </c>
      <c r="R145" s="0" t="n">
        <f aca="false">VLOOKUP($A145,content_factors_backup!$A$2:$Q$468,R$525,FALSE())</f>
        <v>166.85</v>
      </c>
      <c r="S145" s="0" t="n">
        <f aca="false">VLOOKUP($A145,content_factors_backup!$A$2:$Q$468,S$525,FALSE())</f>
        <v>738</v>
      </c>
      <c r="T145" s="0" t="n">
        <f aca="false">VLOOKUP($A145,content_factors_backup!$A$2:$Q$468,T$525,FALSE())</f>
        <v>0</v>
      </c>
      <c r="U145" s="0" t="n">
        <f aca="false">VLOOKUP($A145,content_factors_backup!$A$2:$Q$468,U$525,FALSE())</f>
        <v>0</v>
      </c>
      <c r="V145" s="0" t="n">
        <f aca="false">VLOOKUP($A145,content_factors_backup!$A$2:$Q$468,V$525,FALSE())</f>
        <v>0</v>
      </c>
      <c r="W145" s="0" t="n">
        <f aca="false">VLOOKUP($A145,content_factors_backup!$A$2:$Q$468,W$525,FALSE())</f>
        <v>2</v>
      </c>
    </row>
    <row r="146" customFormat="false" ht="14.25" hidden="false" customHeight="false" outlineLevel="0" collapsed="false">
      <c r="A146" s="0" t="n">
        <v>271</v>
      </c>
      <c r="B146" s="0" t="s">
        <v>366</v>
      </c>
      <c r="C146" s="0" t="s">
        <v>367</v>
      </c>
      <c r="E146" s="0" t="s">
        <v>368</v>
      </c>
      <c r="F146" s="0" t="s">
        <v>368</v>
      </c>
      <c r="G146" s="0" t="n">
        <v>21641.01</v>
      </c>
      <c r="I146" s="0" t="n">
        <f aca="false">VLOOKUP($A146,content_factors_backup!$A$2:$Q$468,I$525,FALSE())</f>
        <v>100</v>
      </c>
      <c r="J146" s="0" t="n">
        <f aca="false">VLOOKUP($A146,content_factors_backup!$A$2:$Q$468,J$525,FALSE())</f>
        <v>900</v>
      </c>
      <c r="K146" s="0" t="n">
        <f aca="false">VLOOKUP($A146,content_factors_backup!$A$2:$Q$468,K$525,FALSE())</f>
        <v>0</v>
      </c>
      <c r="L146" s="0" t="n">
        <f aca="false">VLOOKUP($A146,content_factors_backup!$A$2:$Q$468,L$525,FALSE())</f>
        <v>0</v>
      </c>
      <c r="M146" s="0" t="n">
        <f aca="false">VLOOKUP($A146,content_factors_backup!$A$2:$Q$468,M$525,FALSE())</f>
        <v>0</v>
      </c>
      <c r="N146" s="0" t="n">
        <f aca="false">VLOOKUP($A146,content_factors_backup!$A$2:$Q$468,N$525,FALSE())</f>
        <v>0</v>
      </c>
      <c r="O146" s="0" t="n">
        <f aca="false">VLOOKUP($A146,content_factors_backup!$A$2:$Q$468,O$525,FALSE())</f>
        <v>0</v>
      </c>
      <c r="P146" s="0" t="n">
        <f aca="false">VLOOKUP($A146,content_factors_backup!$A$2:$Q$468,P$525,FALSE())</f>
        <v>0</v>
      </c>
      <c r="Q146" s="0" t="n">
        <f aca="false">VLOOKUP($A146,content_factors_backup!$A$2:$Q$468,Q$525,FALSE())</f>
        <v>0</v>
      </c>
      <c r="R146" s="0" t="n">
        <f aca="false">VLOOKUP($A146,content_factors_backup!$A$2:$Q$468,R$525,FALSE())</f>
        <v>0.2</v>
      </c>
      <c r="S146" s="0" t="n">
        <f aca="false">VLOOKUP($A146,content_factors_backup!$A$2:$Q$468,S$525,FALSE())</f>
        <v>0</v>
      </c>
      <c r="T146" s="0" t="n">
        <f aca="false">VLOOKUP($A146,content_factors_backup!$A$2:$Q$468,T$525,FALSE())</f>
        <v>0</v>
      </c>
      <c r="U146" s="0" t="n">
        <f aca="false">VLOOKUP($A146,content_factors_backup!$A$2:$Q$468,U$525,FALSE())</f>
        <v>0</v>
      </c>
      <c r="V146" s="0" t="n">
        <f aca="false">VLOOKUP($A146,content_factors_backup!$A$2:$Q$468,V$525,FALSE())</f>
        <v>0</v>
      </c>
      <c r="W146" s="0" t="n">
        <f aca="false">VLOOKUP($A146,content_factors_backup!$A$2:$Q$468,W$525,FALSE())</f>
        <v>0</v>
      </c>
    </row>
    <row r="147" customFormat="false" ht="14.25" hidden="false" customHeight="false" outlineLevel="0" collapsed="false">
      <c r="A147" s="0" t="n">
        <v>272</v>
      </c>
      <c r="B147" s="0" t="s">
        <v>369</v>
      </c>
      <c r="C147" s="0" t="s">
        <v>313</v>
      </c>
      <c r="E147" s="0" t="s">
        <v>370</v>
      </c>
      <c r="F147" s="0" t="s">
        <v>370</v>
      </c>
      <c r="G147" s="0" t="n">
        <v>21910.08</v>
      </c>
      <c r="I147" s="0" t="n">
        <f aca="false">VLOOKUP($A147,content_factors_backup!$A$2:$Q$468,I$525,FALSE())</f>
        <v>90</v>
      </c>
      <c r="J147" s="0" t="n">
        <f aca="false">VLOOKUP($A147,content_factors_backup!$A$2:$Q$468,J$525,FALSE())</f>
        <v>884</v>
      </c>
      <c r="K147" s="0" t="n">
        <f aca="false">VLOOKUP($A147,content_factors_backup!$A$2:$Q$468,K$525,FALSE())</f>
        <v>0</v>
      </c>
      <c r="L147" s="0" t="n">
        <f aca="false">VLOOKUP($A147,content_factors_backup!$A$2:$Q$468,L$525,FALSE())</f>
        <v>0</v>
      </c>
      <c r="M147" s="0" t="n">
        <f aca="false">VLOOKUP($A147,content_factors_backup!$A$2:$Q$468,M$525,FALSE())</f>
        <v>0</v>
      </c>
      <c r="N147" s="0" t="n">
        <f aca="false">VLOOKUP($A147,content_factors_backup!$A$2:$Q$468,N$525,FALSE())</f>
        <v>0</v>
      </c>
      <c r="O147" s="0" t="n">
        <f aca="false">VLOOKUP($A147,content_factors_backup!$A$2:$Q$468,O$525,FALSE())</f>
        <v>0</v>
      </c>
      <c r="P147" s="0" t="n">
        <f aca="false">VLOOKUP($A147,content_factors_backup!$A$2:$Q$468,P$525,FALSE())</f>
        <v>0</v>
      </c>
      <c r="Q147" s="0" t="n">
        <f aca="false">VLOOKUP($A147,content_factors_backup!$A$2:$Q$468,Q$525,FALSE())</f>
        <v>0</v>
      </c>
      <c r="R147" s="0" t="n">
        <f aca="false">VLOOKUP($A147,content_factors_backup!$A$2:$Q$468,R$525,FALSE())</f>
        <v>0</v>
      </c>
      <c r="S147" s="0" t="n">
        <f aca="false">VLOOKUP($A147,content_factors_backup!$A$2:$Q$468,S$525,FALSE())</f>
        <v>0</v>
      </c>
      <c r="T147" s="0" t="n">
        <f aca="false">VLOOKUP($A147,content_factors_backup!$A$2:$Q$468,T$525,FALSE())</f>
        <v>0</v>
      </c>
      <c r="U147" s="0" t="n">
        <f aca="false">VLOOKUP($A147,content_factors_backup!$A$2:$Q$468,U$525,FALSE())</f>
        <v>0</v>
      </c>
      <c r="V147" s="0" t="n">
        <f aca="false">VLOOKUP($A147,content_factors_backup!$A$2:$Q$468,V$525,FALSE())</f>
        <v>0</v>
      </c>
      <c r="W147" s="0" t="n">
        <f aca="false">VLOOKUP($A147,content_factors_backup!$A$2:$Q$468,W$525,FALSE())</f>
        <v>0</v>
      </c>
    </row>
    <row r="148" customFormat="false" ht="14.25" hidden="false" customHeight="false" outlineLevel="0" collapsed="false">
      <c r="A148" s="0" t="n">
        <v>274</v>
      </c>
      <c r="B148" s="0" t="s">
        <v>371</v>
      </c>
      <c r="C148" s="0" t="s">
        <v>372</v>
      </c>
      <c r="E148" s="0" t="n">
        <v>151000</v>
      </c>
      <c r="F148" s="0" t="n">
        <v>151000</v>
      </c>
      <c r="G148" s="0" t="n">
        <v>21673</v>
      </c>
      <c r="I148" s="0" t="n">
        <f aca="false">VLOOKUP($A148,content_factors_backup!$A$2:$Q$468,I$525,FALSE())</f>
        <v>100</v>
      </c>
      <c r="J148" s="0" t="n">
        <f aca="false">VLOOKUP($A148,content_factors_backup!$A$2:$Q$468,J$525,FALSE())</f>
        <v>884</v>
      </c>
      <c r="K148" s="0" t="n">
        <f aca="false">VLOOKUP($A148,content_factors_backup!$A$2:$Q$468,K$525,FALSE())</f>
        <v>0</v>
      </c>
      <c r="L148" s="0" t="n">
        <f aca="false">VLOOKUP($A148,content_factors_backup!$A$2:$Q$468,L$525,FALSE())</f>
        <v>0</v>
      </c>
      <c r="M148" s="0" t="n">
        <f aca="false">VLOOKUP($A148,content_factors_backup!$A$2:$Q$468,M$525,FALSE())</f>
        <v>0</v>
      </c>
      <c r="N148" s="0" t="n">
        <f aca="false">VLOOKUP($A148,content_factors_backup!$A$2:$Q$468,N$525,FALSE())</f>
        <v>0.56</v>
      </c>
      <c r="O148" s="0" t="n">
        <f aca="false">VLOOKUP($A148,content_factors_backup!$A$2:$Q$468,O$525,FALSE())</f>
        <v>1</v>
      </c>
      <c r="P148" s="0" t="n">
        <f aca="false">VLOOKUP($A148,content_factors_backup!$A$2:$Q$468,P$525,FALSE())</f>
        <v>0</v>
      </c>
      <c r="Q148" s="0" t="n">
        <f aca="false">VLOOKUP($A148,content_factors_backup!$A$2:$Q$468,Q$525,FALSE())</f>
        <v>0</v>
      </c>
      <c r="R148" s="0" t="n">
        <f aca="false">VLOOKUP($A148,content_factors_backup!$A$2:$Q$468,R$525,FALSE())</f>
        <v>0.3</v>
      </c>
      <c r="S148" s="0" t="n">
        <f aca="false">VLOOKUP($A148,content_factors_backup!$A$2:$Q$468,S$525,FALSE())</f>
        <v>1</v>
      </c>
      <c r="T148" s="0" t="n">
        <f aca="false">VLOOKUP($A148,content_factors_backup!$A$2:$Q$468,T$525,FALSE())</f>
        <v>14.35</v>
      </c>
      <c r="U148" s="0" t="n">
        <f aca="false">VLOOKUP($A148,content_factors_backup!$A$2:$Q$468,U$525,FALSE())</f>
        <v>0</v>
      </c>
      <c r="V148" s="0" t="n">
        <f aca="false">VLOOKUP($A148,content_factors_backup!$A$2:$Q$468,V$525,FALSE())</f>
        <v>60.2</v>
      </c>
      <c r="W148" s="0" t="n">
        <f aca="false">VLOOKUP($A148,content_factors_backup!$A$2:$Q$468,W$525,FALSE())</f>
        <v>0</v>
      </c>
    </row>
    <row r="149" customFormat="false" ht="14.25" hidden="false" customHeight="false" outlineLevel="0" collapsed="false">
      <c r="A149" s="0" t="n">
        <v>275</v>
      </c>
      <c r="B149" s="0" t="s">
        <v>373</v>
      </c>
      <c r="C149" s="0" t="s">
        <v>374</v>
      </c>
      <c r="E149" s="0" t="n">
        <v>120799</v>
      </c>
      <c r="F149" s="0" t="n">
        <v>120799</v>
      </c>
      <c r="G149" s="0" t="n">
        <v>1499.02</v>
      </c>
      <c r="I149" s="0" t="n">
        <f aca="false">VLOOKUP($A149,content_factors_backup!$A$2:$Q$468,I$525,FALSE())</f>
        <v>50</v>
      </c>
      <c r="J149" s="0" t="e">
        <f aca="false">VLOOKUP($A149,content_factors_backup!$A$2:$Q$468,J$525,FALSE())</f>
        <v>#N/A</v>
      </c>
      <c r="K149" s="0" t="e">
        <f aca="false">VLOOKUP($A149,content_factors_backup!$A$2:$Q$468,K$525,FALSE())</f>
        <v>#N/A</v>
      </c>
      <c r="L149" s="0" t="e">
        <f aca="false">VLOOKUP($A149,content_factors_backup!$A$2:$Q$468,L$525,FALSE())</f>
        <v>#N/A</v>
      </c>
      <c r="M149" s="0" t="e">
        <f aca="false">VLOOKUP($A149,content_factors_backup!$A$2:$Q$468,M$525,FALSE())</f>
        <v>#N/A</v>
      </c>
      <c r="N149" s="0" t="e">
        <f aca="false">VLOOKUP($A149,content_factors_backup!$A$2:$Q$468,N$525,FALSE())</f>
        <v>#N/A</v>
      </c>
      <c r="O149" s="0" t="e">
        <f aca="false">VLOOKUP($A149,content_factors_backup!$A$2:$Q$468,O$525,FALSE())</f>
        <v>#N/A</v>
      </c>
      <c r="P149" s="0" t="e">
        <f aca="false">VLOOKUP($A149,content_factors_backup!$A$2:$Q$468,P$525,FALSE())</f>
        <v>#N/A</v>
      </c>
      <c r="Q149" s="0" t="e">
        <f aca="false">VLOOKUP($A149,content_factors_backup!$A$2:$Q$468,Q$525,FALSE())</f>
        <v>#N/A</v>
      </c>
      <c r="R149" s="0" t="e">
        <f aca="false">VLOOKUP($A149,content_factors_backup!$A$2:$Q$468,R$525,FALSE())</f>
        <v>#N/A</v>
      </c>
      <c r="S149" s="0" t="e">
        <f aca="false">VLOOKUP($A149,content_factors_backup!$A$2:$Q$468,S$525,FALSE())</f>
        <v>#N/A</v>
      </c>
      <c r="T149" s="0" t="e">
        <f aca="false">VLOOKUP($A149,content_factors_backup!$A$2:$Q$468,T$525,FALSE())</f>
        <v>#N/A</v>
      </c>
      <c r="U149" s="0" t="e">
        <f aca="false">VLOOKUP($A149,content_factors_backup!$A$2:$Q$468,U$525,FALSE())</f>
        <v>#N/A</v>
      </c>
      <c r="V149" s="0" t="e">
        <f aca="false">VLOOKUP($A149,content_factors_backup!$A$2:$Q$468,V$525,FALSE())</f>
        <v>#N/A</v>
      </c>
      <c r="W149" s="0" t="e">
        <f aca="false">VLOOKUP($A149,content_factors_backup!$A$2:$Q$468,W$525,FALSE())</f>
        <v>#N/A</v>
      </c>
    </row>
    <row r="150" customFormat="false" ht="14.25" hidden="false" customHeight="false" outlineLevel="0" collapsed="false">
      <c r="A150" s="0" t="n">
        <v>277</v>
      </c>
      <c r="B150" s="0" t="s">
        <v>375</v>
      </c>
      <c r="C150" s="0" t="s">
        <v>376</v>
      </c>
      <c r="E150" s="0" t="n">
        <v>120799</v>
      </c>
      <c r="F150" s="0" t="n">
        <v>120799</v>
      </c>
      <c r="G150" s="0" t="n">
        <v>1499.03</v>
      </c>
      <c r="I150" s="0" t="n">
        <f aca="false">VLOOKUP($A150,content_factors_backup!$A$2:$Q$468,I$525,FALSE())</f>
        <v>50</v>
      </c>
      <c r="J150" s="0" t="e">
        <f aca="false">VLOOKUP($A150,content_factors_backup!$A$2:$Q$468,J$525,FALSE())</f>
        <v>#N/A</v>
      </c>
      <c r="K150" s="0" t="e">
        <f aca="false">VLOOKUP($A150,content_factors_backup!$A$2:$Q$468,K$525,FALSE())</f>
        <v>#N/A</v>
      </c>
      <c r="L150" s="0" t="e">
        <f aca="false">VLOOKUP($A150,content_factors_backup!$A$2:$Q$468,L$525,FALSE())</f>
        <v>#N/A</v>
      </c>
      <c r="M150" s="0" t="e">
        <f aca="false">VLOOKUP($A150,content_factors_backup!$A$2:$Q$468,M$525,FALSE())</f>
        <v>#N/A</v>
      </c>
      <c r="N150" s="0" t="e">
        <f aca="false">VLOOKUP($A150,content_factors_backup!$A$2:$Q$468,N$525,FALSE())</f>
        <v>#N/A</v>
      </c>
      <c r="O150" s="0" t="e">
        <f aca="false">VLOOKUP($A150,content_factors_backup!$A$2:$Q$468,O$525,FALSE())</f>
        <v>#N/A</v>
      </c>
      <c r="P150" s="0" t="e">
        <f aca="false">VLOOKUP($A150,content_factors_backup!$A$2:$Q$468,P$525,FALSE())</f>
        <v>#N/A</v>
      </c>
      <c r="Q150" s="0" t="e">
        <f aca="false">VLOOKUP($A150,content_factors_backup!$A$2:$Q$468,Q$525,FALSE())</f>
        <v>#N/A</v>
      </c>
      <c r="R150" s="0" t="e">
        <f aca="false">VLOOKUP($A150,content_factors_backup!$A$2:$Q$468,R$525,FALSE())</f>
        <v>#N/A</v>
      </c>
      <c r="S150" s="0" t="e">
        <f aca="false">VLOOKUP($A150,content_factors_backup!$A$2:$Q$468,S$525,FALSE())</f>
        <v>#N/A</v>
      </c>
      <c r="T150" s="0" t="e">
        <f aca="false">VLOOKUP($A150,content_factors_backup!$A$2:$Q$468,T$525,FALSE())</f>
        <v>#N/A</v>
      </c>
      <c r="U150" s="0" t="e">
        <f aca="false">VLOOKUP($A150,content_factors_backup!$A$2:$Q$468,U$525,FALSE())</f>
        <v>#N/A</v>
      </c>
      <c r="V150" s="0" t="e">
        <f aca="false">VLOOKUP($A150,content_factors_backup!$A$2:$Q$468,V$525,FALSE())</f>
        <v>#N/A</v>
      </c>
      <c r="W150" s="0" t="e">
        <f aca="false">VLOOKUP($A150,content_factors_backup!$A$2:$Q$468,W$525,FALSE())</f>
        <v>#N/A</v>
      </c>
    </row>
    <row r="151" customFormat="false" ht="14.25" hidden="false" customHeight="false" outlineLevel="0" collapsed="false">
      <c r="A151" s="0" t="n">
        <v>280</v>
      </c>
      <c r="B151" s="0" t="s">
        <v>377</v>
      </c>
      <c r="C151" s="0" t="s">
        <v>378</v>
      </c>
      <c r="E151" s="0" t="n">
        <v>120799</v>
      </c>
      <c r="F151" s="0" t="n">
        <v>120760</v>
      </c>
      <c r="G151" s="0" t="n">
        <v>1446</v>
      </c>
      <c r="I151" s="0" t="n">
        <f aca="false">VLOOKUP($A151,content_factors_backup!$A$2:$Q$468,I$525,FALSE())</f>
        <v>95</v>
      </c>
      <c r="J151" s="0" t="n">
        <f aca="false">VLOOKUP($A151,content_factors_backup!$A$2:$Q$468,J$525,FALSE())</f>
        <v>517</v>
      </c>
      <c r="K151" s="0" t="n">
        <f aca="false">VLOOKUP($A151,content_factors_backup!$A$2:$Q$468,K$525,FALSE())</f>
        <v>16.18</v>
      </c>
      <c r="L151" s="0" t="n">
        <f aca="false">VLOOKUP($A151,content_factors_backup!$A$2:$Q$468,L$525,FALSE())</f>
        <v>0</v>
      </c>
      <c r="M151" s="0" t="n">
        <f aca="false">VLOOKUP($A151,content_factors_backup!$A$2:$Q$468,M$525,FALSE())</f>
        <v>5.05</v>
      </c>
      <c r="N151" s="0" t="n">
        <f aca="false">VLOOKUP($A151,content_factors_backup!$A$2:$Q$468,N$525,FALSE())</f>
        <v>4.9</v>
      </c>
      <c r="O151" s="0" t="n">
        <f aca="false">VLOOKUP($A151,content_factors_backup!$A$2:$Q$468,O$525,FALSE())</f>
        <v>78</v>
      </c>
      <c r="P151" s="0" t="n">
        <f aca="false">VLOOKUP($A151,content_factors_backup!$A$2:$Q$468,P$525,FALSE())</f>
        <v>160</v>
      </c>
      <c r="Q151" s="0" t="n">
        <f aca="false">VLOOKUP($A151,content_factors_backup!$A$2:$Q$468,Q$525,FALSE())</f>
        <v>0.415</v>
      </c>
      <c r="R151" s="0" t="n">
        <f aca="false">VLOOKUP($A151,content_factors_backup!$A$2:$Q$468,R$525,FALSE())</f>
        <v>0</v>
      </c>
      <c r="S151" s="0" t="n">
        <f aca="false">VLOOKUP($A151,content_factors_backup!$A$2:$Q$468,S$525,FALSE())</f>
        <v>687</v>
      </c>
      <c r="T151" s="0" t="n">
        <f aca="false">VLOOKUP($A151,content_factors_backup!$A$2:$Q$468,T$525,FALSE())</f>
        <v>0</v>
      </c>
      <c r="U151" s="0" t="n">
        <f aca="false">VLOOKUP($A151,content_factors_backup!$A$2:$Q$468,U$525,FALSE())</f>
        <v>0</v>
      </c>
      <c r="V151" s="0" t="n">
        <f aca="false">VLOOKUP($A151,content_factors_backup!$A$2:$Q$468,V$525,FALSE())</f>
        <v>0</v>
      </c>
      <c r="W151" s="0" t="n">
        <f aca="false">VLOOKUP($A151,content_factors_backup!$A$2:$Q$468,W$525,FALSE())</f>
        <v>3</v>
      </c>
    </row>
    <row r="152" customFormat="false" ht="14.25" hidden="false" customHeight="false" outlineLevel="0" collapsed="false">
      <c r="A152" s="0" t="n">
        <v>281</v>
      </c>
      <c r="B152" s="0" t="s">
        <v>379</v>
      </c>
      <c r="C152" s="0" t="s">
        <v>380</v>
      </c>
      <c r="E152" s="0" t="s">
        <v>360</v>
      </c>
      <c r="F152" s="0" t="s">
        <v>360</v>
      </c>
      <c r="G152" s="0" t="n">
        <v>21631.02</v>
      </c>
      <c r="I152" s="0" t="n">
        <f aca="false">VLOOKUP($A152,content_factors_backup!$A$2:$Q$468,I$525,FALSE())</f>
        <v>100</v>
      </c>
      <c r="J152" s="0" t="n">
        <f aca="false">VLOOKUP($A152,content_factors_backup!$A$2:$Q$468,J$525,FALSE())</f>
        <v>884</v>
      </c>
      <c r="K152" s="0" t="n">
        <f aca="false">VLOOKUP($A152,content_factors_backup!$A$2:$Q$468,K$525,FALSE())</f>
        <v>0</v>
      </c>
      <c r="L152" s="0" t="n">
        <f aca="false">VLOOKUP($A152,content_factors_backup!$A$2:$Q$468,L$525,FALSE())</f>
        <v>0</v>
      </c>
      <c r="M152" s="0" t="n">
        <f aca="false">VLOOKUP($A152,content_factors_backup!$A$2:$Q$468,M$525,FALSE())</f>
        <v>0</v>
      </c>
      <c r="N152" s="0" t="n">
        <f aca="false">VLOOKUP($A152,content_factors_backup!$A$2:$Q$468,N$525,FALSE())</f>
        <v>0</v>
      </c>
      <c r="O152" s="0" t="n">
        <f aca="false">VLOOKUP($A152,content_factors_backup!$A$2:$Q$468,O$525,FALSE())</f>
        <v>0</v>
      </c>
      <c r="P152" s="0" t="n">
        <f aca="false">VLOOKUP($A152,content_factors_backup!$A$2:$Q$468,P$525,FALSE())</f>
        <v>0</v>
      </c>
      <c r="Q152" s="0" t="n">
        <f aca="false">VLOOKUP($A152,content_factors_backup!$A$2:$Q$468,Q$525,FALSE())</f>
        <v>0</v>
      </c>
      <c r="R152" s="0" t="n">
        <f aca="false">VLOOKUP($A152,content_factors_backup!$A$2:$Q$468,R$525,FALSE())</f>
        <v>0.2</v>
      </c>
      <c r="S152" s="0" t="n">
        <f aca="false">VLOOKUP($A152,content_factors_backup!$A$2:$Q$468,S$525,FALSE())</f>
        <v>0</v>
      </c>
      <c r="T152" s="0" t="n">
        <f aca="false">VLOOKUP($A152,content_factors_backup!$A$2:$Q$468,T$525,FALSE())</f>
        <v>34.1</v>
      </c>
      <c r="U152" s="0" t="n">
        <f aca="false">VLOOKUP($A152,content_factors_backup!$A$2:$Q$468,U$525,FALSE())</f>
        <v>0</v>
      </c>
      <c r="V152" s="0" t="n">
        <f aca="false">VLOOKUP($A152,content_factors_backup!$A$2:$Q$468,V$525,FALSE())</f>
        <v>7.1</v>
      </c>
      <c r="W152" s="0" t="n">
        <f aca="false">VLOOKUP($A152,content_factors_backup!$A$2:$Q$468,W$525,FALSE())</f>
        <v>0</v>
      </c>
    </row>
    <row r="153" customFormat="false" ht="14.25" hidden="false" customHeight="false" outlineLevel="0" collapsed="false">
      <c r="A153" s="0" t="n">
        <v>282</v>
      </c>
      <c r="B153" s="0" t="s">
        <v>381</v>
      </c>
      <c r="C153" s="0" t="s">
        <v>313</v>
      </c>
      <c r="E153" s="0" t="n">
        <v>230690</v>
      </c>
      <c r="F153" s="0" t="n">
        <v>230690</v>
      </c>
      <c r="G153" s="0" t="n">
        <v>21910.1</v>
      </c>
      <c r="I153" s="0" t="n">
        <f aca="false">VLOOKUP($A153,content_factors_backup!$A$2:$Q$468,I$525,FALSE())</f>
        <v>90</v>
      </c>
      <c r="J153" s="0" t="n">
        <f aca="false">VLOOKUP($A153,content_factors_backup!$A$2:$Q$468,J$525,FALSE())</f>
        <v>342</v>
      </c>
      <c r="K153" s="0" t="n">
        <f aca="false">VLOOKUP($A153,content_factors_backup!$A$2:$Q$468,K$525,FALSE())</f>
        <v>35.62</v>
      </c>
      <c r="L153" s="0" t="n">
        <f aca="false">VLOOKUP($A153,content_factors_backup!$A$2:$Q$468,L$525,FALSE())</f>
        <v>0</v>
      </c>
      <c r="M153" s="0" t="n">
        <f aca="false">VLOOKUP($A153,content_factors_backup!$A$2:$Q$468,M$525,FALSE())</f>
        <v>5.01</v>
      </c>
      <c r="N153" s="0" t="n">
        <f aca="false">VLOOKUP($A153,content_factors_backup!$A$2:$Q$468,N$525,FALSE())</f>
        <v>4.86</v>
      </c>
      <c r="O153" s="0" t="n">
        <f aca="false">VLOOKUP($A153,content_factors_backup!$A$2:$Q$468,O$525,FALSE())</f>
        <v>77</v>
      </c>
      <c r="P153" s="0" t="n">
        <f aca="false">VLOOKUP($A153,content_factors_backup!$A$2:$Q$468,P$525,FALSE())</f>
        <v>159</v>
      </c>
      <c r="Q153" s="0" t="n">
        <f aca="false">VLOOKUP($A153,content_factors_backup!$A$2:$Q$468,Q$525,FALSE())</f>
        <v>0.412</v>
      </c>
      <c r="R153" s="0" t="n">
        <f aca="false">VLOOKUP($A153,content_factors_backup!$A$2:$Q$468,R$525,FALSE())</f>
        <v>0</v>
      </c>
      <c r="S153" s="0" t="n">
        <f aca="false">VLOOKUP($A153,content_factors_backup!$A$2:$Q$468,S$525,FALSE())</f>
        <v>68</v>
      </c>
      <c r="T153" s="0" t="n">
        <f aca="false">VLOOKUP($A153,content_factors_backup!$A$2:$Q$468,T$525,FALSE())</f>
        <v>0</v>
      </c>
      <c r="U153" s="0" t="n">
        <f aca="false">VLOOKUP($A153,content_factors_backup!$A$2:$Q$468,U$525,FALSE())</f>
        <v>0</v>
      </c>
      <c r="V153" s="0" t="n">
        <f aca="false">VLOOKUP($A153,content_factors_backup!$A$2:$Q$468,V$525,FALSE())</f>
        <v>0</v>
      </c>
      <c r="W153" s="0" t="n">
        <f aca="false">VLOOKUP($A153,content_factors_backup!$A$2:$Q$468,W$525,FALSE())</f>
        <v>2</v>
      </c>
    </row>
    <row r="154" customFormat="false" ht="14.25" hidden="false" customHeight="false" outlineLevel="0" collapsed="false">
      <c r="A154" s="0" t="n">
        <v>289</v>
      </c>
      <c r="B154" s="0" t="s">
        <v>382</v>
      </c>
      <c r="C154" s="0" t="s">
        <v>383</v>
      </c>
      <c r="E154" s="0" t="n">
        <v>120740</v>
      </c>
      <c r="F154" s="0" t="n">
        <v>120740</v>
      </c>
      <c r="G154" s="0" t="n">
        <v>1444</v>
      </c>
      <c r="I154" s="0" t="n">
        <f aca="false">VLOOKUP($A154,content_factors_backup!$A$2:$Q$468,I$525,FALSE())</f>
        <v>94</v>
      </c>
      <c r="J154" s="0" t="n">
        <f aca="false">VLOOKUP($A154,content_factors_backup!$A$2:$Q$468,J$525,FALSE())</f>
        <v>561</v>
      </c>
      <c r="K154" s="0" t="n">
        <f aca="false">VLOOKUP($A154,content_factors_backup!$A$2:$Q$468,K$525,FALSE())</f>
        <v>19.1</v>
      </c>
      <c r="L154" s="0" t="n">
        <f aca="false">VLOOKUP($A154,content_factors_backup!$A$2:$Q$468,L$525,FALSE())</f>
        <v>11.7</v>
      </c>
      <c r="M154" s="0" t="n">
        <f aca="false">VLOOKUP($A154,content_factors_backup!$A$2:$Q$468,M$525,FALSE())</f>
        <v>6.43</v>
      </c>
      <c r="N154" s="0" t="n">
        <f aca="false">VLOOKUP($A154,content_factors_backup!$A$2:$Q$468,N$525,FALSE())</f>
        <v>9.5</v>
      </c>
      <c r="O154" s="0" t="n">
        <f aca="false">VLOOKUP($A154,content_factors_backup!$A$2:$Q$468,O$525,FALSE())</f>
        <v>816</v>
      </c>
      <c r="P154" s="0" t="n">
        <f aca="false">VLOOKUP($A154,content_factors_backup!$A$2:$Q$468,P$525,FALSE())</f>
        <v>115</v>
      </c>
      <c r="Q154" s="0" t="n">
        <f aca="false">VLOOKUP($A154,content_factors_backup!$A$2:$Q$468,Q$525,FALSE())</f>
        <v>0.25</v>
      </c>
      <c r="R154" s="0" t="n">
        <f aca="false">VLOOKUP($A154,content_factors_backup!$A$2:$Q$468,R$525,FALSE())</f>
        <v>25.6</v>
      </c>
      <c r="S154" s="0" t="n">
        <f aca="false">VLOOKUP($A154,content_factors_backup!$A$2:$Q$468,S$525,FALSE())</f>
        <v>457</v>
      </c>
      <c r="T154" s="0" t="n">
        <f aca="false">VLOOKUP($A154,content_factors_backup!$A$2:$Q$468,T$525,FALSE())</f>
        <v>0.25</v>
      </c>
      <c r="U154" s="0" t="n">
        <f aca="false">VLOOKUP($A154,content_factors_backup!$A$2:$Q$468,U$525,FALSE())</f>
        <v>0</v>
      </c>
      <c r="V154" s="0" t="n">
        <f aca="false">VLOOKUP($A154,content_factors_backup!$A$2:$Q$468,V$525,FALSE())</f>
        <v>0</v>
      </c>
      <c r="W154" s="0" t="n">
        <f aca="false">VLOOKUP($A154,content_factors_backup!$A$2:$Q$468,W$525,FALSE())</f>
        <v>2.5</v>
      </c>
    </row>
    <row r="155" customFormat="false" ht="14.25" hidden="false" customHeight="false" outlineLevel="0" collapsed="false">
      <c r="A155" s="0" t="n">
        <v>290</v>
      </c>
      <c r="B155" s="0" t="s">
        <v>384</v>
      </c>
      <c r="C155" s="0" t="s">
        <v>385</v>
      </c>
      <c r="E155" s="0" t="n">
        <v>151550</v>
      </c>
      <c r="F155" s="0" t="n">
        <v>151550</v>
      </c>
      <c r="G155" s="0" t="n">
        <v>21691.07</v>
      </c>
      <c r="I155" s="0" t="n">
        <f aca="false">VLOOKUP($A155,content_factors_backup!$A$2:$Q$468,I$525,FALSE())</f>
        <v>100</v>
      </c>
      <c r="J155" s="0" t="n">
        <f aca="false">VLOOKUP($A155,content_factors_backup!$A$2:$Q$468,J$525,FALSE())</f>
        <v>898</v>
      </c>
      <c r="K155" s="0" t="n">
        <f aca="false">VLOOKUP($A155,content_factors_backup!$A$2:$Q$468,K$525,FALSE())</f>
        <v>0</v>
      </c>
      <c r="L155" s="0" t="n">
        <f aca="false">VLOOKUP($A155,content_factors_backup!$A$2:$Q$468,L$525,FALSE())</f>
        <v>0</v>
      </c>
      <c r="M155" s="0" t="n">
        <f aca="false">VLOOKUP($A155,content_factors_backup!$A$2:$Q$468,M$525,FALSE())</f>
        <v>0.085</v>
      </c>
      <c r="N155" s="0" t="n">
        <f aca="false">VLOOKUP($A155,content_factors_backup!$A$2:$Q$468,N$525,FALSE())</f>
        <v>1.1</v>
      </c>
      <c r="O155" s="0" t="n">
        <f aca="false">VLOOKUP($A155,content_factors_backup!$A$2:$Q$468,O$525,FALSE())</f>
        <v>4.5</v>
      </c>
      <c r="P155" s="0" t="n">
        <f aca="false">VLOOKUP($A155,content_factors_backup!$A$2:$Q$468,P$525,FALSE())</f>
        <v>0</v>
      </c>
      <c r="Q155" s="0" t="n">
        <f aca="false">VLOOKUP($A155,content_factors_backup!$A$2:$Q$468,Q$525,FALSE())</f>
        <v>0</v>
      </c>
      <c r="R155" s="0" t="n">
        <f aca="false">VLOOKUP($A155,content_factors_backup!$A$2:$Q$468,R$525,FALSE())</f>
        <v>0.2</v>
      </c>
      <c r="S155" s="0" t="n">
        <f aca="false">VLOOKUP($A155,content_factors_backup!$A$2:$Q$468,S$525,FALSE())</f>
        <v>0</v>
      </c>
      <c r="T155" s="0" t="n">
        <f aca="false">VLOOKUP($A155,content_factors_backup!$A$2:$Q$468,T$525,FALSE())</f>
        <v>1.4</v>
      </c>
      <c r="U155" s="0" t="n">
        <f aca="false">VLOOKUP($A155,content_factors_backup!$A$2:$Q$468,U$525,FALSE())</f>
        <v>0</v>
      </c>
      <c r="V155" s="0" t="n">
        <f aca="false">VLOOKUP($A155,content_factors_backup!$A$2:$Q$468,V$525,FALSE())</f>
        <v>13.6</v>
      </c>
      <c r="W155" s="0" t="n">
        <f aca="false">VLOOKUP($A155,content_factors_backup!$A$2:$Q$468,W$525,FALSE())</f>
        <v>0</v>
      </c>
    </row>
    <row r="156" customFormat="false" ht="14.25" hidden="false" customHeight="false" outlineLevel="0" collapsed="false">
      <c r="A156" s="0" t="n">
        <v>291</v>
      </c>
      <c r="B156" s="0" t="s">
        <v>386</v>
      </c>
      <c r="C156" s="0" t="s">
        <v>313</v>
      </c>
      <c r="E156" s="0" t="n">
        <v>230690</v>
      </c>
      <c r="F156" s="0" t="n">
        <v>230690</v>
      </c>
      <c r="G156" s="0" t="n">
        <v>21910.11</v>
      </c>
      <c r="I156" s="0" t="n">
        <f aca="false">VLOOKUP($A156,content_factors_backup!$A$2:$Q$468,I$525,FALSE())</f>
        <v>90</v>
      </c>
      <c r="J156" s="0" t="n">
        <f aca="false">VLOOKUP($A156,content_factors_backup!$A$2:$Q$468,J$525,FALSE())</f>
        <v>567</v>
      </c>
      <c r="K156" s="0" t="n">
        <f aca="false">VLOOKUP($A156,content_factors_backup!$A$2:$Q$468,K$525,FALSE())</f>
        <v>16.96</v>
      </c>
      <c r="L156" s="0" t="n">
        <f aca="false">VLOOKUP($A156,content_factors_backup!$A$2:$Q$468,L$525,FALSE())</f>
        <v>0</v>
      </c>
      <c r="M156" s="0" t="n">
        <f aca="false">VLOOKUP($A156,content_factors_backup!$A$2:$Q$468,M$525,FALSE())</f>
        <v>10.23</v>
      </c>
      <c r="N156" s="0" t="n">
        <f aca="false">VLOOKUP($A156,content_factors_backup!$A$2:$Q$468,N$525,FALSE())</f>
        <v>14.55</v>
      </c>
      <c r="O156" s="0" t="n">
        <f aca="false">VLOOKUP($A156,content_factors_backup!$A$2:$Q$468,O$525,FALSE())</f>
        <v>153</v>
      </c>
      <c r="P156" s="0" t="n">
        <f aca="false">VLOOKUP($A156,content_factors_backup!$A$2:$Q$468,P$525,FALSE())</f>
        <v>30</v>
      </c>
      <c r="Q156" s="0" t="n">
        <f aca="false">VLOOKUP($A156,content_factors_backup!$A$2:$Q$468,Q$525,FALSE())</f>
        <v>0.275</v>
      </c>
      <c r="R156" s="0" t="n">
        <f aca="false">VLOOKUP($A156,content_factors_backup!$A$2:$Q$468,R$525,FALSE())</f>
        <v>0</v>
      </c>
      <c r="S156" s="0" t="n">
        <f aca="false">VLOOKUP($A156,content_factors_backup!$A$2:$Q$468,S$525,FALSE())</f>
        <v>406</v>
      </c>
      <c r="T156" s="0" t="n">
        <f aca="false">VLOOKUP($A156,content_factors_backup!$A$2:$Q$468,T$525,FALSE())</f>
        <v>0</v>
      </c>
      <c r="U156" s="0" t="n">
        <f aca="false">VLOOKUP($A156,content_factors_backup!$A$2:$Q$468,U$525,FALSE())</f>
        <v>0</v>
      </c>
      <c r="V156" s="0" t="n">
        <f aca="false">VLOOKUP($A156,content_factors_backup!$A$2:$Q$468,V$525,FALSE())</f>
        <v>0</v>
      </c>
      <c r="W156" s="0" t="n">
        <f aca="false">VLOOKUP($A156,content_factors_backup!$A$2:$Q$468,W$525,FALSE())</f>
        <v>3</v>
      </c>
    </row>
    <row r="157" customFormat="false" ht="14.25" hidden="false" customHeight="false" outlineLevel="0" collapsed="false">
      <c r="A157" s="0" t="n">
        <v>292</v>
      </c>
      <c r="B157" s="0" t="s">
        <v>387</v>
      </c>
      <c r="C157" s="0" t="s">
        <v>388</v>
      </c>
      <c r="E157" s="0" t="n">
        <v>120750</v>
      </c>
      <c r="F157" s="0" t="n">
        <v>120750</v>
      </c>
      <c r="G157" s="0" t="n">
        <v>1442</v>
      </c>
      <c r="I157" s="0" t="n">
        <f aca="false">VLOOKUP($A157,content_factors_backup!$A$2:$Q$468,I$525,FALSE())</f>
        <v>90</v>
      </c>
      <c r="J157" s="0" t="n">
        <f aca="false">VLOOKUP($A157,content_factors_backup!$A$2:$Q$468,J$525,FALSE())</f>
        <v>524.5</v>
      </c>
      <c r="K157" s="0" t="n">
        <f aca="false">VLOOKUP($A157,content_factors_backup!$A$2:$Q$468,K$525,FALSE())</f>
        <v>23.04</v>
      </c>
      <c r="L157" s="0" t="n">
        <f aca="false">VLOOKUP($A157,content_factors_backup!$A$2:$Q$468,L$525,FALSE())</f>
        <v>7.1</v>
      </c>
      <c r="M157" s="0" t="n">
        <f aca="false">VLOOKUP($A157,content_factors_backup!$A$2:$Q$468,M$525,FALSE())</f>
        <v>5.54</v>
      </c>
      <c r="N157" s="0" t="n">
        <f aca="false">VLOOKUP($A157,content_factors_backup!$A$2:$Q$468,N$525,FALSE())</f>
        <v>8.605</v>
      </c>
      <c r="O157" s="0" t="n">
        <f aca="false">VLOOKUP($A157,content_factors_backup!$A$2:$Q$468,O$525,FALSE())</f>
        <v>378</v>
      </c>
      <c r="P157" s="0" t="n">
        <f aca="false">VLOOKUP($A157,content_factors_backup!$A$2:$Q$468,P$525,FALSE())</f>
        <v>162</v>
      </c>
      <c r="Q157" s="0" t="n">
        <f aca="false">VLOOKUP($A157,content_factors_backup!$A$2:$Q$468,Q$525,FALSE())</f>
        <v>0.1305</v>
      </c>
      <c r="R157" s="0" t="n">
        <f aca="false">VLOOKUP($A157,content_factors_backup!$A$2:$Q$468,R$525,FALSE())</f>
        <v>166.85</v>
      </c>
      <c r="S157" s="0" t="n">
        <f aca="false">VLOOKUP($A157,content_factors_backup!$A$2:$Q$468,S$525,FALSE())</f>
        <v>738</v>
      </c>
      <c r="T157" s="0" t="n">
        <f aca="false">VLOOKUP($A157,content_factors_backup!$A$2:$Q$468,T$525,FALSE())</f>
        <v>0</v>
      </c>
      <c r="U157" s="0" t="n">
        <f aca="false">VLOOKUP($A157,content_factors_backup!$A$2:$Q$468,U$525,FALSE())</f>
        <v>0</v>
      </c>
      <c r="V157" s="0" t="n">
        <f aca="false">VLOOKUP($A157,content_factors_backup!$A$2:$Q$468,V$525,FALSE())</f>
        <v>0</v>
      </c>
      <c r="W157" s="0" t="n">
        <f aca="false">VLOOKUP($A157,content_factors_backup!$A$2:$Q$468,W$525,FALSE())</f>
        <v>2</v>
      </c>
    </row>
    <row r="158" customFormat="false" ht="14.25" hidden="false" customHeight="false" outlineLevel="0" collapsed="false">
      <c r="A158" s="0" t="n">
        <v>294</v>
      </c>
      <c r="B158" s="0" t="s">
        <v>389</v>
      </c>
      <c r="C158" s="0" t="s">
        <v>313</v>
      </c>
      <c r="E158" s="0" t="n">
        <v>230690</v>
      </c>
      <c r="F158" s="0" t="n">
        <v>230690</v>
      </c>
      <c r="G158" s="0" t="n">
        <v>21910.12</v>
      </c>
      <c r="I158" s="0" t="n">
        <f aca="false">VLOOKUP($A158,content_factors_backup!$A$2:$Q$468,I$525,FALSE())</f>
        <v>90</v>
      </c>
      <c r="J158" s="0" t="n">
        <f aca="false">VLOOKUP($A158,content_factors_backup!$A$2:$Q$468,J$525,FALSE())</f>
        <v>367</v>
      </c>
      <c r="K158" s="0" t="n">
        <f aca="false">VLOOKUP($A158,content_factors_backup!$A$2:$Q$468,K$525,FALSE())</f>
        <v>49.1</v>
      </c>
      <c r="L158" s="0" t="n">
        <f aca="false">VLOOKUP($A158,content_factors_backup!$A$2:$Q$468,L$525,FALSE())</f>
        <v>0</v>
      </c>
      <c r="M158" s="0" t="n">
        <f aca="false">VLOOKUP($A158,content_factors_backup!$A$2:$Q$468,M$525,FALSE())</f>
        <v>12.32</v>
      </c>
      <c r="N158" s="0" t="n">
        <f aca="false">VLOOKUP($A158,content_factors_backup!$A$2:$Q$468,N$525,FALSE())</f>
        <v>13.35</v>
      </c>
      <c r="O158" s="0" t="n">
        <f aca="false">VLOOKUP($A158,content_factors_backup!$A$2:$Q$468,O$525,FALSE())</f>
        <v>504</v>
      </c>
      <c r="P158" s="0" t="n">
        <f aca="false">VLOOKUP($A158,content_factors_backup!$A$2:$Q$468,P$525,FALSE())</f>
        <v>242</v>
      </c>
      <c r="Q158" s="0" t="n">
        <f aca="false">VLOOKUP($A158,content_factors_backup!$A$2:$Q$468,Q$525,FALSE())</f>
        <v>0.42</v>
      </c>
      <c r="R158" s="0" t="n">
        <f aca="false">VLOOKUP($A158,content_factors_backup!$A$2:$Q$468,R$525,FALSE())</f>
        <v>0</v>
      </c>
      <c r="S158" s="0" t="n">
        <f aca="false">VLOOKUP($A158,content_factors_backup!$A$2:$Q$468,S$525,FALSE())</f>
        <v>1869</v>
      </c>
      <c r="T158" s="0" t="n">
        <f aca="false">VLOOKUP($A158,content_factors_backup!$A$2:$Q$468,T$525,FALSE())</f>
        <v>0</v>
      </c>
      <c r="U158" s="0" t="n">
        <f aca="false">VLOOKUP($A158,content_factors_backup!$A$2:$Q$468,U$525,FALSE())</f>
        <v>0</v>
      </c>
      <c r="V158" s="0" t="n">
        <f aca="false">VLOOKUP($A158,content_factors_backup!$A$2:$Q$468,V$525,FALSE())</f>
        <v>0</v>
      </c>
      <c r="W158" s="0" t="n">
        <f aca="false">VLOOKUP($A158,content_factors_backup!$A$2:$Q$468,W$525,FALSE())</f>
        <v>23</v>
      </c>
    </row>
    <row r="159" customFormat="false" ht="14.25" hidden="false" customHeight="false" outlineLevel="0" collapsed="false">
      <c r="A159" s="0" t="n">
        <v>295</v>
      </c>
      <c r="B159" s="0" t="s">
        <v>390</v>
      </c>
      <c r="C159" s="0" t="s">
        <v>391</v>
      </c>
      <c r="E159" s="0" t="n">
        <v>210330</v>
      </c>
      <c r="F159" s="0" t="n">
        <v>210330</v>
      </c>
      <c r="G159" s="0" t="n">
        <v>23995.03</v>
      </c>
      <c r="I159" s="0" t="n">
        <f aca="false">VLOOKUP($A159,content_factors_backup!$A$2:$Q$468,I$525,FALSE())</f>
        <v>90</v>
      </c>
      <c r="J159" s="0" t="n">
        <f aca="false">VLOOKUP($A159,content_factors_backup!$A$2:$Q$468,J$525,FALSE())</f>
        <v>884</v>
      </c>
      <c r="K159" s="0" t="n">
        <f aca="false">VLOOKUP($A159,content_factors_backup!$A$2:$Q$468,K$525,FALSE())</f>
        <v>0</v>
      </c>
      <c r="L159" s="0" t="n">
        <f aca="false">VLOOKUP($A159,content_factors_backup!$A$2:$Q$468,L$525,FALSE())</f>
        <v>0</v>
      </c>
      <c r="M159" s="0" t="n">
        <f aca="false">VLOOKUP($A159,content_factors_backup!$A$2:$Q$468,M$525,FALSE())</f>
        <v>0</v>
      </c>
      <c r="N159" s="0" t="n">
        <f aca="false">VLOOKUP($A159,content_factors_backup!$A$2:$Q$468,N$525,FALSE())</f>
        <v>0</v>
      </c>
      <c r="O159" s="0" t="n">
        <f aca="false">VLOOKUP($A159,content_factors_backup!$A$2:$Q$468,O$525,FALSE())</f>
        <v>0</v>
      </c>
      <c r="P159" s="0" t="n">
        <f aca="false">VLOOKUP($A159,content_factors_backup!$A$2:$Q$468,P$525,FALSE())</f>
        <v>0</v>
      </c>
      <c r="Q159" s="0" t="n">
        <f aca="false">VLOOKUP($A159,content_factors_backup!$A$2:$Q$468,Q$525,FALSE())</f>
        <v>0</v>
      </c>
      <c r="R159" s="0" t="n">
        <f aca="false">VLOOKUP($A159,content_factors_backup!$A$2:$Q$468,R$525,FALSE())</f>
        <v>0</v>
      </c>
      <c r="S159" s="0" t="n">
        <f aca="false">VLOOKUP($A159,content_factors_backup!$A$2:$Q$468,S$525,FALSE())</f>
        <v>0</v>
      </c>
      <c r="T159" s="0" t="n">
        <f aca="false">VLOOKUP($A159,content_factors_backup!$A$2:$Q$468,T$525,FALSE())</f>
        <v>0</v>
      </c>
      <c r="U159" s="0" t="n">
        <f aca="false">VLOOKUP($A159,content_factors_backup!$A$2:$Q$468,U$525,FALSE())</f>
        <v>0</v>
      </c>
      <c r="V159" s="0" t="n">
        <f aca="false">VLOOKUP($A159,content_factors_backup!$A$2:$Q$468,V$525,FALSE())</f>
        <v>0</v>
      </c>
      <c r="W159" s="0" t="n">
        <f aca="false">VLOOKUP($A159,content_factors_backup!$A$2:$Q$468,W$525,FALSE())</f>
        <v>0</v>
      </c>
    </row>
    <row r="160" customFormat="false" ht="14.25" hidden="false" customHeight="false" outlineLevel="0" collapsed="false">
      <c r="A160" s="0" t="n">
        <v>296</v>
      </c>
      <c r="B160" s="0" t="s">
        <v>392</v>
      </c>
      <c r="C160" s="0" t="s">
        <v>393</v>
      </c>
      <c r="E160" s="0" t="n">
        <v>120791</v>
      </c>
      <c r="F160" s="0" t="n">
        <v>120791</v>
      </c>
      <c r="G160" s="0" t="n">
        <v>1448</v>
      </c>
      <c r="I160" s="0" t="n">
        <f aca="false">VLOOKUP($A160,content_factors_backup!$A$2:$Q$468,I$525,FALSE())</f>
        <v>95</v>
      </c>
      <c r="J160" s="0" t="n">
        <f aca="false">VLOOKUP($A160,content_factors_backup!$A$2:$Q$468,J$525,FALSE())</f>
        <v>525</v>
      </c>
      <c r="K160" s="0" t="n">
        <f aca="false">VLOOKUP($A160,content_factors_backup!$A$2:$Q$468,K$525,FALSE())</f>
        <v>17.99</v>
      </c>
      <c r="L160" s="0" t="n">
        <f aca="false">VLOOKUP($A160,content_factors_backup!$A$2:$Q$468,L$525,FALSE())</f>
        <v>19.5</v>
      </c>
      <c r="M160" s="0" t="n">
        <f aca="false">VLOOKUP($A160,content_factors_backup!$A$2:$Q$468,M$525,FALSE())</f>
        <v>7.9</v>
      </c>
      <c r="N160" s="0" t="n">
        <f aca="false">VLOOKUP($A160,content_factors_backup!$A$2:$Q$468,N$525,FALSE())</f>
        <v>9.76</v>
      </c>
      <c r="O160" s="0" t="n">
        <f aca="false">VLOOKUP($A160,content_factors_backup!$A$2:$Q$468,O$525,FALSE())</f>
        <v>1438</v>
      </c>
      <c r="P160" s="0" t="n">
        <f aca="false">VLOOKUP($A160,content_factors_backup!$A$2:$Q$468,P$525,FALSE())</f>
        <v>82</v>
      </c>
      <c r="Q160" s="0" t="n">
        <f aca="false">VLOOKUP($A160,content_factors_backup!$A$2:$Q$468,Q$525,FALSE())</f>
        <v>0.1</v>
      </c>
      <c r="R160" s="0" t="n">
        <f aca="false">VLOOKUP($A160,content_factors_backup!$A$2:$Q$468,R$525,FALSE())</f>
        <v>8.8</v>
      </c>
      <c r="S160" s="0" t="n">
        <f aca="false">VLOOKUP($A160,content_factors_backup!$A$2:$Q$468,S$525,FALSE())</f>
        <v>719</v>
      </c>
      <c r="T160" s="0" t="n">
        <f aca="false">VLOOKUP($A160,content_factors_backup!$A$2:$Q$468,T$525,FALSE())</f>
        <v>1.77</v>
      </c>
      <c r="U160" s="0" t="n">
        <f aca="false">VLOOKUP($A160,content_factors_backup!$A$2:$Q$468,U$525,FALSE())</f>
        <v>0</v>
      </c>
      <c r="V160" s="0" t="n">
        <f aca="false">VLOOKUP($A160,content_factors_backup!$A$2:$Q$468,V$525,FALSE())</f>
        <v>0</v>
      </c>
      <c r="W160" s="0" t="n">
        <f aca="false">VLOOKUP($A160,content_factors_backup!$A$2:$Q$468,W$525,FALSE())</f>
        <v>0</v>
      </c>
    </row>
    <row r="161" customFormat="false" ht="14.25" hidden="false" customHeight="false" outlineLevel="0" collapsed="false">
      <c r="A161" s="0" t="n">
        <v>297</v>
      </c>
      <c r="B161" s="0" t="s">
        <v>394</v>
      </c>
      <c r="C161" s="0" t="s">
        <v>395</v>
      </c>
      <c r="E161" s="0" t="n">
        <v>151590</v>
      </c>
      <c r="F161" s="0" t="n">
        <v>151590</v>
      </c>
      <c r="G161" s="0" t="n">
        <v>21691.08</v>
      </c>
      <c r="I161" s="0" t="n">
        <f aca="false">VLOOKUP($A161,content_factors_backup!$A$2:$Q$468,I$525,FALSE())</f>
        <v>100</v>
      </c>
      <c r="J161" s="0" t="n">
        <f aca="false">VLOOKUP($A161,content_factors_backup!$A$2:$Q$468,J$525,FALSE())</f>
        <v>884</v>
      </c>
      <c r="K161" s="0" t="n">
        <f aca="false">VLOOKUP($A161,content_factors_backup!$A$2:$Q$468,K$525,FALSE())</f>
        <v>0</v>
      </c>
      <c r="L161" s="0" t="n">
        <f aca="false">VLOOKUP($A161,content_factors_backup!$A$2:$Q$468,L$525,FALSE())</f>
        <v>0</v>
      </c>
      <c r="M161" s="0" t="n">
        <f aca="false">VLOOKUP($A161,content_factors_backup!$A$2:$Q$468,M$525,FALSE())</f>
        <v>0</v>
      </c>
      <c r="N161" s="0" t="n">
        <f aca="false">VLOOKUP($A161,content_factors_backup!$A$2:$Q$468,N$525,FALSE())</f>
        <v>0</v>
      </c>
      <c r="O161" s="0" t="n">
        <f aca="false">VLOOKUP($A161,content_factors_backup!$A$2:$Q$468,O$525,FALSE())</f>
        <v>0</v>
      </c>
      <c r="P161" s="0" t="n">
        <f aca="false">VLOOKUP($A161,content_factors_backup!$A$2:$Q$468,P$525,FALSE())</f>
        <v>0</v>
      </c>
      <c r="Q161" s="0" t="n">
        <f aca="false">VLOOKUP($A161,content_factors_backup!$A$2:$Q$468,Q$525,FALSE())</f>
        <v>0</v>
      </c>
      <c r="R161" s="0" t="n">
        <f aca="false">VLOOKUP($A161,content_factors_backup!$A$2:$Q$468,R$525,FALSE())</f>
        <v>0</v>
      </c>
      <c r="S161" s="0" t="n">
        <f aca="false">VLOOKUP($A161,content_factors_backup!$A$2:$Q$468,S$525,FALSE())</f>
        <v>0</v>
      </c>
      <c r="T161" s="0" t="n">
        <f aca="false">VLOOKUP($A161,content_factors_backup!$A$2:$Q$468,T$525,FALSE())</f>
        <v>11.4</v>
      </c>
      <c r="U161" s="0" t="n">
        <f aca="false">VLOOKUP($A161,content_factors_backup!$A$2:$Q$468,U$525,FALSE())</f>
        <v>0</v>
      </c>
      <c r="V161" s="0" t="n">
        <f aca="false">VLOOKUP($A161,content_factors_backup!$A$2:$Q$468,V$525,FALSE())</f>
        <v>0</v>
      </c>
      <c r="W161" s="0" t="n">
        <f aca="false">VLOOKUP($A161,content_factors_backup!$A$2:$Q$468,W$525,FALSE())</f>
        <v>0</v>
      </c>
    </row>
    <row r="162" customFormat="false" ht="14.25" hidden="false" customHeight="false" outlineLevel="0" collapsed="false">
      <c r="A162" s="0" t="n">
        <v>299</v>
      </c>
      <c r="B162" s="0" t="s">
        <v>396</v>
      </c>
      <c r="C162" s="0" t="s">
        <v>397</v>
      </c>
      <c r="E162" s="0" t="n">
        <v>120799</v>
      </c>
      <c r="F162" s="0" t="n">
        <v>120770</v>
      </c>
      <c r="G162" s="0" t="n">
        <v>1449.01</v>
      </c>
      <c r="I162" s="0" t="n">
        <f aca="false">VLOOKUP($A162,content_factors_backup!$A$2:$Q$468,I$525,FALSE())</f>
        <v>50</v>
      </c>
      <c r="J162" s="0" t="e">
        <f aca="false">VLOOKUP($A162,content_factors_backup!$A$2:$Q$468,J$525,FALSE())</f>
        <v>#N/A</v>
      </c>
      <c r="K162" s="0" t="e">
        <f aca="false">VLOOKUP($A162,content_factors_backup!$A$2:$Q$468,K$525,FALSE())</f>
        <v>#N/A</v>
      </c>
      <c r="L162" s="0" t="e">
        <f aca="false">VLOOKUP($A162,content_factors_backup!$A$2:$Q$468,L$525,FALSE())</f>
        <v>#N/A</v>
      </c>
      <c r="M162" s="0" t="e">
        <f aca="false">VLOOKUP($A162,content_factors_backup!$A$2:$Q$468,M$525,FALSE())</f>
        <v>#N/A</v>
      </c>
      <c r="N162" s="0" t="e">
        <f aca="false">VLOOKUP($A162,content_factors_backup!$A$2:$Q$468,N$525,FALSE())</f>
        <v>#N/A</v>
      </c>
      <c r="O162" s="0" t="e">
        <f aca="false">VLOOKUP($A162,content_factors_backup!$A$2:$Q$468,O$525,FALSE())</f>
        <v>#N/A</v>
      </c>
      <c r="P162" s="0" t="e">
        <f aca="false">VLOOKUP($A162,content_factors_backup!$A$2:$Q$468,P$525,FALSE())</f>
        <v>#N/A</v>
      </c>
      <c r="Q162" s="0" t="e">
        <f aca="false">VLOOKUP($A162,content_factors_backup!$A$2:$Q$468,Q$525,FALSE())</f>
        <v>#N/A</v>
      </c>
      <c r="R162" s="0" t="e">
        <f aca="false">VLOOKUP($A162,content_factors_backup!$A$2:$Q$468,R$525,FALSE())</f>
        <v>#N/A</v>
      </c>
      <c r="S162" s="0" t="e">
        <f aca="false">VLOOKUP($A162,content_factors_backup!$A$2:$Q$468,S$525,FALSE())</f>
        <v>#N/A</v>
      </c>
      <c r="T162" s="0" t="e">
        <f aca="false">VLOOKUP($A162,content_factors_backup!$A$2:$Q$468,T$525,FALSE())</f>
        <v>#N/A</v>
      </c>
      <c r="U162" s="0" t="e">
        <f aca="false">VLOOKUP($A162,content_factors_backup!$A$2:$Q$468,U$525,FALSE())</f>
        <v>#N/A</v>
      </c>
      <c r="V162" s="0" t="e">
        <f aca="false">VLOOKUP($A162,content_factors_backup!$A$2:$Q$468,V$525,FALSE())</f>
        <v>#N/A</v>
      </c>
      <c r="W162" s="0" t="e">
        <f aca="false">VLOOKUP($A162,content_factors_backup!$A$2:$Q$468,W$525,FALSE())</f>
        <v>#N/A</v>
      </c>
    </row>
    <row r="163" customFormat="false" ht="14.25" hidden="false" customHeight="false" outlineLevel="0" collapsed="false">
      <c r="A163" s="0" t="n">
        <v>305</v>
      </c>
      <c r="B163" s="0" t="s">
        <v>398</v>
      </c>
      <c r="C163" s="0" t="s">
        <v>399</v>
      </c>
      <c r="E163" s="0" t="n">
        <v>120799</v>
      </c>
      <c r="F163" s="0" t="n">
        <v>120799</v>
      </c>
      <c r="G163" s="0" t="n">
        <v>1499.04</v>
      </c>
      <c r="I163" s="0" t="n">
        <f aca="false">VLOOKUP($A163,content_factors_backup!$A$2:$Q$468,I$525,FALSE())</f>
        <v>50</v>
      </c>
      <c r="J163" s="0" t="e">
        <f aca="false">VLOOKUP($A163,content_factors_backup!$A$2:$Q$468,J$525,FALSE())</f>
        <v>#N/A</v>
      </c>
      <c r="K163" s="0" t="e">
        <f aca="false">VLOOKUP($A163,content_factors_backup!$A$2:$Q$468,K$525,FALSE())</f>
        <v>#N/A</v>
      </c>
      <c r="L163" s="0" t="e">
        <f aca="false">VLOOKUP($A163,content_factors_backup!$A$2:$Q$468,L$525,FALSE())</f>
        <v>#N/A</v>
      </c>
      <c r="M163" s="0" t="e">
        <f aca="false">VLOOKUP($A163,content_factors_backup!$A$2:$Q$468,M$525,FALSE())</f>
        <v>#N/A</v>
      </c>
      <c r="N163" s="0" t="e">
        <f aca="false">VLOOKUP($A163,content_factors_backup!$A$2:$Q$468,N$525,FALSE())</f>
        <v>#N/A</v>
      </c>
      <c r="O163" s="0" t="e">
        <f aca="false">VLOOKUP($A163,content_factors_backup!$A$2:$Q$468,O$525,FALSE())</f>
        <v>#N/A</v>
      </c>
      <c r="P163" s="0" t="e">
        <f aca="false">VLOOKUP($A163,content_factors_backup!$A$2:$Q$468,P$525,FALSE())</f>
        <v>#N/A</v>
      </c>
      <c r="Q163" s="0" t="e">
        <f aca="false">VLOOKUP($A163,content_factors_backup!$A$2:$Q$468,Q$525,FALSE())</f>
        <v>#N/A</v>
      </c>
      <c r="R163" s="0" t="e">
        <f aca="false">VLOOKUP($A163,content_factors_backup!$A$2:$Q$468,R$525,FALSE())</f>
        <v>#N/A</v>
      </c>
      <c r="S163" s="0" t="e">
        <f aca="false">VLOOKUP($A163,content_factors_backup!$A$2:$Q$468,S$525,FALSE())</f>
        <v>#N/A</v>
      </c>
      <c r="T163" s="0" t="e">
        <f aca="false">VLOOKUP($A163,content_factors_backup!$A$2:$Q$468,T$525,FALSE())</f>
        <v>#N/A</v>
      </c>
      <c r="U163" s="0" t="e">
        <f aca="false">VLOOKUP($A163,content_factors_backup!$A$2:$Q$468,U$525,FALSE())</f>
        <v>#N/A</v>
      </c>
      <c r="V163" s="0" t="e">
        <f aca="false">VLOOKUP($A163,content_factors_backup!$A$2:$Q$468,V$525,FALSE())</f>
        <v>#N/A</v>
      </c>
      <c r="W163" s="0" t="e">
        <f aca="false">VLOOKUP($A163,content_factors_backup!$A$2:$Q$468,W$525,FALSE())</f>
        <v>#N/A</v>
      </c>
    </row>
    <row r="164" customFormat="false" ht="14.25" hidden="false" customHeight="false" outlineLevel="0" collapsed="false">
      <c r="A164" s="0" t="n">
        <v>306</v>
      </c>
      <c r="B164" s="0" t="s">
        <v>400</v>
      </c>
      <c r="C164" s="0" t="s">
        <v>401</v>
      </c>
      <c r="E164" s="0" t="n">
        <v>151590</v>
      </c>
      <c r="F164" s="0" t="n">
        <v>151590</v>
      </c>
      <c r="G164" s="0" t="n">
        <v>21691.09</v>
      </c>
      <c r="I164" s="0" t="n">
        <f aca="false">VLOOKUP($A164,content_factors_backup!$A$2:$Q$468,I$525,FALSE())</f>
        <v>100</v>
      </c>
      <c r="J164" s="0" t="e">
        <f aca="false">VLOOKUP($A164,content_factors_backup!$A$2:$Q$468,J$525,FALSE())</f>
        <v>#N/A</v>
      </c>
      <c r="K164" s="0" t="e">
        <f aca="false">VLOOKUP($A164,content_factors_backup!$A$2:$Q$468,K$525,FALSE())</f>
        <v>#N/A</v>
      </c>
      <c r="L164" s="0" t="e">
        <f aca="false">VLOOKUP($A164,content_factors_backup!$A$2:$Q$468,L$525,FALSE())</f>
        <v>#N/A</v>
      </c>
      <c r="M164" s="0" t="e">
        <f aca="false">VLOOKUP($A164,content_factors_backup!$A$2:$Q$468,M$525,FALSE())</f>
        <v>#N/A</v>
      </c>
      <c r="N164" s="0" t="e">
        <f aca="false">VLOOKUP($A164,content_factors_backup!$A$2:$Q$468,N$525,FALSE())</f>
        <v>#N/A</v>
      </c>
      <c r="O164" s="0" t="e">
        <f aca="false">VLOOKUP($A164,content_factors_backup!$A$2:$Q$468,O$525,FALSE())</f>
        <v>#N/A</v>
      </c>
      <c r="P164" s="0" t="e">
        <f aca="false">VLOOKUP($A164,content_factors_backup!$A$2:$Q$468,P$525,FALSE())</f>
        <v>#N/A</v>
      </c>
      <c r="Q164" s="0" t="e">
        <f aca="false">VLOOKUP($A164,content_factors_backup!$A$2:$Q$468,Q$525,FALSE())</f>
        <v>#N/A</v>
      </c>
      <c r="R164" s="0" t="e">
        <f aca="false">VLOOKUP($A164,content_factors_backup!$A$2:$Q$468,R$525,FALSE())</f>
        <v>#N/A</v>
      </c>
      <c r="S164" s="0" t="e">
        <f aca="false">VLOOKUP($A164,content_factors_backup!$A$2:$Q$468,S$525,FALSE())</f>
        <v>#N/A</v>
      </c>
      <c r="T164" s="0" t="e">
        <f aca="false">VLOOKUP($A164,content_factors_backup!$A$2:$Q$468,T$525,FALSE())</f>
        <v>#N/A</v>
      </c>
      <c r="U164" s="0" t="e">
        <f aca="false">VLOOKUP($A164,content_factors_backup!$A$2:$Q$468,U$525,FALSE())</f>
        <v>#N/A</v>
      </c>
      <c r="V164" s="0" t="e">
        <f aca="false">VLOOKUP($A164,content_factors_backup!$A$2:$Q$468,V$525,FALSE())</f>
        <v>#N/A</v>
      </c>
      <c r="W164" s="0" t="e">
        <f aca="false">VLOOKUP($A164,content_factors_backup!$A$2:$Q$468,W$525,FALSE())</f>
        <v>#N/A</v>
      </c>
    </row>
    <row r="165" customFormat="false" ht="14.25" hidden="false" customHeight="false" outlineLevel="0" collapsed="false">
      <c r="A165" s="0" t="n">
        <v>310</v>
      </c>
      <c r="B165" s="0" t="s">
        <v>402</v>
      </c>
      <c r="C165" s="0" t="s">
        <v>403</v>
      </c>
      <c r="E165" s="0" t="n">
        <v>120799</v>
      </c>
      <c r="F165" s="0" t="n">
        <v>120799</v>
      </c>
      <c r="G165" s="0" t="n">
        <v>1499.05</v>
      </c>
      <c r="I165" s="0" t="n">
        <f aca="false">VLOOKUP($A165,content_factors_backup!$A$2:$Q$468,I$525,FALSE())</f>
        <v>50</v>
      </c>
      <c r="J165" s="0" t="e">
        <f aca="false">VLOOKUP($A165,content_factors_backup!$A$2:$Q$468,J$525,FALSE())</f>
        <v>#N/A</v>
      </c>
      <c r="K165" s="0" t="e">
        <f aca="false">VLOOKUP($A165,content_factors_backup!$A$2:$Q$468,K$525,FALSE())</f>
        <v>#N/A</v>
      </c>
      <c r="L165" s="0" t="e">
        <f aca="false">VLOOKUP($A165,content_factors_backup!$A$2:$Q$468,L$525,FALSE())</f>
        <v>#N/A</v>
      </c>
      <c r="M165" s="0" t="e">
        <f aca="false">VLOOKUP($A165,content_factors_backup!$A$2:$Q$468,M$525,FALSE())</f>
        <v>#N/A</v>
      </c>
      <c r="N165" s="0" t="e">
        <f aca="false">VLOOKUP($A165,content_factors_backup!$A$2:$Q$468,N$525,FALSE())</f>
        <v>#N/A</v>
      </c>
      <c r="O165" s="0" t="e">
        <f aca="false">VLOOKUP($A165,content_factors_backup!$A$2:$Q$468,O$525,FALSE())</f>
        <v>#N/A</v>
      </c>
      <c r="P165" s="0" t="e">
        <f aca="false">VLOOKUP($A165,content_factors_backup!$A$2:$Q$468,P$525,FALSE())</f>
        <v>#N/A</v>
      </c>
      <c r="Q165" s="0" t="e">
        <f aca="false">VLOOKUP($A165,content_factors_backup!$A$2:$Q$468,Q$525,FALSE())</f>
        <v>#N/A</v>
      </c>
      <c r="R165" s="0" t="e">
        <f aca="false">VLOOKUP($A165,content_factors_backup!$A$2:$Q$468,R$525,FALSE())</f>
        <v>#N/A</v>
      </c>
      <c r="S165" s="0" t="e">
        <f aca="false">VLOOKUP($A165,content_factors_backup!$A$2:$Q$468,S$525,FALSE())</f>
        <v>#N/A</v>
      </c>
      <c r="T165" s="0" t="e">
        <f aca="false">VLOOKUP($A165,content_factors_backup!$A$2:$Q$468,T$525,FALSE())</f>
        <v>#N/A</v>
      </c>
      <c r="U165" s="0" t="e">
        <f aca="false">VLOOKUP($A165,content_factors_backup!$A$2:$Q$468,U$525,FALSE())</f>
        <v>#N/A</v>
      </c>
      <c r="V165" s="0" t="e">
        <f aca="false">VLOOKUP($A165,content_factors_backup!$A$2:$Q$468,V$525,FALSE())</f>
        <v>#N/A</v>
      </c>
      <c r="W165" s="0" t="e">
        <f aca="false">VLOOKUP($A165,content_factors_backup!$A$2:$Q$468,W$525,FALSE())</f>
        <v>#N/A</v>
      </c>
    </row>
    <row r="166" customFormat="false" ht="14.25" hidden="false" customHeight="false" outlineLevel="0" collapsed="false">
      <c r="A166" s="0" t="n">
        <v>311</v>
      </c>
      <c r="B166" s="0" t="s">
        <v>404</v>
      </c>
      <c r="C166" s="0" t="s">
        <v>405</v>
      </c>
      <c r="E166" s="0" t="n">
        <v>120799</v>
      </c>
      <c r="F166" s="0" t="n">
        <v>120799</v>
      </c>
      <c r="G166" s="0" t="n">
        <v>1499.06</v>
      </c>
      <c r="I166" s="0" t="n">
        <f aca="false">VLOOKUP($A166,content_factors_backup!$A$2:$Q$468,I$525,FALSE())</f>
        <v>90</v>
      </c>
      <c r="J166" s="0" t="n">
        <f aca="false">VLOOKUP($A166,content_factors_backup!$A$2:$Q$468,J$525,FALSE())</f>
        <v>506</v>
      </c>
      <c r="K166" s="0" t="n">
        <f aca="false">VLOOKUP($A166,content_factors_backup!$A$2:$Q$468,K$525,FALSE())</f>
        <v>32.59</v>
      </c>
      <c r="L166" s="0" t="n">
        <f aca="false">VLOOKUP($A166,content_factors_backup!$A$2:$Q$468,L$525,FALSE())</f>
        <v>5.5</v>
      </c>
      <c r="M166" s="0" t="n">
        <f aca="false">VLOOKUP($A166,content_factors_backup!$A$2:$Q$468,M$525,FALSE())</f>
        <v>6</v>
      </c>
      <c r="N166" s="0" t="n">
        <f aca="false">VLOOKUP($A166,content_factors_backup!$A$2:$Q$468,N$525,FALSE())</f>
        <v>5.4</v>
      </c>
      <c r="O166" s="0" t="n">
        <f aca="false">VLOOKUP($A166,content_factors_backup!$A$2:$Q$468,O$525,FALSE())</f>
        <v>100</v>
      </c>
      <c r="P166" s="0" t="n">
        <f aca="false">VLOOKUP($A166,content_factors_backup!$A$2:$Q$468,P$525,FALSE())</f>
        <v>233</v>
      </c>
      <c r="Q166" s="0" t="n">
        <f aca="false">VLOOKUP($A166,content_factors_backup!$A$2:$Q$468,Q$525,FALSE())</f>
        <v>0.255</v>
      </c>
      <c r="R166" s="0" t="n">
        <f aca="false">VLOOKUP($A166,content_factors_backup!$A$2:$Q$468,R$525,FALSE())</f>
        <v>0</v>
      </c>
      <c r="S166" s="0" t="n">
        <f aca="false">VLOOKUP($A166,content_factors_backup!$A$2:$Q$468,S$525,FALSE())</f>
        <v>1350</v>
      </c>
      <c r="T166" s="0" t="n">
        <f aca="false">VLOOKUP($A166,content_factors_backup!$A$2:$Q$468,T$525,FALSE())</f>
        <v>0</v>
      </c>
      <c r="U166" s="0" t="n">
        <f aca="false">VLOOKUP($A166,content_factors_backup!$A$2:$Q$468,U$525,FALSE())</f>
        <v>0</v>
      </c>
      <c r="V166" s="0" t="n">
        <f aca="false">VLOOKUP($A166,content_factors_backup!$A$2:$Q$468,V$525,FALSE())</f>
        <v>0</v>
      </c>
      <c r="W166" s="0" t="n">
        <f aca="false">VLOOKUP($A166,content_factors_backup!$A$2:$Q$468,W$525,FALSE())</f>
        <v>22</v>
      </c>
    </row>
    <row r="167" customFormat="false" ht="14.25" hidden="false" customHeight="false" outlineLevel="0" collapsed="false">
      <c r="A167" s="0" t="n">
        <v>312</v>
      </c>
      <c r="B167" s="0" t="s">
        <v>406</v>
      </c>
      <c r="C167" s="0" t="s">
        <v>407</v>
      </c>
      <c r="E167" s="0" t="n">
        <v>120799</v>
      </c>
      <c r="F167" s="0" t="n">
        <v>120799</v>
      </c>
      <c r="G167" s="0" t="n">
        <v>1499.07</v>
      </c>
      <c r="I167" s="0" t="e">
        <f aca="false">VLOOKUP($A167,content_factors_backup!$A$2:$Q$468,I$525,FALSE())</f>
        <v>#N/A</v>
      </c>
      <c r="J167" s="0" t="e">
        <f aca="false">VLOOKUP($A167,content_factors_backup!$A$2:$Q$468,J$525,FALSE())</f>
        <v>#N/A</v>
      </c>
      <c r="K167" s="0" t="e">
        <f aca="false">VLOOKUP($A167,content_factors_backup!$A$2:$Q$468,K$525,FALSE())</f>
        <v>#N/A</v>
      </c>
      <c r="L167" s="0" t="e">
        <f aca="false">VLOOKUP($A167,content_factors_backup!$A$2:$Q$468,L$525,FALSE())</f>
        <v>#N/A</v>
      </c>
      <c r="M167" s="0" t="e">
        <f aca="false">VLOOKUP($A167,content_factors_backup!$A$2:$Q$468,M$525,FALSE())</f>
        <v>#N/A</v>
      </c>
      <c r="N167" s="0" t="e">
        <f aca="false">VLOOKUP($A167,content_factors_backup!$A$2:$Q$468,N$525,FALSE())</f>
        <v>#N/A</v>
      </c>
      <c r="O167" s="0" t="e">
        <f aca="false">VLOOKUP($A167,content_factors_backup!$A$2:$Q$468,O$525,FALSE())</f>
        <v>#N/A</v>
      </c>
      <c r="P167" s="0" t="e">
        <f aca="false">VLOOKUP($A167,content_factors_backup!$A$2:$Q$468,P$525,FALSE())</f>
        <v>#N/A</v>
      </c>
      <c r="Q167" s="0" t="e">
        <f aca="false">VLOOKUP($A167,content_factors_backup!$A$2:$Q$468,Q$525,FALSE())</f>
        <v>#N/A</v>
      </c>
      <c r="R167" s="0" t="e">
        <f aca="false">VLOOKUP($A167,content_factors_backup!$A$2:$Q$468,R$525,FALSE())</f>
        <v>#N/A</v>
      </c>
      <c r="S167" s="0" t="e">
        <f aca="false">VLOOKUP($A167,content_factors_backup!$A$2:$Q$468,S$525,FALSE())</f>
        <v>#N/A</v>
      </c>
      <c r="T167" s="0" t="e">
        <f aca="false">VLOOKUP($A167,content_factors_backup!$A$2:$Q$468,T$525,FALSE())</f>
        <v>#N/A</v>
      </c>
      <c r="U167" s="0" t="e">
        <f aca="false">VLOOKUP($A167,content_factors_backup!$A$2:$Q$468,U$525,FALSE())</f>
        <v>#N/A</v>
      </c>
      <c r="V167" s="0" t="e">
        <f aca="false">VLOOKUP($A167,content_factors_backup!$A$2:$Q$468,V$525,FALSE())</f>
        <v>#N/A</v>
      </c>
      <c r="W167" s="0" t="e">
        <f aca="false">VLOOKUP($A167,content_factors_backup!$A$2:$Q$468,W$525,FALSE())</f>
        <v>#N/A</v>
      </c>
    </row>
    <row r="168" customFormat="false" ht="14.25" hidden="false" customHeight="false" outlineLevel="0" collapsed="false">
      <c r="A168" s="0" t="n">
        <v>313</v>
      </c>
      <c r="B168" s="0" t="s">
        <v>408</v>
      </c>
      <c r="C168" s="0" t="s">
        <v>409</v>
      </c>
      <c r="E168" s="0" t="n">
        <v>151590</v>
      </c>
      <c r="F168" s="0" t="n">
        <v>151590</v>
      </c>
      <c r="G168" s="0" t="n">
        <v>21691.11</v>
      </c>
      <c r="I168" s="0" t="n">
        <f aca="false">VLOOKUP($A168,content_factors_backup!$A$2:$Q$468,I$525,FALSE())</f>
        <v>100</v>
      </c>
      <c r="J168" s="0" t="n">
        <f aca="false">VLOOKUP($A168,content_factors_backup!$A$2:$Q$468,J$525,FALSE())</f>
        <v>884</v>
      </c>
      <c r="K168" s="0" t="n">
        <f aca="false">VLOOKUP($A168,content_factors_backup!$A$2:$Q$468,K$525,FALSE())</f>
        <v>0</v>
      </c>
      <c r="L168" s="0" t="n">
        <f aca="false">VLOOKUP($A168,content_factors_backup!$A$2:$Q$468,L$525,FALSE())</f>
        <v>0</v>
      </c>
      <c r="M168" s="0" t="n">
        <f aca="false">VLOOKUP($A168,content_factors_backup!$A$2:$Q$468,M$525,FALSE())</f>
        <v>0</v>
      </c>
      <c r="N168" s="0" t="n">
        <f aca="false">VLOOKUP($A168,content_factors_backup!$A$2:$Q$468,N$525,FALSE())</f>
        <v>0</v>
      </c>
      <c r="O168" s="0" t="n">
        <f aca="false">VLOOKUP($A168,content_factors_backup!$A$2:$Q$468,O$525,FALSE())</f>
        <v>0</v>
      </c>
      <c r="P168" s="0" t="n">
        <f aca="false">VLOOKUP($A168,content_factors_backup!$A$2:$Q$468,P$525,FALSE())</f>
        <v>0</v>
      </c>
      <c r="Q168" s="0" t="n">
        <f aca="false">VLOOKUP($A168,content_factors_backup!$A$2:$Q$468,Q$525,FALSE())</f>
        <v>0</v>
      </c>
      <c r="R168" s="0" t="n">
        <f aca="false">VLOOKUP($A168,content_factors_backup!$A$2:$Q$468,R$525,FALSE())</f>
        <v>0.2</v>
      </c>
      <c r="S168" s="0" t="n">
        <f aca="false">VLOOKUP($A168,content_factors_backup!$A$2:$Q$468,S$525,FALSE())</f>
        <v>0</v>
      </c>
      <c r="T168" s="0" t="n">
        <f aca="false">VLOOKUP($A168,content_factors_backup!$A$2:$Q$468,T$525,FALSE())</f>
        <v>35.3</v>
      </c>
      <c r="U168" s="0" t="n">
        <f aca="false">VLOOKUP($A168,content_factors_backup!$A$2:$Q$468,U$525,FALSE())</f>
        <v>0</v>
      </c>
      <c r="V168" s="0" t="n">
        <f aca="false">VLOOKUP($A168,content_factors_backup!$A$2:$Q$468,V$525,FALSE())</f>
        <v>24.7</v>
      </c>
      <c r="W168" s="0" t="n">
        <f aca="false">VLOOKUP($A168,content_factors_backup!$A$2:$Q$468,W$525,FALSE())</f>
        <v>0</v>
      </c>
    </row>
    <row r="169" customFormat="false" ht="14.25" hidden="false" customHeight="false" outlineLevel="0" collapsed="false">
      <c r="A169" s="0" t="n">
        <v>314</v>
      </c>
      <c r="B169" s="0" t="s">
        <v>410</v>
      </c>
      <c r="C169" s="0" t="s">
        <v>313</v>
      </c>
      <c r="E169" s="0" t="n">
        <v>230690</v>
      </c>
      <c r="F169" s="0" t="n">
        <v>230690</v>
      </c>
      <c r="G169" s="0" t="n">
        <v>21910.14</v>
      </c>
      <c r="I169" s="0" t="n">
        <f aca="false">VLOOKUP($A169,content_factors_backup!$A$2:$Q$468,I$525,FALSE())</f>
        <v>90</v>
      </c>
      <c r="J169" s="0" t="n">
        <f aca="false">VLOOKUP($A169,content_factors_backup!$A$2:$Q$468,J$525,FALSE())</f>
        <v>367</v>
      </c>
      <c r="K169" s="0" t="n">
        <f aca="false">VLOOKUP($A169,content_factors_backup!$A$2:$Q$468,K$525,FALSE())</f>
        <v>49.1</v>
      </c>
      <c r="L169" s="0" t="n">
        <f aca="false">VLOOKUP($A169,content_factors_backup!$A$2:$Q$468,L$525,FALSE())</f>
        <v>0</v>
      </c>
      <c r="M169" s="0" t="n">
        <f aca="false">VLOOKUP($A169,content_factors_backup!$A$2:$Q$468,M$525,FALSE())</f>
        <v>12.32</v>
      </c>
      <c r="N169" s="0" t="n">
        <f aca="false">VLOOKUP($A169,content_factors_backup!$A$2:$Q$468,N$525,FALSE())</f>
        <v>13.35</v>
      </c>
      <c r="O169" s="0" t="n">
        <f aca="false">VLOOKUP($A169,content_factors_backup!$A$2:$Q$468,O$525,FALSE())</f>
        <v>504</v>
      </c>
      <c r="P169" s="0" t="n">
        <f aca="false">VLOOKUP($A169,content_factors_backup!$A$2:$Q$468,P$525,FALSE())</f>
        <v>242</v>
      </c>
      <c r="Q169" s="0" t="n">
        <f aca="false">VLOOKUP($A169,content_factors_backup!$A$2:$Q$468,Q$525,FALSE())</f>
        <v>0.42</v>
      </c>
      <c r="R169" s="0" t="n">
        <f aca="false">VLOOKUP($A169,content_factors_backup!$A$2:$Q$468,R$525,FALSE())</f>
        <v>0</v>
      </c>
      <c r="S169" s="0" t="n">
        <f aca="false">VLOOKUP($A169,content_factors_backup!$A$2:$Q$468,S$525,FALSE())</f>
        <v>1869</v>
      </c>
      <c r="T169" s="0" t="n">
        <f aca="false">VLOOKUP($A169,content_factors_backup!$A$2:$Q$468,T$525,FALSE())</f>
        <v>0</v>
      </c>
      <c r="U169" s="0" t="n">
        <f aca="false">VLOOKUP($A169,content_factors_backup!$A$2:$Q$468,U$525,FALSE())</f>
        <v>0</v>
      </c>
      <c r="V169" s="0" t="n">
        <f aca="false">VLOOKUP($A169,content_factors_backup!$A$2:$Q$468,V$525,FALSE())</f>
        <v>0</v>
      </c>
      <c r="W169" s="0" t="n">
        <f aca="false">VLOOKUP($A169,content_factors_backup!$A$2:$Q$468,W$525,FALSE())</f>
        <v>23</v>
      </c>
    </row>
    <row r="170" customFormat="false" ht="14.25" hidden="false" customHeight="false" outlineLevel="0" collapsed="false">
      <c r="A170" s="0" t="n">
        <v>328</v>
      </c>
      <c r="B170" s="0" t="s">
        <v>411</v>
      </c>
      <c r="C170" s="0" t="s">
        <v>412</v>
      </c>
      <c r="E170" s="0" t="n">
        <v>520100</v>
      </c>
      <c r="F170" s="0" t="n">
        <v>520100</v>
      </c>
      <c r="G170" s="0" t="n">
        <v>1921.01</v>
      </c>
      <c r="I170" s="0" t="n">
        <f aca="false">VLOOKUP($A170,content_factors_backup!$A$2:$Q$468,I$525,FALSE())</f>
        <v>90</v>
      </c>
      <c r="J170" s="0" t="n">
        <f aca="false">VLOOKUP($A170,content_factors_backup!$A$2:$Q$468,J$525,FALSE())</f>
        <v>506</v>
      </c>
      <c r="K170" s="0" t="n">
        <f aca="false">VLOOKUP($A170,content_factors_backup!$A$2:$Q$468,K$525,FALSE())</f>
        <v>32.59</v>
      </c>
      <c r="L170" s="0" t="n">
        <f aca="false">VLOOKUP($A170,content_factors_backup!$A$2:$Q$468,L$525,FALSE())</f>
        <v>5.5</v>
      </c>
      <c r="M170" s="0" t="n">
        <f aca="false">VLOOKUP($A170,content_factors_backup!$A$2:$Q$468,M$525,FALSE())</f>
        <v>6</v>
      </c>
      <c r="N170" s="0" t="n">
        <f aca="false">VLOOKUP($A170,content_factors_backup!$A$2:$Q$468,N$525,FALSE())</f>
        <v>5.4</v>
      </c>
      <c r="O170" s="0" t="n">
        <f aca="false">VLOOKUP($A170,content_factors_backup!$A$2:$Q$468,O$525,FALSE())</f>
        <v>100</v>
      </c>
      <c r="P170" s="0" t="n">
        <f aca="false">VLOOKUP($A170,content_factors_backup!$A$2:$Q$468,P$525,FALSE())</f>
        <v>233</v>
      </c>
      <c r="Q170" s="0" t="n">
        <f aca="false">VLOOKUP($A170,content_factors_backup!$A$2:$Q$468,Q$525,FALSE())</f>
        <v>0.255</v>
      </c>
      <c r="R170" s="0" t="n">
        <f aca="false">VLOOKUP($A170,content_factors_backup!$A$2:$Q$468,R$525,FALSE())</f>
        <v>0</v>
      </c>
      <c r="S170" s="0" t="n">
        <f aca="false">VLOOKUP($A170,content_factors_backup!$A$2:$Q$468,S$525,FALSE())</f>
        <v>1350</v>
      </c>
      <c r="T170" s="0" t="n">
        <f aca="false">VLOOKUP($A170,content_factors_backup!$A$2:$Q$468,T$525,FALSE())</f>
        <v>0</v>
      </c>
      <c r="U170" s="0" t="n">
        <f aca="false">VLOOKUP($A170,content_factors_backup!$A$2:$Q$468,U$525,FALSE())</f>
        <v>0</v>
      </c>
      <c r="V170" s="0" t="n">
        <f aca="false">VLOOKUP($A170,content_factors_backup!$A$2:$Q$468,V$525,FALSE())</f>
        <v>0</v>
      </c>
      <c r="W170" s="0" t="n">
        <f aca="false">VLOOKUP($A170,content_factors_backup!$A$2:$Q$468,W$525,FALSE())</f>
        <v>22</v>
      </c>
    </row>
    <row r="171" customFormat="false" ht="14.25" hidden="false" customHeight="false" outlineLevel="0" collapsed="false">
      <c r="A171" s="0" t="n">
        <v>329</v>
      </c>
      <c r="B171" s="0" t="s">
        <v>413</v>
      </c>
      <c r="C171" s="0" t="s">
        <v>407</v>
      </c>
      <c r="E171" s="0" t="n">
        <v>120720</v>
      </c>
      <c r="F171" s="0" t="s">
        <v>414</v>
      </c>
      <c r="G171" s="0" t="n">
        <v>143</v>
      </c>
      <c r="I171" s="0" t="n">
        <f aca="false">VLOOKUP($A171,content_factors_backup!$A$2:$Q$468,I$525,FALSE())</f>
        <v>90</v>
      </c>
      <c r="J171" s="0" t="n">
        <f aca="false">VLOOKUP($A171,content_factors_backup!$A$2:$Q$468,J$525,FALSE())</f>
        <v>471.5</v>
      </c>
      <c r="K171" s="0" t="n">
        <f aca="false">VLOOKUP($A171,content_factors_backup!$A$2:$Q$468,K$525,FALSE())</f>
        <v>26.395</v>
      </c>
      <c r="L171" s="0" t="n">
        <f aca="false">VLOOKUP($A171,content_factors_backup!$A$2:$Q$468,L$525,FALSE())</f>
        <v>12</v>
      </c>
      <c r="M171" s="0" t="n">
        <f aca="false">VLOOKUP($A171,content_factors_backup!$A$2:$Q$468,M$525,FALSE())</f>
        <v>6</v>
      </c>
      <c r="N171" s="0" t="n">
        <f aca="false">VLOOKUP($A171,content_factors_backup!$A$2:$Q$468,N$525,FALSE())</f>
        <v>5.4</v>
      </c>
      <c r="O171" s="0" t="n">
        <f aca="false">VLOOKUP($A171,content_factors_backup!$A$2:$Q$468,O$525,FALSE())</f>
        <v>129</v>
      </c>
      <c r="P171" s="0" t="n">
        <f aca="false">VLOOKUP($A171,content_factors_backup!$A$2:$Q$468,P$525,FALSE())</f>
        <v>233</v>
      </c>
      <c r="Q171" s="0" t="n">
        <f aca="false">VLOOKUP($A171,content_factors_backup!$A$2:$Q$468,Q$525,FALSE())</f>
        <v>0.255</v>
      </c>
      <c r="R171" s="0" t="n">
        <f aca="false">VLOOKUP($A171,content_factors_backup!$A$2:$Q$468,R$525,FALSE())</f>
        <v>0</v>
      </c>
      <c r="S171" s="0" t="n">
        <f aca="false">VLOOKUP($A171,content_factors_backup!$A$2:$Q$468,S$525,FALSE())</f>
        <v>1350</v>
      </c>
      <c r="T171" s="0" t="n">
        <f aca="false">VLOOKUP($A171,content_factors_backup!$A$2:$Q$468,T$525,FALSE())</f>
        <v>35.3</v>
      </c>
      <c r="U171" s="0" t="n">
        <f aca="false">VLOOKUP($A171,content_factors_backup!$A$2:$Q$468,U$525,FALSE())</f>
        <v>0</v>
      </c>
      <c r="V171" s="0" t="n">
        <f aca="false">VLOOKUP($A171,content_factors_backup!$A$2:$Q$468,V$525,FALSE())</f>
        <v>24.7</v>
      </c>
      <c r="W171" s="0" t="n">
        <f aca="false">VLOOKUP($A171,content_factors_backup!$A$2:$Q$468,W$525,FALSE())</f>
        <v>22</v>
      </c>
    </row>
    <row r="172" customFormat="false" ht="14.25" hidden="false" customHeight="false" outlineLevel="0" collapsed="false">
      <c r="A172" s="0" t="n">
        <v>331</v>
      </c>
      <c r="B172" s="0" t="s">
        <v>415</v>
      </c>
      <c r="C172" s="0" t="s">
        <v>416</v>
      </c>
      <c r="E172" s="0" t="s">
        <v>417</v>
      </c>
      <c r="F172" s="0" t="s">
        <v>417</v>
      </c>
      <c r="G172" s="0" t="n">
        <v>2168</v>
      </c>
      <c r="I172" s="0" t="n">
        <f aca="false">VLOOKUP($A172,content_factors_backup!$A$2:$Q$468,I$525,FALSE())</f>
        <v>100</v>
      </c>
      <c r="J172" s="0" t="n">
        <f aca="false">VLOOKUP($A172,content_factors_backup!$A$2:$Q$468,J$525,FALSE())</f>
        <v>900</v>
      </c>
      <c r="K172" s="0" t="n">
        <f aca="false">VLOOKUP($A172,content_factors_backup!$A$2:$Q$468,K$525,FALSE())</f>
        <v>0</v>
      </c>
      <c r="L172" s="0" t="n">
        <f aca="false">VLOOKUP($A172,content_factors_backup!$A$2:$Q$468,L$525,FALSE())</f>
        <v>0</v>
      </c>
      <c r="M172" s="0" t="n">
        <f aca="false">VLOOKUP($A172,content_factors_backup!$A$2:$Q$468,M$525,FALSE())</f>
        <v>0</v>
      </c>
      <c r="N172" s="0" t="n">
        <f aca="false">VLOOKUP($A172,content_factors_backup!$A$2:$Q$468,N$525,FALSE())</f>
        <v>0</v>
      </c>
      <c r="O172" s="0" t="n">
        <f aca="false">VLOOKUP($A172,content_factors_backup!$A$2:$Q$468,O$525,FALSE())</f>
        <v>0</v>
      </c>
      <c r="P172" s="0" t="n">
        <f aca="false">VLOOKUP($A172,content_factors_backup!$A$2:$Q$468,P$525,FALSE())</f>
        <v>0</v>
      </c>
      <c r="Q172" s="0" t="n">
        <f aca="false">VLOOKUP($A172,content_factors_backup!$A$2:$Q$468,Q$525,FALSE())</f>
        <v>0</v>
      </c>
      <c r="R172" s="0" t="n">
        <f aca="false">VLOOKUP($A172,content_factors_backup!$A$2:$Q$468,R$525,FALSE())</f>
        <v>0.2</v>
      </c>
      <c r="S172" s="0" t="n">
        <f aca="false">VLOOKUP($A172,content_factors_backup!$A$2:$Q$468,S$525,FALSE())</f>
        <v>0</v>
      </c>
      <c r="T172" s="0" t="n">
        <f aca="false">VLOOKUP($A172,content_factors_backup!$A$2:$Q$468,T$525,FALSE())</f>
        <v>35.3</v>
      </c>
      <c r="U172" s="0" t="n">
        <f aca="false">VLOOKUP($A172,content_factors_backup!$A$2:$Q$468,U$525,FALSE())</f>
        <v>0</v>
      </c>
      <c r="V172" s="0" t="n">
        <f aca="false">VLOOKUP($A172,content_factors_backup!$A$2:$Q$468,V$525,FALSE())</f>
        <v>24.7</v>
      </c>
      <c r="W172" s="0" t="n">
        <f aca="false">VLOOKUP($A172,content_factors_backup!$A$2:$Q$468,W$525,FALSE())</f>
        <v>0</v>
      </c>
    </row>
    <row r="173" customFormat="false" ht="14.25" hidden="false" customHeight="false" outlineLevel="0" collapsed="false">
      <c r="A173" s="0" t="n">
        <v>332</v>
      </c>
      <c r="B173" s="0" t="s">
        <v>418</v>
      </c>
      <c r="C173" s="0" t="s">
        <v>313</v>
      </c>
      <c r="E173" s="0" t="n">
        <v>230610</v>
      </c>
      <c r="F173" s="0" t="n">
        <v>230610</v>
      </c>
      <c r="G173" s="0" t="n">
        <v>21910.15</v>
      </c>
      <c r="I173" s="0" t="n">
        <f aca="false">VLOOKUP($A173,content_factors_backup!$A$2:$Q$468,I$525,FALSE())</f>
        <v>90</v>
      </c>
      <c r="J173" s="0" t="n">
        <f aca="false">VLOOKUP($A173,content_factors_backup!$A$2:$Q$468,J$525,FALSE())</f>
        <v>367</v>
      </c>
      <c r="K173" s="0" t="n">
        <f aca="false">VLOOKUP($A173,content_factors_backup!$A$2:$Q$468,K$525,FALSE())</f>
        <v>49.1</v>
      </c>
      <c r="L173" s="0" t="n">
        <f aca="false">VLOOKUP($A173,content_factors_backup!$A$2:$Q$468,L$525,FALSE())</f>
        <v>0</v>
      </c>
      <c r="M173" s="0" t="n">
        <f aca="false">VLOOKUP($A173,content_factors_backup!$A$2:$Q$468,M$525,FALSE())</f>
        <v>12.32</v>
      </c>
      <c r="N173" s="0" t="n">
        <f aca="false">VLOOKUP($A173,content_factors_backup!$A$2:$Q$468,N$525,FALSE())</f>
        <v>13.35</v>
      </c>
      <c r="O173" s="0" t="n">
        <f aca="false">VLOOKUP($A173,content_factors_backup!$A$2:$Q$468,O$525,FALSE())</f>
        <v>504</v>
      </c>
      <c r="P173" s="0" t="n">
        <f aca="false">VLOOKUP($A173,content_factors_backup!$A$2:$Q$468,P$525,FALSE())</f>
        <v>242</v>
      </c>
      <c r="Q173" s="0" t="n">
        <f aca="false">VLOOKUP($A173,content_factors_backup!$A$2:$Q$468,Q$525,FALSE())</f>
        <v>0.42</v>
      </c>
      <c r="R173" s="0" t="n">
        <f aca="false">VLOOKUP($A173,content_factors_backup!$A$2:$Q$468,R$525,FALSE())</f>
        <v>0</v>
      </c>
      <c r="S173" s="0" t="n">
        <f aca="false">VLOOKUP($A173,content_factors_backup!$A$2:$Q$468,S$525,FALSE())</f>
        <v>1869</v>
      </c>
      <c r="T173" s="0" t="n">
        <f aca="false">VLOOKUP($A173,content_factors_backup!$A$2:$Q$468,T$525,FALSE())</f>
        <v>0</v>
      </c>
      <c r="U173" s="0" t="n">
        <f aca="false">VLOOKUP($A173,content_factors_backup!$A$2:$Q$468,U$525,FALSE())</f>
        <v>0</v>
      </c>
      <c r="V173" s="0" t="n">
        <f aca="false">VLOOKUP($A173,content_factors_backup!$A$2:$Q$468,V$525,FALSE())</f>
        <v>0</v>
      </c>
      <c r="W173" s="0" t="n">
        <f aca="false">VLOOKUP($A173,content_factors_backup!$A$2:$Q$468,W$525,FALSE())</f>
        <v>23</v>
      </c>
    </row>
    <row r="174" customFormat="false" ht="14.25" hidden="false" customHeight="false" outlineLevel="0" collapsed="false">
      <c r="A174" s="0" t="n">
        <v>333</v>
      </c>
      <c r="B174" s="0" t="s">
        <v>419</v>
      </c>
      <c r="C174" s="0" t="s">
        <v>420</v>
      </c>
      <c r="E174" s="0" t="n">
        <v>120400</v>
      </c>
      <c r="F174" s="0" t="n">
        <v>120400</v>
      </c>
      <c r="G174" s="0" t="n">
        <v>1441</v>
      </c>
      <c r="I174" s="0" t="n">
        <f aca="false">VLOOKUP($A174,content_factors_backup!$A$2:$Q$468,I$525,FALSE())</f>
        <v>90</v>
      </c>
      <c r="J174" s="0" t="n">
        <f aca="false">VLOOKUP($A174,content_factors_backup!$A$2:$Q$468,J$525,FALSE())</f>
        <v>534</v>
      </c>
      <c r="K174" s="0" t="n">
        <f aca="false">VLOOKUP($A174,content_factors_backup!$A$2:$Q$468,K$525,FALSE())</f>
        <v>18.29</v>
      </c>
      <c r="L174" s="0" t="n">
        <f aca="false">VLOOKUP($A174,content_factors_backup!$A$2:$Q$468,L$525,FALSE())</f>
        <v>27.3</v>
      </c>
      <c r="M174" s="0" t="n">
        <f aca="false">VLOOKUP($A174,content_factors_backup!$A$2:$Q$468,M$525,FALSE())</f>
        <v>4.34</v>
      </c>
      <c r="N174" s="0" t="n">
        <f aca="false">VLOOKUP($A174,content_factors_backup!$A$2:$Q$468,N$525,FALSE())</f>
        <v>5.73</v>
      </c>
      <c r="O174" s="0" t="n">
        <f aca="false">VLOOKUP($A174,content_factors_backup!$A$2:$Q$468,O$525,FALSE())</f>
        <v>255</v>
      </c>
      <c r="P174" s="0" t="n">
        <f aca="false">VLOOKUP($A174,content_factors_backup!$A$2:$Q$468,P$525,FALSE())</f>
        <v>87</v>
      </c>
      <c r="Q174" s="0" t="n">
        <f aca="false">VLOOKUP($A174,content_factors_backup!$A$2:$Q$468,Q$525,FALSE())</f>
        <v>0.161</v>
      </c>
      <c r="R174" s="0" t="n">
        <f aca="false">VLOOKUP($A174,content_factors_backup!$A$2:$Q$468,R$525,FALSE())</f>
        <v>78.7</v>
      </c>
      <c r="S174" s="0" t="n">
        <f aca="false">VLOOKUP($A174,content_factors_backup!$A$2:$Q$468,S$525,FALSE())</f>
        <v>813</v>
      </c>
      <c r="T174" s="0" t="n">
        <f aca="false">VLOOKUP($A174,content_factors_backup!$A$2:$Q$468,T$525,FALSE())</f>
        <v>0.31</v>
      </c>
      <c r="U174" s="0" t="n">
        <f aca="false">VLOOKUP($A174,content_factors_backup!$A$2:$Q$468,U$525,FALSE())</f>
        <v>0</v>
      </c>
      <c r="V174" s="0" t="n">
        <f aca="false">VLOOKUP($A174,content_factors_backup!$A$2:$Q$468,V$525,FALSE())</f>
        <v>4.3</v>
      </c>
      <c r="W174" s="0" t="n">
        <f aca="false">VLOOKUP($A174,content_factors_backup!$A$2:$Q$468,W$525,FALSE())</f>
        <v>0</v>
      </c>
    </row>
    <row r="175" customFormat="false" ht="14.25" hidden="false" customHeight="false" outlineLevel="0" collapsed="false">
      <c r="A175" s="0" t="n">
        <v>334</v>
      </c>
      <c r="B175" s="0" t="s">
        <v>421</v>
      </c>
      <c r="C175" s="0" t="s">
        <v>422</v>
      </c>
      <c r="E175" s="0" t="s">
        <v>423</v>
      </c>
      <c r="F175" s="0" t="s">
        <v>423</v>
      </c>
      <c r="G175" s="0" t="n">
        <v>21691.12</v>
      </c>
      <c r="I175" s="0" t="n">
        <f aca="false">VLOOKUP($A175,content_factors_backup!$A$2:$Q$468,I$525,FALSE())</f>
        <v>100</v>
      </c>
      <c r="J175" s="0" t="n">
        <f aca="false">VLOOKUP($A175,content_factors_backup!$A$2:$Q$468,J$525,FALSE())</f>
        <v>878</v>
      </c>
      <c r="K175" s="0" t="n">
        <f aca="false">VLOOKUP($A175,content_factors_backup!$A$2:$Q$468,K$525,FALSE())</f>
        <v>0.37</v>
      </c>
      <c r="L175" s="0" t="n">
        <f aca="false">VLOOKUP($A175,content_factors_backup!$A$2:$Q$468,L$525,FALSE())</f>
        <v>0</v>
      </c>
      <c r="M175" s="0" t="n">
        <f aca="false">VLOOKUP($A175,content_factors_backup!$A$2:$Q$468,M$525,FALSE())</f>
        <v>0.31</v>
      </c>
      <c r="N175" s="0" t="n">
        <f aca="false">VLOOKUP($A175,content_factors_backup!$A$2:$Q$468,N$525,FALSE())</f>
        <v>0.34</v>
      </c>
      <c r="O175" s="0" t="n">
        <f aca="false">VLOOKUP($A175,content_factors_backup!$A$2:$Q$468,O$525,FALSE())</f>
        <v>9</v>
      </c>
      <c r="P175" s="0" t="n">
        <f aca="false">VLOOKUP($A175,content_factors_backup!$A$2:$Q$468,P$525,FALSE())</f>
        <v>0</v>
      </c>
      <c r="Q175" s="0" t="n">
        <f aca="false">VLOOKUP($A175,content_factors_backup!$A$2:$Q$468,Q$525,FALSE())</f>
        <v>0</v>
      </c>
      <c r="R175" s="0" t="n">
        <f aca="false">VLOOKUP($A175,content_factors_backup!$A$2:$Q$468,R$525,FALSE())</f>
        <v>0</v>
      </c>
      <c r="S175" s="0" t="n">
        <f aca="false">VLOOKUP($A175,content_factors_backup!$A$2:$Q$468,S$525,FALSE())</f>
        <v>31</v>
      </c>
      <c r="T175" s="0" t="n">
        <f aca="false">VLOOKUP($A175,content_factors_backup!$A$2:$Q$468,T$525,FALSE())</f>
        <v>0.71</v>
      </c>
      <c r="U175" s="0" t="n">
        <f aca="false">VLOOKUP($A175,content_factors_backup!$A$2:$Q$468,U$525,FALSE())</f>
        <v>0</v>
      </c>
      <c r="V175" s="0" t="n">
        <f aca="false">VLOOKUP($A175,content_factors_backup!$A$2:$Q$468,V$525,FALSE())</f>
        <v>3.3</v>
      </c>
      <c r="W175" s="0" t="n">
        <f aca="false">VLOOKUP($A175,content_factors_backup!$A$2:$Q$468,W$525,FALSE())</f>
        <v>0</v>
      </c>
    </row>
    <row r="176" customFormat="false" ht="14.25" hidden="false" customHeight="false" outlineLevel="0" collapsed="false">
      <c r="A176" s="0" t="n">
        <v>335</v>
      </c>
      <c r="B176" s="0" t="s">
        <v>424</v>
      </c>
      <c r="C176" s="0" t="s">
        <v>313</v>
      </c>
      <c r="E176" s="0" t="n">
        <v>230620</v>
      </c>
      <c r="F176" s="0" t="n">
        <v>230620</v>
      </c>
      <c r="G176" s="0" t="n">
        <v>21910.16</v>
      </c>
      <c r="I176" s="0" t="n">
        <f aca="false">VLOOKUP($A176,content_factors_backup!$A$2:$Q$468,I$525,FALSE())</f>
        <v>90</v>
      </c>
      <c r="J176" s="0" t="n">
        <f aca="false">VLOOKUP($A176,content_factors_backup!$A$2:$Q$468,J$525,FALSE())</f>
        <v>367</v>
      </c>
      <c r="K176" s="0" t="n">
        <f aca="false">VLOOKUP($A176,content_factors_backup!$A$2:$Q$468,K$525,FALSE())</f>
        <v>49.1</v>
      </c>
      <c r="L176" s="0" t="n">
        <f aca="false">VLOOKUP($A176,content_factors_backup!$A$2:$Q$468,L$525,FALSE())</f>
        <v>0</v>
      </c>
      <c r="M176" s="0" t="n">
        <f aca="false">VLOOKUP($A176,content_factors_backup!$A$2:$Q$468,M$525,FALSE())</f>
        <v>12.32</v>
      </c>
      <c r="N176" s="0" t="n">
        <f aca="false">VLOOKUP($A176,content_factors_backup!$A$2:$Q$468,N$525,FALSE())</f>
        <v>13.35</v>
      </c>
      <c r="O176" s="0" t="n">
        <f aca="false">VLOOKUP($A176,content_factors_backup!$A$2:$Q$468,O$525,FALSE())</f>
        <v>504</v>
      </c>
      <c r="P176" s="0" t="n">
        <f aca="false">VLOOKUP($A176,content_factors_backup!$A$2:$Q$468,P$525,FALSE())</f>
        <v>242</v>
      </c>
      <c r="Q176" s="0" t="n">
        <f aca="false">VLOOKUP($A176,content_factors_backup!$A$2:$Q$468,Q$525,FALSE())</f>
        <v>0.42</v>
      </c>
      <c r="R176" s="0" t="n">
        <f aca="false">VLOOKUP($A176,content_factors_backup!$A$2:$Q$468,R$525,FALSE())</f>
        <v>0</v>
      </c>
      <c r="S176" s="0" t="n">
        <f aca="false">VLOOKUP($A176,content_factors_backup!$A$2:$Q$468,S$525,FALSE())</f>
        <v>1869</v>
      </c>
      <c r="T176" s="0" t="n">
        <f aca="false">VLOOKUP($A176,content_factors_backup!$A$2:$Q$468,T$525,FALSE())</f>
        <v>0</v>
      </c>
      <c r="U176" s="0" t="n">
        <f aca="false">VLOOKUP($A176,content_factors_backup!$A$2:$Q$468,U$525,FALSE())</f>
        <v>0</v>
      </c>
      <c r="V176" s="0" t="n">
        <f aca="false">VLOOKUP($A176,content_factors_backup!$A$2:$Q$468,V$525,FALSE())</f>
        <v>0</v>
      </c>
      <c r="W176" s="0" t="n">
        <f aca="false">VLOOKUP($A176,content_factors_backup!$A$2:$Q$468,W$525,FALSE())</f>
        <v>23</v>
      </c>
    </row>
    <row r="177" customFormat="false" ht="14.25" hidden="false" customHeight="false" outlineLevel="0" collapsed="false">
      <c r="A177" s="0" t="n">
        <v>336</v>
      </c>
      <c r="B177" s="0" t="s">
        <v>425</v>
      </c>
      <c r="C177" s="0" t="s">
        <v>426</v>
      </c>
      <c r="E177" s="0" t="n">
        <v>120799</v>
      </c>
      <c r="F177" s="0" t="n">
        <v>120799</v>
      </c>
      <c r="G177" s="0" t="n">
        <v>1449.02</v>
      </c>
      <c r="I177" s="0" t="n">
        <f aca="false">VLOOKUP($A177,content_factors_backup!$A$2:$Q$468,I$525,FALSE())</f>
        <v>95</v>
      </c>
      <c r="J177" s="0" t="n">
        <f aca="false">VLOOKUP($A177,content_factors_backup!$A$2:$Q$468,J$525,FALSE())</f>
        <v>534</v>
      </c>
      <c r="K177" s="0" t="n">
        <f aca="false">VLOOKUP($A177,content_factors_backup!$A$2:$Q$468,K$525,FALSE())</f>
        <v>18.29</v>
      </c>
      <c r="L177" s="0" t="n">
        <f aca="false">VLOOKUP($A177,content_factors_backup!$A$2:$Q$468,L$525,FALSE())</f>
        <v>27.3</v>
      </c>
      <c r="M177" s="0" t="n">
        <f aca="false">VLOOKUP($A177,content_factors_backup!$A$2:$Q$468,M$525,FALSE())</f>
        <v>4.34</v>
      </c>
      <c r="N177" s="0" t="n">
        <f aca="false">VLOOKUP($A177,content_factors_backup!$A$2:$Q$468,N$525,FALSE())</f>
        <v>5.73</v>
      </c>
      <c r="O177" s="0" t="n">
        <f aca="false">VLOOKUP($A177,content_factors_backup!$A$2:$Q$468,O$525,FALSE())</f>
        <v>255</v>
      </c>
      <c r="P177" s="0" t="n">
        <f aca="false">VLOOKUP($A177,content_factors_backup!$A$2:$Q$468,P$525,FALSE())</f>
        <v>87</v>
      </c>
      <c r="Q177" s="0" t="n">
        <f aca="false">VLOOKUP($A177,content_factors_backup!$A$2:$Q$468,Q$525,FALSE())</f>
        <v>0.161</v>
      </c>
      <c r="R177" s="0" t="n">
        <f aca="false">VLOOKUP($A177,content_factors_backup!$A$2:$Q$468,R$525,FALSE())</f>
        <v>78.7</v>
      </c>
      <c r="S177" s="0" t="n">
        <f aca="false">VLOOKUP($A177,content_factors_backup!$A$2:$Q$468,S$525,FALSE())</f>
        <v>813</v>
      </c>
      <c r="T177" s="0" t="n">
        <f aca="false">VLOOKUP($A177,content_factors_backup!$A$2:$Q$468,T$525,FALSE())</f>
        <v>0.31</v>
      </c>
      <c r="U177" s="0" t="n">
        <f aca="false">VLOOKUP($A177,content_factors_backup!$A$2:$Q$468,U$525,FALSE())</f>
        <v>0</v>
      </c>
      <c r="V177" s="0" t="n">
        <f aca="false">VLOOKUP($A177,content_factors_backup!$A$2:$Q$468,V$525,FALSE())</f>
        <v>4.3</v>
      </c>
      <c r="W177" s="0" t="n">
        <f aca="false">VLOOKUP($A177,content_factors_backup!$A$2:$Q$468,W$525,FALSE())</f>
        <v>0</v>
      </c>
    </row>
    <row r="178" customFormat="false" ht="14.25" hidden="false" customHeight="false" outlineLevel="0" collapsed="false">
      <c r="A178" s="0" t="n">
        <v>338</v>
      </c>
      <c r="B178" s="0" t="s">
        <v>427</v>
      </c>
      <c r="C178" s="0" t="s">
        <v>313</v>
      </c>
      <c r="E178" s="0" t="n">
        <v>230690</v>
      </c>
      <c r="F178" s="0" t="n">
        <v>230690</v>
      </c>
      <c r="G178" s="0" t="n">
        <v>21910.17</v>
      </c>
      <c r="I178" s="0" t="n">
        <f aca="false">VLOOKUP($A178,content_factors_backup!$A$2:$Q$468,I$525,FALSE())</f>
        <v>90</v>
      </c>
      <c r="J178" s="0" t="n">
        <f aca="false">VLOOKUP($A178,content_factors_backup!$A$2:$Q$468,J$525,FALSE())</f>
        <v>367</v>
      </c>
      <c r="K178" s="0" t="n">
        <f aca="false">VLOOKUP($A178,content_factors_backup!$A$2:$Q$468,K$525,FALSE())</f>
        <v>49.1</v>
      </c>
      <c r="L178" s="0" t="n">
        <f aca="false">VLOOKUP($A178,content_factors_backup!$A$2:$Q$468,L$525,FALSE())</f>
        <v>0</v>
      </c>
      <c r="M178" s="0" t="n">
        <f aca="false">VLOOKUP($A178,content_factors_backup!$A$2:$Q$468,M$525,FALSE())</f>
        <v>12.32</v>
      </c>
      <c r="N178" s="0" t="n">
        <f aca="false">VLOOKUP($A178,content_factors_backup!$A$2:$Q$468,N$525,FALSE())</f>
        <v>13.35</v>
      </c>
      <c r="O178" s="0" t="n">
        <f aca="false">VLOOKUP($A178,content_factors_backup!$A$2:$Q$468,O$525,FALSE())</f>
        <v>504</v>
      </c>
      <c r="P178" s="0" t="n">
        <f aca="false">VLOOKUP($A178,content_factors_backup!$A$2:$Q$468,P$525,FALSE())</f>
        <v>242</v>
      </c>
      <c r="Q178" s="0" t="n">
        <f aca="false">VLOOKUP($A178,content_factors_backup!$A$2:$Q$468,Q$525,FALSE())</f>
        <v>0.42</v>
      </c>
      <c r="R178" s="0" t="n">
        <f aca="false">VLOOKUP($A178,content_factors_backup!$A$2:$Q$468,R$525,FALSE())</f>
        <v>0</v>
      </c>
      <c r="S178" s="0" t="n">
        <f aca="false">VLOOKUP($A178,content_factors_backup!$A$2:$Q$468,S$525,FALSE())</f>
        <v>1869</v>
      </c>
      <c r="T178" s="0" t="n">
        <f aca="false">VLOOKUP($A178,content_factors_backup!$A$2:$Q$468,T$525,FALSE())</f>
        <v>0</v>
      </c>
      <c r="U178" s="0" t="n">
        <f aca="false">VLOOKUP($A178,content_factors_backup!$A$2:$Q$468,U$525,FALSE())</f>
        <v>0</v>
      </c>
      <c r="V178" s="0" t="n">
        <f aca="false">VLOOKUP($A178,content_factors_backup!$A$2:$Q$468,V$525,FALSE())</f>
        <v>0</v>
      </c>
      <c r="W178" s="0" t="n">
        <f aca="false">VLOOKUP($A178,content_factors_backup!$A$2:$Q$468,W$525,FALSE())</f>
        <v>23</v>
      </c>
    </row>
    <row r="179" customFormat="false" ht="14.25" hidden="false" customHeight="false" outlineLevel="0" collapsed="false">
      <c r="A179" s="0" t="n">
        <v>339</v>
      </c>
      <c r="B179" s="0" t="s">
        <v>428</v>
      </c>
      <c r="C179" s="0" t="s">
        <v>429</v>
      </c>
      <c r="E179" s="0" t="n">
        <v>120799</v>
      </c>
      <c r="F179" s="0" t="n">
        <v>120799</v>
      </c>
      <c r="G179" s="0" t="n">
        <v>1449.9</v>
      </c>
      <c r="I179" s="0" t="n">
        <f aca="false">VLOOKUP($A179,content_factors_backup!$A$2:$Q$468,I$525,FALSE())</f>
        <v>90</v>
      </c>
      <c r="J179" s="0" t="n">
        <f aca="false">VLOOKUP($A179,content_factors_backup!$A$2:$Q$468,J$525,FALSE())</f>
        <v>576</v>
      </c>
      <c r="K179" s="0" t="n">
        <f aca="false">VLOOKUP($A179,content_factors_backup!$A$2:$Q$468,K$525,FALSE())</f>
        <v>6.2</v>
      </c>
      <c r="L179" s="0" t="n">
        <f aca="false">VLOOKUP($A179,content_factors_backup!$A$2:$Q$468,L$525,FALSE())</f>
        <v>0</v>
      </c>
      <c r="M179" s="0" t="n">
        <f aca="false">VLOOKUP($A179,content_factors_backup!$A$2:$Q$468,M$525,FALSE())</f>
        <v>0.36</v>
      </c>
      <c r="N179" s="0" t="n">
        <f aca="false">VLOOKUP($A179,content_factors_backup!$A$2:$Q$468,N$525,FALSE())</f>
        <v>2.46</v>
      </c>
      <c r="O179" s="0" t="n">
        <f aca="false">VLOOKUP($A179,content_factors_backup!$A$2:$Q$468,O$525,FALSE())</f>
        <v>1</v>
      </c>
      <c r="P179" s="0" t="n">
        <f aca="false">VLOOKUP($A179,content_factors_backup!$A$2:$Q$468,P$525,FALSE())</f>
        <v>113</v>
      </c>
      <c r="Q179" s="0" t="n">
        <f aca="false">VLOOKUP($A179,content_factors_backup!$A$2:$Q$468,Q$525,FALSE())</f>
        <v>0.371</v>
      </c>
      <c r="R179" s="0" t="n">
        <f aca="false">VLOOKUP($A179,content_factors_backup!$A$2:$Q$468,R$525,FALSE())</f>
        <v>0</v>
      </c>
      <c r="S179" s="0" t="n">
        <f aca="false">VLOOKUP($A179,content_factors_backup!$A$2:$Q$468,S$525,FALSE())</f>
        <v>1017</v>
      </c>
      <c r="T179" s="0" t="n">
        <f aca="false">VLOOKUP($A179,content_factors_backup!$A$2:$Q$468,T$525,FALSE())</f>
        <v>0</v>
      </c>
      <c r="U179" s="0" t="n">
        <f aca="false">VLOOKUP($A179,content_factors_backup!$A$2:$Q$468,U$525,FALSE())</f>
        <v>0</v>
      </c>
      <c r="V179" s="0" t="n">
        <f aca="false">VLOOKUP($A179,content_factors_backup!$A$2:$Q$468,V$525,FALSE())</f>
        <v>0</v>
      </c>
      <c r="W179" s="0" t="n">
        <f aca="false">VLOOKUP($A179,content_factors_backup!$A$2:$Q$468,W$525,FALSE())</f>
        <v>0</v>
      </c>
    </row>
    <row r="180" customFormat="false" ht="14.25" hidden="false" customHeight="false" outlineLevel="0" collapsed="false">
      <c r="A180" s="0" t="n">
        <v>340</v>
      </c>
      <c r="B180" s="0" t="s">
        <v>430</v>
      </c>
      <c r="C180" s="0" t="s">
        <v>431</v>
      </c>
      <c r="E180" s="0" t="s">
        <v>432</v>
      </c>
      <c r="F180" s="0" t="s">
        <v>432</v>
      </c>
      <c r="G180" s="0" t="n">
        <v>21691.9</v>
      </c>
      <c r="I180" s="0" t="n">
        <f aca="false">VLOOKUP($A180,content_factors_backup!$A$2:$Q$468,I$525,FALSE())</f>
        <v>100</v>
      </c>
      <c r="J180" s="0" t="n">
        <f aca="false">VLOOKUP($A180,content_factors_backup!$A$2:$Q$468,J$525,FALSE())</f>
        <v>899</v>
      </c>
      <c r="K180" s="0" t="n">
        <f aca="false">VLOOKUP($A180,content_factors_backup!$A$2:$Q$468,K$525,FALSE())</f>
        <v>0</v>
      </c>
      <c r="L180" s="0" t="n">
        <f aca="false">VLOOKUP($A180,content_factors_backup!$A$2:$Q$468,L$525,FALSE())</f>
        <v>0</v>
      </c>
      <c r="M180" s="0" t="n">
        <f aca="false">VLOOKUP($A180,content_factors_backup!$A$2:$Q$468,M$525,FALSE())</f>
        <v>0</v>
      </c>
      <c r="N180" s="0" t="n">
        <f aca="false">VLOOKUP($A180,content_factors_backup!$A$2:$Q$468,N$525,FALSE())</f>
        <v>0</v>
      </c>
      <c r="O180" s="0" t="n">
        <f aca="false">VLOOKUP($A180,content_factors_backup!$A$2:$Q$468,O$525,FALSE())</f>
        <v>0</v>
      </c>
      <c r="P180" s="0" t="n">
        <f aca="false">VLOOKUP($A180,content_factors_backup!$A$2:$Q$468,P$525,FALSE())</f>
        <v>0</v>
      </c>
      <c r="Q180" s="0" t="n">
        <f aca="false">VLOOKUP($A180,content_factors_backup!$A$2:$Q$468,Q$525,FALSE())</f>
        <v>0</v>
      </c>
      <c r="R180" s="0" t="n">
        <f aca="false">VLOOKUP($A180,content_factors_backup!$A$2:$Q$468,R$525,FALSE())</f>
        <v>0.3</v>
      </c>
      <c r="S180" s="0" t="n">
        <f aca="false">VLOOKUP($A180,content_factors_backup!$A$2:$Q$468,S$525,FALSE())</f>
        <v>0</v>
      </c>
      <c r="T180" s="0" t="n">
        <f aca="false">VLOOKUP($A180,content_factors_backup!$A$2:$Q$468,T$525,FALSE())</f>
        <v>7.75351004439155</v>
      </c>
      <c r="U180" s="0" t="n">
        <f aca="false">VLOOKUP($A180,content_factors_backup!$A$2:$Q$468,U$525,FALSE())</f>
        <v>0.0408203396170381</v>
      </c>
      <c r="V180" s="0" t="n">
        <f aca="false">VLOOKUP($A180,content_factors_backup!$A$2:$Q$468,V$525,FALSE())</f>
        <v>78.0699107464911</v>
      </c>
      <c r="W180" s="0" t="n">
        <f aca="false">VLOOKUP($A180,content_factors_backup!$A$2:$Q$468,W$525,FALSE())</f>
        <v>0</v>
      </c>
    </row>
    <row r="181" customFormat="false" ht="14.25" hidden="false" customHeight="false" outlineLevel="0" collapsed="false">
      <c r="A181" s="0" t="n">
        <v>358</v>
      </c>
      <c r="B181" s="0" t="s">
        <v>433</v>
      </c>
      <c r="C181" s="0" t="s">
        <v>434</v>
      </c>
      <c r="E181" s="0" t="s">
        <v>435</v>
      </c>
      <c r="F181" s="0" t="s">
        <v>435</v>
      </c>
      <c r="G181" s="0" t="n">
        <v>1212</v>
      </c>
      <c r="I181" s="0" t="n">
        <f aca="false">VLOOKUP($A181,content_factors_backup!$A$2:$Q$468,I$525,FALSE())</f>
        <v>8</v>
      </c>
      <c r="J181" s="0" t="n">
        <f aca="false">'[1]Nutrient content per 100 grams'!D2</f>
        <v>22.4</v>
      </c>
      <c r="K181" s="0" t="n">
        <f aca="false">'[1]Nutrient content per 100 grams'!E2</f>
        <v>1.482</v>
      </c>
      <c r="L181" s="0" t="n">
        <f aca="false">'[1]Nutrient content per 100 grams'!F2</f>
        <v>1.98</v>
      </c>
      <c r="M181" s="0" t="n">
        <f aca="false">'[1]Nutrient content per 100 grams'!G2</f>
        <v>0.218</v>
      </c>
      <c r="N181" s="0" t="n">
        <f aca="false">'[1]Nutrient content per 100 grams'!H2</f>
        <v>0.556</v>
      </c>
      <c r="O181" s="0" t="n">
        <f aca="false">'[1]Nutrient content per 100 grams'!I2</f>
        <v>60.4</v>
      </c>
      <c r="P181" s="0" t="n">
        <f aca="false">'[1]Nutrient content per 100 grams'!J2</f>
        <v>57.2</v>
      </c>
      <c r="Q181" s="0" t="n">
        <f aca="false">'[1]Nutrient content per 100 grams'!K2</f>
        <v>0.0518</v>
      </c>
      <c r="R181" s="0" t="n">
        <f aca="false">'[1]Nutrient content per 100 grams'!L2</f>
        <v>10.82</v>
      </c>
      <c r="S181" s="0" t="n">
        <f aca="false">'[1]Nutrient content per 100 grams'!M2</f>
        <v>226.6</v>
      </c>
      <c r="T181" s="0" t="n">
        <f aca="false">'[1]Nutrient content per 100 grams'!N2</f>
        <v>0.128</v>
      </c>
      <c r="U181" s="0" t="n">
        <f aca="false">'[1]Nutrient content per 100 grams'!O2</f>
        <v>54.28</v>
      </c>
      <c r="V181" s="0" t="n">
        <f aca="false">'[1]Nutrient content per 100 grams'!P2</f>
        <v>70</v>
      </c>
      <c r="W181" s="0" t="n">
        <f aca="false">'[1]Nutrient content per 100 grams'!Q2</f>
        <v>17.6</v>
      </c>
      <c r="X181" s="0" t="n">
        <f aca="false">'[1]Nutrient content per 100 grams'!R2</f>
        <v>32.8</v>
      </c>
      <c r="Y181" s="0" t="n">
        <f aca="false">'[1]Nutrient content per 100 grams'!S2</f>
        <v>0.031</v>
      </c>
      <c r="Z181" s="0" t="n">
        <f aca="false">'[1]Nutrient content per 100 grams'!T2</f>
        <v>0.1864</v>
      </c>
      <c r="AA181" s="0" t="n">
        <f aca="false">'[1]Nutrient content per 100 grams'!U2</f>
        <v>0.58</v>
      </c>
      <c r="AB181" s="0" t="n">
        <f aca="false">'[1]Nutrient content per 100 grams'!V2</f>
        <v>39.32</v>
      </c>
      <c r="AC181" s="0" t="n">
        <f aca="false">'[1]Nutrient content per 100 grams'!W2</f>
        <v>0.055</v>
      </c>
      <c r="AD181" s="0" t="n">
        <f aca="false">'[1]Nutrient content per 100 grams'!X2</f>
        <v>0.3704</v>
      </c>
      <c r="AE181" s="0" t="n">
        <f aca="false">'[1]Nutrient content per 100 grams'!Y2</f>
        <v>0.1478</v>
      </c>
      <c r="AF181" s="0" t="n">
        <f aca="false">'[1]Nutrient content per 100 grams'!Z2</f>
        <v>0.1898</v>
      </c>
      <c r="AG181" s="0" t="n">
        <f aca="false">'[1]Nutrient content per 100 grams'!AA2</f>
        <v>0.0628</v>
      </c>
    </row>
    <row r="182" customFormat="false" ht="14.25" hidden="false" customHeight="false" outlineLevel="0" collapsed="false">
      <c r="A182" s="0" t="n">
        <v>366</v>
      </c>
      <c r="B182" s="0" t="s">
        <v>436</v>
      </c>
      <c r="C182" s="0" t="s">
        <v>437</v>
      </c>
      <c r="E182" s="0" t="n">
        <v>70990</v>
      </c>
      <c r="F182" s="0" t="n">
        <v>70991</v>
      </c>
      <c r="G182" s="0" t="n">
        <v>1216</v>
      </c>
      <c r="I182" s="0" t="n">
        <f aca="false">VLOOKUP($A182,content_factors_backup!$A$2:$Q$468,I$525,FALSE())</f>
        <v>15</v>
      </c>
      <c r="J182" s="0" t="n">
        <f aca="false">'[1]Nutrient content per 100 grams'!D3</f>
        <v>47</v>
      </c>
      <c r="K182" s="0" t="n">
        <f aca="false">'[1]Nutrient content per 100 grams'!E3</f>
        <v>3.27</v>
      </c>
      <c r="L182" s="0" t="n">
        <f aca="false">'[1]Nutrient content per 100 grams'!F3</f>
        <v>5.4</v>
      </c>
      <c r="M182" s="0" t="n">
        <f aca="false">'[1]Nutrient content per 100 grams'!G3</f>
        <v>0.49</v>
      </c>
      <c r="N182" s="0" t="n">
        <f aca="false">'[1]Nutrient content per 100 grams'!H3</f>
        <v>1.28</v>
      </c>
      <c r="O182" s="0" t="n">
        <f aca="false">'[1]Nutrient content per 100 grams'!I3</f>
        <v>44</v>
      </c>
      <c r="P182" s="0" t="n">
        <f aca="false">'[1]Nutrient content per 100 grams'!J3</f>
        <v>68</v>
      </c>
      <c r="Q182" s="0" t="n">
        <f aca="false">'[1]Nutrient content per 100 grams'!K3</f>
        <v>0.066</v>
      </c>
      <c r="R182" s="0" t="n">
        <f aca="false">'[1]Nutrient content per 100 grams'!L3</f>
        <v>34.4</v>
      </c>
      <c r="S182" s="0" t="n">
        <f aca="false">'[1]Nutrient content per 100 grams'!M3</f>
        <v>370</v>
      </c>
      <c r="T182" s="0" t="n">
        <f aca="false">'[1]Nutrient content per 100 grams'!N3</f>
        <v>0.19</v>
      </c>
      <c r="U182" s="0" t="n">
        <f aca="false">'[1]Nutrient content per 100 grams'!O3</f>
        <v>14.8</v>
      </c>
      <c r="V182" s="0" t="n">
        <f aca="false">'[1]Nutrient content per 100 grams'!P3</f>
        <v>1</v>
      </c>
      <c r="W182" s="0" t="n">
        <f aca="false">'[1]Nutrient content per 100 grams'!Q3</f>
        <v>60</v>
      </c>
      <c r="X182" s="0" t="n">
        <f aca="false">'[1]Nutrient content per 100 grams'!R3</f>
        <v>90</v>
      </c>
      <c r="Y182" s="0" t="n">
        <f aca="false">'[1]Nutrient content per 100 grams'!S3</f>
        <v>0.231</v>
      </c>
      <c r="Z182" s="0" t="n">
        <f aca="false">'[1]Nutrient content per 100 grams'!T3</f>
        <v>0.256</v>
      </c>
      <c r="AA182" s="0" t="n">
        <f aca="false">'[1]Nutrient content per 100 grams'!U3</f>
        <v>0.2</v>
      </c>
      <c r="AB182" s="0" t="n">
        <f aca="false">'[1]Nutrient content per 100 grams'!V3</f>
        <v>11.7</v>
      </c>
      <c r="AC182" s="0" t="n">
        <f aca="false">'[1]Nutrient content per 100 grams'!W3</f>
        <v>0.072</v>
      </c>
      <c r="AD182" s="0" t="n">
        <f aca="false">'[1]Nutrient content per 100 grams'!X3</f>
        <v>1.046</v>
      </c>
      <c r="AE182" s="0" t="n">
        <f aca="false">'[1]Nutrient content per 100 grams'!Y3</f>
        <v>0.338</v>
      </c>
      <c r="AF182" s="0" t="n">
        <f aca="false">'[1]Nutrient content per 100 grams'!Z3</f>
        <v>0.116</v>
      </c>
      <c r="AG182" s="0" t="n">
        <f aca="false">'[1]Nutrient content per 100 grams'!AA3</f>
        <v>0.064</v>
      </c>
    </row>
    <row r="183" customFormat="false" ht="14.25" hidden="false" customHeight="false" outlineLevel="0" collapsed="false">
      <c r="A183" s="0" t="n">
        <v>367</v>
      </c>
      <c r="B183" s="0" t="s">
        <v>438</v>
      </c>
      <c r="C183" s="0" t="s">
        <v>439</v>
      </c>
      <c r="E183" s="0" t="n">
        <v>70920</v>
      </c>
      <c r="F183" s="0" t="n">
        <v>70920</v>
      </c>
      <c r="G183" s="0" t="n">
        <v>1211</v>
      </c>
      <c r="I183" s="0" t="n">
        <f aca="false">VLOOKUP($A183,content_factors_backup!$A$2:$Q$468,I$525,FALSE())</f>
        <v>8</v>
      </c>
      <c r="J183" s="0" t="n">
        <f aca="false">'[1]Nutrient content per 100 grams'!D4</f>
        <v>20</v>
      </c>
      <c r="K183" s="0" t="n">
        <f aca="false">'[1]Nutrient content per 100 grams'!E4</f>
        <v>2.2</v>
      </c>
      <c r="L183" s="0" t="n">
        <f aca="false">'[1]Nutrient content per 100 grams'!F4</f>
        <v>2.1</v>
      </c>
      <c r="M183" s="0" t="n">
        <f aca="false">'[1]Nutrient content per 100 grams'!G4</f>
        <v>0.54</v>
      </c>
      <c r="N183" s="0" t="n">
        <f aca="false">'[1]Nutrient content per 100 grams'!H4</f>
        <v>2.14</v>
      </c>
      <c r="O183" s="0" t="n">
        <f aca="false">'[1]Nutrient content per 100 grams'!I4</f>
        <v>24</v>
      </c>
      <c r="P183" s="0" t="n">
        <f aca="false">'[1]Nutrient content per 100 grams'!J4</f>
        <v>52</v>
      </c>
      <c r="Q183" s="0" t="n">
        <f aca="false">'[1]Nutrient content per 100 grams'!K4</f>
        <v>0.141</v>
      </c>
      <c r="R183" s="0" t="n">
        <f aca="false">'[1]Nutrient content per 100 grams'!L4</f>
        <v>16</v>
      </c>
      <c r="S183" s="0" t="n">
        <f aca="false">'[1]Nutrient content per 100 grams'!M4</f>
        <v>202</v>
      </c>
      <c r="T183" s="0" t="n">
        <f aca="false">'[1]Nutrient content per 100 grams'!N4</f>
        <v>1.13</v>
      </c>
      <c r="U183" s="0" t="n">
        <f aca="false">'[1]Nutrient content per 100 grams'!O4</f>
        <v>41.6</v>
      </c>
      <c r="V183" s="0" t="n">
        <f aca="false">'[1]Nutrient content per 100 grams'!P4</f>
        <v>38</v>
      </c>
      <c r="W183" s="0" t="n">
        <f aca="false">'[1]Nutrient content per 100 grams'!Q4</f>
        <v>14</v>
      </c>
      <c r="X183" s="0" t="n">
        <f aca="false">'[1]Nutrient content per 100 grams'!R4</f>
        <v>52</v>
      </c>
      <c r="Y183" s="0" t="n">
        <f aca="false">'[1]Nutrient content per 100 grams'!S4</f>
        <v>0.189</v>
      </c>
      <c r="Z183" s="0" t="n">
        <f aca="false">'[1]Nutrient content per 100 grams'!T4</f>
        <v>0.158</v>
      </c>
      <c r="AA183" s="0" t="n">
        <f aca="false">'[1]Nutrient content per 100 grams'!U4</f>
        <v>2.3</v>
      </c>
      <c r="AB183" s="0" t="n">
        <f aca="false">'[1]Nutrient content per 100 grams'!V4</f>
        <v>5.6</v>
      </c>
      <c r="AC183" s="0" t="n">
        <f aca="false">'[1]Nutrient content per 100 grams'!W4</f>
        <v>0.143</v>
      </c>
      <c r="AD183" s="0" t="n">
        <f aca="false">'[1]Nutrient content per 100 grams'!X4</f>
        <v>0.978</v>
      </c>
      <c r="AE183" s="0" t="n">
        <f aca="false">'[1]Nutrient content per 100 grams'!Y4</f>
        <v>0.274</v>
      </c>
      <c r="AF183" s="0" t="n">
        <f aca="false">'[1]Nutrient content per 100 grams'!Z4</f>
        <v>0.091</v>
      </c>
      <c r="AG183" s="0" t="n">
        <f aca="false">'[1]Nutrient content per 100 grams'!AA4</f>
        <v>0.05</v>
      </c>
    </row>
    <row r="184" customFormat="false" ht="14.25" hidden="false" customHeight="false" outlineLevel="0" collapsed="false">
      <c r="A184" s="0" t="n">
        <v>372</v>
      </c>
      <c r="B184" s="0" t="s">
        <v>440</v>
      </c>
      <c r="C184" s="0" t="s">
        <v>441</v>
      </c>
      <c r="E184" s="0" t="s">
        <v>442</v>
      </c>
      <c r="F184" s="0" t="s">
        <v>442</v>
      </c>
      <c r="G184" s="0" t="n">
        <v>1214</v>
      </c>
      <c r="I184" s="0" t="n">
        <f aca="false">VLOOKUP($A184,content_factors_backup!$A$2:$Q$468,I$525,FALSE())</f>
        <v>5</v>
      </c>
      <c r="J184" s="0" t="n">
        <f aca="false">'[1]Nutrient content per 100 grams'!D5</f>
        <v>15</v>
      </c>
      <c r="K184" s="0" t="n">
        <f aca="false">'[1]Nutrient content per 100 grams'!E5</f>
        <v>1.234</v>
      </c>
      <c r="L184" s="0" t="n">
        <f aca="false">'[1]Nutrient content per 100 grams'!F5</f>
        <v>1.32</v>
      </c>
      <c r="M184" s="0" t="n">
        <f aca="false">'[1]Nutrient content per 100 grams'!G5</f>
        <v>0.192</v>
      </c>
      <c r="N184" s="0" t="n">
        <f aca="false">'[1]Nutrient content per 100 grams'!H5</f>
        <v>0.936</v>
      </c>
      <c r="O184" s="0" t="n">
        <f aca="false">'[1]Nutrient content per 100 grams'!I5</f>
        <v>31</v>
      </c>
      <c r="P184" s="0" t="n">
        <f aca="false">'[1]Nutrient content per 100 grams'!J5</f>
        <v>62.4</v>
      </c>
      <c r="Q184" s="0" t="n">
        <f aca="false">'[1]Nutrient content per 100 grams'!K5</f>
        <v>0.0622</v>
      </c>
      <c r="R184" s="0" t="n">
        <f aca="false">'[1]Nutrient content per 100 grams'!L5</f>
        <v>10.08</v>
      </c>
      <c r="S184" s="0" t="n">
        <f aca="false">'[1]Nutrient content per 100 grams'!M5</f>
        <v>201.4</v>
      </c>
      <c r="T184" s="0" t="n">
        <f aca="false">'[1]Nutrient content per 100 grams'!N5</f>
        <v>0.172</v>
      </c>
      <c r="U184" s="0" t="n">
        <f aca="false">'[1]Nutrient content per 100 grams'!O5</f>
        <v>99.1</v>
      </c>
      <c r="V184" s="0" t="n">
        <f aca="false">'[1]Nutrient content per 100 grams'!P5</f>
        <v>274.4</v>
      </c>
      <c r="W184" s="0" t="n">
        <f aca="false">'[1]Nutrient content per 100 grams'!Q5</f>
        <v>11.8</v>
      </c>
      <c r="X184" s="0" t="n">
        <f aca="false">'[1]Nutrient content per 100 grams'!R5</f>
        <v>28</v>
      </c>
      <c r="Y184" s="0" t="n">
        <f aca="false">'[1]Nutrient content per 100 grams'!S5</f>
        <v>0.0292</v>
      </c>
      <c r="Z184" s="0" t="n">
        <f aca="false">'[1]Nutrient content per 100 grams'!T5</f>
        <v>0.1824</v>
      </c>
      <c r="AA184" s="0" t="n">
        <f aca="false">'[1]Nutrient content per 100 grams'!U5</f>
        <v>0.64</v>
      </c>
      <c r="AB184" s="0" t="n">
        <f aca="false">'[1]Nutrient content per 100 grams'!V5</f>
        <v>4.68</v>
      </c>
      <c r="AC184" s="0" t="n">
        <f aca="false">'[1]Nutrient content per 100 grams'!W5</f>
        <v>0.0608</v>
      </c>
      <c r="AD184" s="0" t="n">
        <f aca="false">'[1]Nutrient content per 100 grams'!X5</f>
        <v>0.2978</v>
      </c>
      <c r="AE184" s="0" t="n">
        <f aca="false">'[1]Nutrient content per 100 grams'!Y5</f>
        <v>0.1322</v>
      </c>
      <c r="AF184" s="0" t="n">
        <f aca="false">'[1]Nutrient content per 100 grams'!Z5</f>
        <v>0.0776</v>
      </c>
      <c r="AG184" s="0" t="n">
        <f aca="false">'[1]Nutrient content per 100 grams'!AA5</f>
        <v>0.101</v>
      </c>
    </row>
    <row r="185" customFormat="false" ht="14.25" hidden="false" customHeight="false" outlineLevel="0" collapsed="false">
      <c r="A185" s="0" t="n">
        <v>373</v>
      </c>
      <c r="B185" s="0" t="s">
        <v>443</v>
      </c>
      <c r="C185" s="0" t="s">
        <v>444</v>
      </c>
      <c r="E185" s="0" t="n">
        <v>70970</v>
      </c>
      <c r="F185" s="0" t="n">
        <v>70970</v>
      </c>
      <c r="G185" s="0" t="n">
        <v>1215</v>
      </c>
      <c r="I185" s="0" t="n">
        <f aca="false">VLOOKUP($A185,content_factors_backup!$A$2:$Q$468,I$525,FALSE())</f>
        <v>10</v>
      </c>
      <c r="J185" s="0" t="n">
        <f aca="false">'[1]Nutrient content per 100 grams'!D6</f>
        <v>18.5</v>
      </c>
      <c r="K185" s="0" t="n">
        <f aca="false">'[1]Nutrient content per 100 grams'!E6</f>
        <v>2.18</v>
      </c>
      <c r="L185" s="0" t="n">
        <f aca="false">'[1]Nutrient content per 100 grams'!F6</f>
        <v>1.85</v>
      </c>
      <c r="M185" s="0" t="n">
        <f aca="false">'[1]Nutrient content per 100 grams'!G6</f>
        <v>0.455</v>
      </c>
      <c r="N185" s="0" t="n">
        <f aca="false">'[1]Nutrient content per 100 grams'!H6</f>
        <v>1.755</v>
      </c>
      <c r="O185" s="0" t="n">
        <f aca="false">'[1]Nutrient content per 100 grams'!I6</f>
        <v>78.5</v>
      </c>
      <c r="P185" s="0" t="n">
        <f aca="false">'[1]Nutrient content per 100 grams'!J6</f>
        <v>104.5</v>
      </c>
      <c r="Q185" s="0" t="n">
        <f aca="false">'[1]Nutrient content per 100 grams'!K6</f>
        <v>0.1595</v>
      </c>
      <c r="R185" s="0" t="n">
        <f aca="false">'[1]Nutrient content per 100 grams'!L6</f>
        <v>19.3</v>
      </c>
      <c r="S185" s="0" t="n">
        <f aca="false">'[1]Nutrient content per 100 grams'!M6</f>
        <v>344</v>
      </c>
      <c r="T185" s="0" t="n">
        <f aca="false">'[1]Nutrient content per 100 grams'!N6</f>
        <v>1.725</v>
      </c>
      <c r="U185" s="0" t="n">
        <f aca="false">'[1]Nutrient content per 100 grams'!O6</f>
        <v>409.95</v>
      </c>
      <c r="V185" s="0" t="n">
        <f aca="false">'[1]Nutrient content per 100 grams'!P6</f>
        <v>469</v>
      </c>
      <c r="W185" s="0" t="n">
        <f aca="false">'[1]Nutrient content per 100 grams'!Q6</f>
        <v>59</v>
      </c>
      <c r="X185" s="0" t="n">
        <f aca="false">'[1]Nutrient content per 100 grams'!R6</f>
        <v>38.5</v>
      </c>
      <c r="Y185" s="0" t="n">
        <f aca="false">'[1]Nutrient content per 100 grams'!S6</f>
        <v>0.1115</v>
      </c>
      <c r="Z185" s="0" t="n">
        <f aca="false">'[1]Nutrient content per 100 grams'!T6</f>
        <v>0.768</v>
      </c>
      <c r="AA185" s="0" t="n">
        <f aca="false">'[1]Nutrient content per 100 grams'!U6</f>
        <v>0.85</v>
      </c>
      <c r="AB185" s="0" t="n">
        <f aca="false">'[1]Nutrient content per 100 grams'!V6</f>
        <v>29.05</v>
      </c>
      <c r="AC185" s="0" t="n">
        <f aca="false">'[1]Nutrient content per 100 grams'!W6</f>
        <v>0.059</v>
      </c>
      <c r="AD185" s="0" t="n">
        <f aca="false">'[1]Nutrient content per 100 grams'!X6</f>
        <v>0.612</v>
      </c>
      <c r="AE185" s="0" t="n">
        <f aca="false">'[1]Nutrient content per 100 grams'!Y6</f>
        <v>0.1885</v>
      </c>
      <c r="AF185" s="0" t="n">
        <f aca="false">'[1]Nutrient content per 100 grams'!Z6</f>
        <v>0.2495</v>
      </c>
      <c r="AG185" s="0" t="n">
        <f aca="false">'[1]Nutrient content per 100 grams'!AA6</f>
        <v>0.1245</v>
      </c>
    </row>
    <row r="186" customFormat="false" ht="14.25" hidden="false" customHeight="false" outlineLevel="0" collapsed="false">
      <c r="A186" s="0" t="n">
        <v>378</v>
      </c>
      <c r="B186" s="0" t="s">
        <v>445</v>
      </c>
      <c r="C186" s="0" t="s">
        <v>446</v>
      </c>
      <c r="E186" s="0" t="n">
        <v>70990</v>
      </c>
      <c r="F186" s="0" t="n">
        <v>70999</v>
      </c>
      <c r="G186" s="0" t="n">
        <v>1219.01</v>
      </c>
      <c r="I186" s="0" t="n">
        <f aca="false">VLOOKUP($A186,content_factors_backup!$A$2:$Q$468,I$525,FALSE())</f>
        <v>50</v>
      </c>
      <c r="J186" s="0" t="n">
        <f aca="false">'[1]Nutrient content per 100 grams'!D7</f>
        <v>160</v>
      </c>
      <c r="K186" s="0" t="n">
        <f aca="false">'[1]Nutrient content per 100 grams'!E7</f>
        <v>1.36</v>
      </c>
      <c r="L186" s="0" t="n">
        <f aca="false">'[1]Nutrient content per 100 grams'!F7</f>
        <v>1.8</v>
      </c>
      <c r="M186" s="0" t="n">
        <f aca="false">'[1]Nutrient content per 100 grams'!G7</f>
        <v>0.34</v>
      </c>
      <c r="N186" s="0" t="n">
        <f aca="false">'[1]Nutrient content per 100 grams'!H7</f>
        <v>0.27</v>
      </c>
      <c r="O186" s="0" t="n">
        <f aca="false">'[1]Nutrient content per 100 grams'!I7</f>
        <v>16</v>
      </c>
      <c r="P186" s="0" t="n">
        <f aca="false">'[1]Nutrient content per 100 grams'!J7</f>
        <v>27</v>
      </c>
      <c r="Q186" s="0" t="n">
        <f aca="false">'[1]Nutrient content per 100 grams'!K7</f>
        <v>0.048</v>
      </c>
      <c r="R186" s="0" t="n">
        <f aca="false">'[1]Nutrient content per 100 grams'!L7</f>
        <v>23.7</v>
      </c>
      <c r="S186" s="0" t="n">
        <f aca="false">'[1]Nutrient content per 100 grams'!M7</f>
        <v>271</v>
      </c>
      <c r="T186" s="0" t="n">
        <f aca="false">'[1]Nutrient content per 100 grams'!N7</f>
        <v>0.19</v>
      </c>
      <c r="U186" s="0" t="n">
        <f aca="false">'[1]Nutrient content per 100 grams'!O7</f>
        <v>1.9</v>
      </c>
      <c r="V186" s="0" t="n">
        <f aca="false">'[1]Nutrient content per 100 grams'!P7</f>
        <v>1</v>
      </c>
      <c r="W186" s="0" t="n">
        <f aca="false">'[1]Nutrient content per 100 grams'!Q7</f>
        <v>21</v>
      </c>
      <c r="X186" s="0" t="n">
        <f aca="false">'[1]Nutrient content per 100 grams'!R7</f>
        <v>27</v>
      </c>
      <c r="Y186" s="0" t="n">
        <f aca="false">'[1]Nutrient content per 100 grams'!S7</f>
        <v>0.1</v>
      </c>
      <c r="Z186" s="0" t="n">
        <f aca="false">'[1]Nutrient content per 100 grams'!T7</f>
        <v>0.384</v>
      </c>
      <c r="AA186" s="0" t="n">
        <f aca="false">'[1]Nutrient content per 100 grams'!U7</f>
        <v>0.7</v>
      </c>
      <c r="AB186" s="0" t="n">
        <f aca="false">'[1]Nutrient content per 100 grams'!V7</f>
        <v>20.6</v>
      </c>
      <c r="AC186" s="0" t="n">
        <f aca="false">'[1]Nutrient content per 100 grams'!W7</f>
        <v>0.087</v>
      </c>
      <c r="AD186" s="0" t="n">
        <f aca="false">'[1]Nutrient content per 100 grams'!X7</f>
        <v>0.854</v>
      </c>
      <c r="AE186" s="0" t="n">
        <f aca="false">'[1]Nutrient content per 100 grams'!Y7</f>
        <v>0.107</v>
      </c>
      <c r="AF186" s="0" t="n">
        <f aca="false">'[1]Nutrient content per 100 grams'!Z7</f>
        <v>0.088</v>
      </c>
      <c r="AG186" s="0" t="n">
        <f aca="false">'[1]Nutrient content per 100 grams'!AA7</f>
        <v>0.048</v>
      </c>
    </row>
    <row r="187" customFormat="false" ht="14.25" hidden="false" customHeight="false" outlineLevel="0" collapsed="false">
      <c r="A187" s="0" t="n">
        <v>388</v>
      </c>
      <c r="B187" s="0" t="s">
        <v>447</v>
      </c>
      <c r="C187" s="0" t="s">
        <v>448</v>
      </c>
      <c r="E187" s="0" t="n">
        <v>70200</v>
      </c>
      <c r="F187" s="0" t="n">
        <v>70200</v>
      </c>
      <c r="G187" s="0" t="n">
        <v>1234</v>
      </c>
      <c r="I187" s="0" t="n">
        <f aca="false">VLOOKUP($A187,content_factors_backup!$A$2:$Q$468,I$525,FALSE())</f>
        <v>6.00000000000001</v>
      </c>
      <c r="J187" s="0" t="n">
        <f aca="false">'[1]Nutrient content per 100 grams'!D8</f>
        <v>18</v>
      </c>
      <c r="K187" s="0" t="n">
        <f aca="false">'[1]Nutrient content per 100 grams'!E8</f>
        <v>0.88</v>
      </c>
      <c r="L187" s="0" t="n">
        <f aca="false">'[1]Nutrient content per 100 grams'!F8</f>
        <v>1.2</v>
      </c>
      <c r="M187" s="0" t="n">
        <f aca="false">'[1]Nutrient content per 100 grams'!G8</f>
        <v>0.17</v>
      </c>
      <c r="N187" s="0" t="n">
        <f aca="false">'[1]Nutrient content per 100 grams'!H8</f>
        <v>0.27</v>
      </c>
      <c r="O187" s="0" t="n">
        <f aca="false">'[1]Nutrient content per 100 grams'!I8</f>
        <v>10</v>
      </c>
      <c r="P187" s="0" t="n">
        <f aca="false">'[1]Nutrient content per 100 grams'!J8</f>
        <v>15</v>
      </c>
      <c r="Q187" s="0" t="n">
        <f aca="false">'[1]Nutrient content per 100 grams'!K8</f>
        <v>0.019</v>
      </c>
      <c r="R187" s="0" t="n">
        <f aca="false">'[1]Nutrient content per 100 grams'!L8</f>
        <v>6.7</v>
      </c>
      <c r="S187" s="0" t="n">
        <f aca="false">'[1]Nutrient content per 100 grams'!M8</f>
        <v>237</v>
      </c>
      <c r="T187" s="0" t="n">
        <f aca="false">'[1]Nutrient content per 100 grams'!N8</f>
        <v>0.54</v>
      </c>
      <c r="U187" s="0" t="n">
        <f aca="false">'[1]Nutrient content per 100 grams'!O8</f>
        <v>7.9</v>
      </c>
      <c r="V187" s="0" t="n">
        <f aca="false">'[1]Nutrient content per 100 grams'!P8</f>
        <v>42</v>
      </c>
      <c r="W187" s="0" t="n">
        <f aca="false">'[1]Nutrient content per 100 grams'!Q8</f>
        <v>11</v>
      </c>
      <c r="X187" s="0" t="n">
        <f aca="false">'[1]Nutrient content per 100 grams'!R8</f>
        <v>24</v>
      </c>
      <c r="Y187" s="0" t="n">
        <f aca="false">'[1]Nutrient content per 100 grams'!S8</f>
        <v>0.059</v>
      </c>
      <c r="Z187" s="0" t="n">
        <f aca="false">'[1]Nutrient content per 100 grams'!T8</f>
        <v>0.114</v>
      </c>
      <c r="AA187" s="0" t="n">
        <f aca="false">'[1]Nutrient content per 100 grams'!U8</f>
        <v>0</v>
      </c>
      <c r="AB187" s="0" t="n">
        <f aca="false">'[1]Nutrient content per 100 grams'!V8</f>
        <v>13.7</v>
      </c>
      <c r="AC187" s="0" t="n">
        <f aca="false">'[1]Nutrient content per 100 grams'!W8</f>
        <v>0.037</v>
      </c>
      <c r="AD187" s="0" t="n">
        <f aca="false">'[1]Nutrient content per 100 grams'!X8</f>
        <v>0.594</v>
      </c>
      <c r="AE187" s="0" t="n">
        <f aca="false">'[1]Nutrient content per 100 grams'!Y8</f>
        <v>0.089</v>
      </c>
      <c r="AF187" s="0" t="n">
        <f aca="false">'[1]Nutrient content per 100 grams'!Z8</f>
        <v>0.08</v>
      </c>
      <c r="AG187" s="0" t="n">
        <f aca="false">'[1]Nutrient content per 100 grams'!AA8</f>
        <v>0.083</v>
      </c>
    </row>
    <row r="188" customFormat="false" ht="14.25" hidden="false" customHeight="false" outlineLevel="0" collapsed="false">
      <c r="A188" s="0" t="n">
        <v>390</v>
      </c>
      <c r="B188" s="0" t="s">
        <v>449</v>
      </c>
      <c r="C188" s="0" t="s">
        <v>450</v>
      </c>
      <c r="E188" s="0" t="n">
        <v>200950</v>
      </c>
      <c r="F188" s="0" t="n">
        <v>200950</v>
      </c>
      <c r="G188" s="0" t="n">
        <v>21321</v>
      </c>
      <c r="I188" s="0" t="n">
        <f aca="false">VLOOKUP($A188,content_factors_backup!$A$2:$Q$468,I$525,FALSE())</f>
        <v>7</v>
      </c>
      <c r="J188" s="0" t="n">
        <f aca="false">'[1]Nutrient content per 100 grams'!D9</f>
        <v>17</v>
      </c>
      <c r="K188" s="0" t="n">
        <f aca="false">'[1]Nutrient content per 100 grams'!E9</f>
        <v>0.85</v>
      </c>
      <c r="L188" s="0" t="n">
        <f aca="false">'[1]Nutrient content per 100 grams'!F9</f>
        <v>0.4</v>
      </c>
      <c r="M188" s="0" t="n">
        <f aca="false">'[1]Nutrient content per 100 grams'!G9</f>
        <v>0.11</v>
      </c>
      <c r="N188" s="0" t="n">
        <f aca="false">'[1]Nutrient content per 100 grams'!H9</f>
        <v>0.39</v>
      </c>
      <c r="O188" s="0" t="n">
        <f aca="false">'[1]Nutrient content per 100 grams'!I9</f>
        <v>10</v>
      </c>
      <c r="P188" s="0" t="n">
        <f aca="false">'[1]Nutrient content per 100 grams'!J9</f>
        <v>20</v>
      </c>
      <c r="Q188" s="0" t="n">
        <f aca="false">'[1]Nutrient content per 100 grams'!K9</f>
        <v>0.078</v>
      </c>
      <c r="R188" s="0" t="n">
        <f aca="false">'[1]Nutrient content per 100 grams'!L9</f>
        <v>6.8</v>
      </c>
      <c r="S188" s="0" t="n">
        <f aca="false">'[1]Nutrient content per 100 grams'!M9</f>
        <v>217</v>
      </c>
      <c r="T188" s="0" t="n">
        <f aca="false">'[1]Nutrient content per 100 grams'!N9</f>
        <v>0.32</v>
      </c>
      <c r="U188" s="0" t="n">
        <f aca="false">'[1]Nutrient content per 100 grams'!O9</f>
        <v>2.3</v>
      </c>
      <c r="V188" s="0" t="n">
        <f aca="false">'[1]Nutrient content per 100 grams'!P9</f>
        <v>23</v>
      </c>
      <c r="W188" s="0" t="n">
        <f aca="false">'[1]Nutrient content per 100 grams'!Q9</f>
        <v>11</v>
      </c>
      <c r="X188" s="0" t="n">
        <f aca="false">'[1]Nutrient content per 100 grams'!R9</f>
        <v>19</v>
      </c>
      <c r="Y188" s="0" t="n">
        <f aca="false">'[1]Nutrient content per 100 grams'!S9</f>
        <v>0.042</v>
      </c>
      <c r="Z188" s="0" t="n">
        <f aca="false">'[1]Nutrient content per 100 grams'!T9</f>
        <v>0.068</v>
      </c>
      <c r="AA188" s="0" t="n">
        <f aca="false">'[1]Nutrient content per 100 grams'!U9</f>
        <v>0.5</v>
      </c>
      <c r="AB188" s="0" t="n">
        <f aca="false">'[1]Nutrient content per 100 grams'!V9</f>
        <v>70.1</v>
      </c>
      <c r="AC188" s="0" t="n">
        <f aca="false">'[1]Nutrient content per 100 grams'!W9</f>
        <v>0.1</v>
      </c>
      <c r="AD188" s="0" t="n">
        <f aca="false">'[1]Nutrient content per 100 grams'!X9</f>
        <v>0.673</v>
      </c>
      <c r="AE188" s="0" t="str">
        <f aca="false">'[1]Nutrient content per 100 grams'!Y9</f>
        <v>NA</v>
      </c>
      <c r="AF188" s="0" t="n">
        <f aca="false">'[1]Nutrient content per 100 grams'!Z9</f>
        <v>0.07</v>
      </c>
      <c r="AG188" s="0" t="n">
        <f aca="false">'[1]Nutrient content per 100 grams'!AA9</f>
        <v>0.027</v>
      </c>
    </row>
    <row r="189" customFormat="false" ht="14.25" hidden="false" customHeight="false" outlineLevel="0" collapsed="false">
      <c r="A189" s="0" t="n">
        <v>391</v>
      </c>
      <c r="B189" s="0" t="s">
        <v>451</v>
      </c>
      <c r="C189" s="0" t="s">
        <v>452</v>
      </c>
      <c r="E189" s="0" t="n">
        <v>200290</v>
      </c>
      <c r="F189" s="0" t="n">
        <v>200290</v>
      </c>
      <c r="G189" s="0" t="n">
        <v>21399.01</v>
      </c>
      <c r="I189" s="0" t="n">
        <f aca="false">VLOOKUP($A189,content_factors_backup!$A$2:$Q$468,I$525,FALSE())</f>
        <v>25</v>
      </c>
      <c r="J189" s="0" t="n">
        <f aca="false">'[1]Nutrient content per 100 grams'!D10</f>
        <v>82</v>
      </c>
      <c r="K189" s="0" t="n">
        <f aca="false">'[1]Nutrient content per 100 grams'!E10</f>
        <v>4.32</v>
      </c>
      <c r="L189" s="0" t="n">
        <f aca="false">'[1]Nutrient content per 100 grams'!F10</f>
        <v>4.1</v>
      </c>
      <c r="M189" s="0" t="n">
        <f aca="false">'[1]Nutrient content per 100 grams'!G10</f>
        <v>0.63</v>
      </c>
      <c r="N189" s="0" t="n">
        <f aca="false">'[1]Nutrient content per 100 grams'!H10</f>
        <v>2.98</v>
      </c>
      <c r="O189" s="0" t="n">
        <f aca="false">'[1]Nutrient content per 100 grams'!I10</f>
        <v>36</v>
      </c>
      <c r="P189" s="0" t="n">
        <f aca="false">'[1]Nutrient content per 100 grams'!J10</f>
        <v>12</v>
      </c>
      <c r="Q189" s="0" t="n">
        <f aca="false">'[1]Nutrient content per 100 grams'!K10</f>
        <v>0.153</v>
      </c>
      <c r="R189" s="0" t="n">
        <f aca="false">'[1]Nutrient content per 100 grams'!L10</f>
        <v>38.5</v>
      </c>
      <c r="S189" s="0" t="n">
        <f aca="false">'[1]Nutrient content per 100 grams'!M10</f>
        <v>1014</v>
      </c>
      <c r="T189" s="0" t="n">
        <f aca="false">'[1]Nutrient content per 100 grams'!N10</f>
        <v>4.3</v>
      </c>
      <c r="U189" s="0" t="n">
        <f aca="false">'[1]Nutrient content per 100 grams'!O10</f>
        <v>11.4</v>
      </c>
      <c r="V189" s="0" t="n">
        <f aca="false">'[1]Nutrient content per 100 grams'!P10</f>
        <v>76</v>
      </c>
      <c r="W189" s="0" t="n">
        <f aca="false">'[1]Nutrient content per 100 grams'!Q10</f>
        <v>42</v>
      </c>
      <c r="X189" s="0" t="n">
        <f aca="false">'[1]Nutrient content per 100 grams'!R10</f>
        <v>83</v>
      </c>
      <c r="Y189" s="0" t="n">
        <f aca="false">'[1]Nutrient content per 100 grams'!S10</f>
        <v>0.365</v>
      </c>
      <c r="Z189" s="0" t="n">
        <f aca="false">'[1]Nutrient content per 100 grams'!T10</f>
        <v>0.302</v>
      </c>
      <c r="AA189" s="0" t="n">
        <f aca="false">'[1]Nutrient content per 100 grams'!U10</f>
        <v>5.3</v>
      </c>
      <c r="AB189" s="0" t="n">
        <f aca="false">'[1]Nutrient content per 100 grams'!V10</f>
        <v>21.9</v>
      </c>
      <c r="AC189" s="0" t="n">
        <f aca="false">'[1]Nutrient content per 100 grams'!W10</f>
        <v>0.06</v>
      </c>
      <c r="AD189" s="0" t="n">
        <f aca="false">'[1]Nutrient content per 100 grams'!X10</f>
        <v>3.076</v>
      </c>
      <c r="AE189" s="0" t="n">
        <f aca="false">'[1]Nutrient content per 100 grams'!Y10</f>
        <v>0.142</v>
      </c>
      <c r="AF189" s="0" t="n">
        <f aca="false">'[1]Nutrient content per 100 grams'!Z10</f>
        <v>0.216</v>
      </c>
      <c r="AG189" s="0" t="n">
        <f aca="false">'[1]Nutrient content per 100 grams'!AA10</f>
        <v>0.16</v>
      </c>
    </row>
    <row r="190" customFormat="false" ht="14.25" hidden="false" customHeight="false" outlineLevel="0" collapsed="false">
      <c r="A190" s="0" t="n">
        <v>392</v>
      </c>
      <c r="B190" s="0" t="s">
        <v>453</v>
      </c>
      <c r="C190" s="0" t="s">
        <v>454</v>
      </c>
      <c r="E190" s="0" t="n">
        <v>200210</v>
      </c>
      <c r="F190" s="0" t="n">
        <v>200210</v>
      </c>
      <c r="G190" s="0" t="n">
        <v>21399.02</v>
      </c>
      <c r="I190" s="0" t="n">
        <f aca="false">VLOOKUP($A190,content_factors_backup!$A$2:$Q$468,I$525,FALSE())</f>
        <v>13</v>
      </c>
      <c r="J190" s="0" t="n">
        <f aca="false">'[1]Nutrient content per 100 grams'!D11</f>
        <v>38</v>
      </c>
      <c r="K190" s="0" t="n">
        <f aca="false">'[1]Nutrient content per 100 grams'!E11</f>
        <v>1.65</v>
      </c>
      <c r="L190" s="0" t="n">
        <f aca="false">'[1]Nutrient content per 100 grams'!F11</f>
        <v>1.9</v>
      </c>
      <c r="M190" s="0" t="n">
        <f aca="false">'[1]Nutrient content per 100 grams'!G11</f>
        <v>0.36</v>
      </c>
      <c r="N190" s="0" t="n">
        <f aca="false">'[1]Nutrient content per 100 grams'!H11</f>
        <v>1.78</v>
      </c>
      <c r="O190" s="0" t="n">
        <f aca="false">'[1]Nutrient content per 100 grams'!I11</f>
        <v>18</v>
      </c>
      <c r="P190" s="0" t="n">
        <f aca="false">'[1]Nutrient content per 100 grams'!J11</f>
        <v>11</v>
      </c>
      <c r="Q190" s="0" t="n">
        <f aca="false">'[1]Nutrient content per 100 grams'!K11</f>
        <v>0.08</v>
      </c>
      <c r="R190" s="0" t="n">
        <f aca="false">'[1]Nutrient content per 100 grams'!L11</f>
        <v>17.6</v>
      </c>
      <c r="S190" s="0" t="n">
        <f aca="false">'[1]Nutrient content per 100 grams'!M11</f>
        <v>439</v>
      </c>
      <c r="T190" s="0" t="n">
        <f aca="false">'[1]Nutrient content per 100 grams'!N11</f>
        <v>1.97</v>
      </c>
      <c r="U190" s="0" t="n">
        <f aca="false">'[1]Nutrient content per 100 grams'!O11</f>
        <v>3.4</v>
      </c>
      <c r="V190" s="0" t="n">
        <f aca="false">'[1]Nutrient content per 100 grams'!P11</f>
        <v>26</v>
      </c>
      <c r="W190" s="0" t="n">
        <f aca="false">'[1]Nutrient content per 100 grams'!Q11</f>
        <v>23</v>
      </c>
      <c r="X190" s="0" t="n">
        <f aca="false">'[1]Nutrient content per 100 grams'!R11</f>
        <v>40</v>
      </c>
      <c r="Y190" s="0" t="n">
        <f aca="false">'[1]Nutrient content per 100 grams'!S11</f>
        <v>0.287</v>
      </c>
      <c r="Z190" s="0" t="n">
        <f aca="false">'[1]Nutrient content per 100 grams'!T11</f>
        <v>0.169</v>
      </c>
      <c r="AA190" s="0" t="n">
        <f aca="false">'[1]Nutrient content per 100 grams'!U11</f>
        <v>0.7</v>
      </c>
      <c r="AB190" s="0" t="n">
        <f aca="false">'[1]Nutrient content per 100 grams'!V11</f>
        <v>10.6</v>
      </c>
      <c r="AC190" s="0" t="n">
        <f aca="false">'[1]Nutrient content per 100 grams'!W11</f>
        <v>0.025</v>
      </c>
      <c r="AD190" s="0" t="n">
        <f aca="false">'[1]Nutrient content per 100 grams'!X11</f>
        <v>1.466</v>
      </c>
      <c r="AE190" s="0" t="n">
        <f aca="false">'[1]Nutrient content per 100 grams'!Y11</f>
        <v>0.44</v>
      </c>
      <c r="AF190" s="0" t="n">
        <f aca="false">'[1]Nutrient content per 100 grams'!Z11</f>
        <v>0.126</v>
      </c>
      <c r="AG190" s="0" t="n">
        <f aca="false">'[1]Nutrient content per 100 grams'!AA11</f>
        <v>0.086</v>
      </c>
    </row>
    <row r="191" customFormat="false" ht="14.25" hidden="false" customHeight="false" outlineLevel="0" collapsed="false">
      <c r="A191" s="0" t="n">
        <v>393</v>
      </c>
      <c r="B191" s="0" t="s">
        <v>455</v>
      </c>
      <c r="C191" s="0" t="s">
        <v>456</v>
      </c>
      <c r="E191" s="0" t="n">
        <v>70410</v>
      </c>
      <c r="F191" s="0" t="n">
        <v>70410</v>
      </c>
      <c r="G191" s="0" t="n">
        <v>1213</v>
      </c>
      <c r="I191" s="0" t="n">
        <f aca="false">VLOOKUP($A191,content_factors_backup!$A$2:$Q$468,I$525,FALSE())</f>
        <v>9</v>
      </c>
      <c r="J191" s="0" t="n">
        <f aca="false">'[1]Nutrient content per 100 grams'!D12</f>
        <v>25</v>
      </c>
      <c r="K191" s="0" t="n">
        <f aca="false">'[1]Nutrient content per 100 grams'!E12</f>
        <v>1.92</v>
      </c>
      <c r="L191" s="0" t="n">
        <f aca="false">'[1]Nutrient content per 100 grams'!F12</f>
        <v>2</v>
      </c>
      <c r="M191" s="0" t="n">
        <f aca="false">'[1]Nutrient content per 100 grams'!G12</f>
        <v>0.27</v>
      </c>
      <c r="N191" s="0" t="n">
        <f aca="false">'[1]Nutrient content per 100 grams'!H12</f>
        <v>0.42</v>
      </c>
      <c r="O191" s="0" t="n">
        <f aca="false">'[1]Nutrient content per 100 grams'!I12</f>
        <v>22</v>
      </c>
      <c r="P191" s="0" t="n">
        <f aca="false">'[1]Nutrient content per 100 grams'!J12</f>
        <v>57</v>
      </c>
      <c r="Q191" s="0" t="n">
        <f aca="false">'[1]Nutrient content per 100 grams'!K12</f>
        <v>0.06</v>
      </c>
      <c r="R191" s="0" t="n">
        <f aca="false">'[1]Nutrient content per 100 grams'!L12</f>
        <v>44.3</v>
      </c>
      <c r="S191" s="0" t="n">
        <f aca="false">'[1]Nutrient content per 100 grams'!M12</f>
        <v>299</v>
      </c>
      <c r="T191" s="0" t="n">
        <f aca="false">'[1]Nutrient content per 100 grams'!N12</f>
        <v>0.08</v>
      </c>
      <c r="U191" s="0" t="n">
        <f aca="false">'[1]Nutrient content per 100 grams'!O12</f>
        <v>15.5</v>
      </c>
      <c r="V191" s="0" t="n">
        <f aca="false">'[1]Nutrient content per 100 grams'!P12</f>
        <v>0</v>
      </c>
      <c r="W191" s="0" t="n">
        <f aca="false">'[1]Nutrient content per 100 grams'!Q12</f>
        <v>15</v>
      </c>
      <c r="X191" s="0" t="n">
        <f aca="false">'[1]Nutrient content per 100 grams'!R12</f>
        <v>44</v>
      </c>
      <c r="Y191" s="0" t="n">
        <f aca="false">'[1]Nutrient content per 100 grams'!S12</f>
        <v>0.039</v>
      </c>
      <c r="Z191" s="0" t="n">
        <f aca="false">'[1]Nutrient content per 100 grams'!T12</f>
        <v>0.155</v>
      </c>
      <c r="AA191" s="0" t="n">
        <f aca="false">'[1]Nutrient content per 100 grams'!U12</f>
        <v>0.6</v>
      </c>
      <c r="AB191" s="0" t="n">
        <f aca="false">'[1]Nutrient content per 100 grams'!V12</f>
        <v>48.2</v>
      </c>
      <c r="AC191" s="0" t="n">
        <f aca="false">'[1]Nutrient content per 100 grams'!W12</f>
        <v>0.05</v>
      </c>
      <c r="AD191" s="0" t="n">
        <f aca="false">'[1]Nutrient content per 100 grams'!X12</f>
        <v>0.507</v>
      </c>
      <c r="AE191" s="0" t="n">
        <f aca="false">'[1]Nutrient content per 100 grams'!Y12</f>
        <v>0.667</v>
      </c>
      <c r="AF191" s="0" t="n">
        <f aca="false">'[1]Nutrient content per 100 grams'!Z12</f>
        <v>0.184</v>
      </c>
      <c r="AG191" s="0" t="n">
        <f aca="false">'[1]Nutrient content per 100 grams'!AA12</f>
        <v>0.031</v>
      </c>
    </row>
    <row r="192" customFormat="false" ht="14.25" hidden="false" customHeight="false" outlineLevel="0" collapsed="false">
      <c r="A192" s="0" t="n">
        <v>394</v>
      </c>
      <c r="B192" s="0" t="s">
        <v>457</v>
      </c>
      <c r="C192" s="0" t="s">
        <v>458</v>
      </c>
      <c r="E192" s="0" t="n">
        <v>70990</v>
      </c>
      <c r="F192" s="0" t="n">
        <v>70993</v>
      </c>
      <c r="G192" s="0" t="n">
        <v>1235</v>
      </c>
      <c r="I192" s="0" t="n">
        <f aca="false">VLOOKUP($A192,content_factors_backup!$A$2:$Q$468,I$525,FALSE())</f>
        <v>9</v>
      </c>
      <c r="J192" s="0" t="n">
        <f aca="false">'[1]Nutrient content per 100 grams'!D13</f>
        <v>25.3333333333333</v>
      </c>
      <c r="K192" s="0" t="n">
        <f aca="false">'[1]Nutrient content per 100 grams'!E13</f>
        <v>1.05333333333333</v>
      </c>
      <c r="L192" s="0" t="n">
        <f aca="false">'[1]Nutrient content per 100 grams'!F13</f>
        <v>1.03333333333333</v>
      </c>
      <c r="M192" s="0" t="n">
        <f aca="false">'[1]Nutrient content per 100 grams'!G13</f>
        <v>0.273333333333333</v>
      </c>
      <c r="N192" s="0" t="n">
        <f aca="false">'[1]Nutrient content per 100 grams'!H13</f>
        <v>0.576666666666667</v>
      </c>
      <c r="O192" s="0" t="n">
        <f aca="false">'[1]Nutrient content per 100 grams'!I13</f>
        <v>21.3333333333333</v>
      </c>
      <c r="P192" s="0" t="n">
        <f aca="false">'[1]Nutrient content per 100 grams'!J13</f>
        <v>23</v>
      </c>
      <c r="Q192" s="0" t="n">
        <f aca="false">'[1]Nutrient content per 100 grams'!K13</f>
        <v>0.104666666666667</v>
      </c>
      <c r="R192" s="0" t="n">
        <f aca="false">'[1]Nutrient content per 100 grams'!L13</f>
        <v>8.3</v>
      </c>
      <c r="S192" s="0" t="n">
        <f aca="false">'[1]Nutrient content per 100 grams'!M13</f>
        <v>317.333333333333</v>
      </c>
      <c r="T192" s="0" t="n">
        <f aca="false">'[1]Nutrient content per 100 grams'!N13</f>
        <v>0.433333333333333</v>
      </c>
      <c r="U192" s="0" t="n">
        <f aca="false">'[1]Nutrient content per 100 grams'!O13</f>
        <v>1.73333333333333</v>
      </c>
      <c r="V192" s="0" t="n">
        <f aca="false">'[1]Nutrient content per 100 grams'!P13</f>
        <v>168</v>
      </c>
      <c r="W192" s="0" t="n">
        <f aca="false">'[1]Nutrient content per 100 grams'!Q13</f>
        <v>14.3333333333333</v>
      </c>
      <c r="X192" s="0" t="n">
        <f aca="false">'[1]Nutrient content per 100 grams'!R13</f>
        <v>35</v>
      </c>
      <c r="Y192" s="0" t="n">
        <f aca="false">'[1]Nutrient content per 100 grams'!S13</f>
        <v>0.083</v>
      </c>
      <c r="Z192" s="0" t="n">
        <f aca="false">'[1]Nutrient content per 100 grams'!T13</f>
        <v>0.154333333333333</v>
      </c>
      <c r="AA192" s="0" t="n">
        <f aca="false">'[1]Nutrient content per 100 grams'!U13</f>
        <v>0.3</v>
      </c>
      <c r="AB192" s="0" t="n">
        <f aca="false">'[1]Nutrient content per 100 grams'!V13</f>
        <v>12.7666666666667</v>
      </c>
      <c r="AC192" s="0" t="n">
        <f aca="false">'[1]Nutrient content per 100 grams'!W13</f>
        <v>0.0426666666666667</v>
      </c>
      <c r="AD192" s="0" t="n">
        <f aca="false">'[1]Nutrient content per 100 grams'!X13</f>
        <v>0.529</v>
      </c>
      <c r="AE192" s="0" t="n">
        <f aca="false">'[1]Nutrient content per 100 grams'!Y13</f>
        <v>0.213666666666667</v>
      </c>
      <c r="AF192" s="0" t="n">
        <f aca="false">'[1]Nutrient content per 100 grams'!Z13</f>
        <v>0.145</v>
      </c>
      <c r="AG192" s="0" t="n">
        <f aca="false">'[1]Nutrient content per 100 grams'!AA13</f>
        <v>0.05</v>
      </c>
    </row>
    <row r="193" customFormat="false" ht="14.25" hidden="false" customHeight="false" outlineLevel="0" collapsed="false">
      <c r="A193" s="0" t="n">
        <v>397</v>
      </c>
      <c r="B193" s="0" t="s">
        <v>459</v>
      </c>
      <c r="C193" s="0" t="s">
        <v>460</v>
      </c>
      <c r="E193" s="0" t="n">
        <v>70700</v>
      </c>
      <c r="F193" s="0" t="n">
        <v>70700</v>
      </c>
      <c r="G193" s="0" t="n">
        <v>1232</v>
      </c>
      <c r="I193" s="0" t="n">
        <f aca="false">VLOOKUP($A193,content_factors_backup!$A$2:$Q$468,I$525,FALSE())</f>
        <v>5</v>
      </c>
      <c r="J193" s="0" t="n">
        <f aca="false">'[1]Nutrient content per 100 grams'!D14</f>
        <v>15</v>
      </c>
      <c r="K193" s="0" t="n">
        <f aca="false">'[1]Nutrient content per 100 grams'!E14</f>
        <v>0.65</v>
      </c>
      <c r="L193" s="0" t="n">
        <f aca="false">'[1]Nutrient content per 100 grams'!F14</f>
        <v>0.5</v>
      </c>
      <c r="M193" s="0" t="n">
        <f aca="false">'[1]Nutrient content per 100 grams'!G14</f>
        <v>0.2</v>
      </c>
      <c r="N193" s="0" t="n">
        <f aca="false">'[1]Nutrient content per 100 grams'!H14</f>
        <v>0.28</v>
      </c>
      <c r="O193" s="0" t="n">
        <f aca="false">'[1]Nutrient content per 100 grams'!I14</f>
        <v>16</v>
      </c>
      <c r="P193" s="0" t="n">
        <f aca="false">'[1]Nutrient content per 100 grams'!J14</f>
        <v>7</v>
      </c>
      <c r="Q193" s="0" t="n">
        <f aca="false">'[1]Nutrient content per 100 grams'!K14</f>
        <v>0.033</v>
      </c>
      <c r="R193" s="0" t="n">
        <f aca="false">'[1]Nutrient content per 100 grams'!L14</f>
        <v>6</v>
      </c>
      <c r="S193" s="0" t="n">
        <f aca="false">'[1]Nutrient content per 100 grams'!M14</f>
        <v>147</v>
      </c>
      <c r="T193" s="0" t="n">
        <f aca="false">'[1]Nutrient content per 100 grams'!N14</f>
        <v>0.03</v>
      </c>
      <c r="U193" s="0" t="n">
        <f aca="false">'[1]Nutrient content per 100 grams'!O14</f>
        <v>16.4</v>
      </c>
      <c r="V193" s="0" t="n">
        <f aca="false">'[1]Nutrient content per 100 grams'!P14</f>
        <v>5</v>
      </c>
      <c r="W193" s="0" t="n">
        <f aca="false">'[1]Nutrient content per 100 grams'!Q14</f>
        <v>13</v>
      </c>
      <c r="X193" s="0" t="n">
        <f aca="false">'[1]Nutrient content per 100 grams'!R14</f>
        <v>24</v>
      </c>
      <c r="Y193" s="0" t="n">
        <f aca="false">'[1]Nutrient content per 100 grams'!S14</f>
        <v>0.041</v>
      </c>
      <c r="Z193" s="0" t="n">
        <f aca="false">'[1]Nutrient content per 100 grams'!T14</f>
        <v>0.079</v>
      </c>
      <c r="AA193" s="0" t="n">
        <f aca="false">'[1]Nutrient content per 100 grams'!U14</f>
        <v>0.3</v>
      </c>
      <c r="AB193" s="0" t="n">
        <f aca="false">'[1]Nutrient content per 100 grams'!V14</f>
        <v>2.8</v>
      </c>
      <c r="AC193" s="0" t="n">
        <f aca="false">'[1]Nutrient content per 100 grams'!W14</f>
        <v>0.027</v>
      </c>
      <c r="AD193" s="0" t="n">
        <f aca="false">'[1]Nutrient content per 100 grams'!X14</f>
        <v>0.098</v>
      </c>
      <c r="AE193" s="0" t="n">
        <f aca="false">'[1]Nutrient content per 100 grams'!Y14</f>
        <v>0.259</v>
      </c>
      <c r="AF193" s="0" t="n">
        <f aca="false">'[1]Nutrient content per 100 grams'!Z14</f>
        <v>0.04</v>
      </c>
      <c r="AG193" s="0" t="n">
        <f aca="false">'[1]Nutrient content per 100 grams'!AA14</f>
        <v>0.032</v>
      </c>
    </row>
    <row r="194" customFormat="false" ht="14.25" hidden="false" customHeight="false" outlineLevel="0" collapsed="false">
      <c r="A194" s="0" t="n">
        <v>399</v>
      </c>
      <c r="B194" s="0" t="s">
        <v>461</v>
      </c>
      <c r="C194" s="0" t="s">
        <v>462</v>
      </c>
      <c r="E194" s="0" t="n">
        <v>70930</v>
      </c>
      <c r="F194" s="0" t="n">
        <v>70930</v>
      </c>
      <c r="G194" s="0" t="n">
        <v>1233</v>
      </c>
      <c r="I194" s="0" t="n">
        <f aca="false">VLOOKUP($A194,content_factors_backup!$A$2:$Q$468,I$525,FALSE())</f>
        <v>8</v>
      </c>
      <c r="J194" s="0" t="n">
        <f aca="false">'[1]Nutrient content per 100 grams'!D15</f>
        <v>25</v>
      </c>
      <c r="K194" s="0" t="n">
        <f aca="false">'[1]Nutrient content per 100 grams'!E15</f>
        <v>0.98</v>
      </c>
      <c r="L194" s="0" t="n">
        <f aca="false">'[1]Nutrient content per 100 grams'!F15</f>
        <v>3</v>
      </c>
      <c r="M194" s="0" t="n">
        <f aca="false">'[1]Nutrient content per 100 grams'!G15</f>
        <v>0.16</v>
      </c>
      <c r="N194" s="0" t="n">
        <f aca="false">'[1]Nutrient content per 100 grams'!H15</f>
        <v>0.23</v>
      </c>
      <c r="O194" s="0" t="n">
        <f aca="false">'[1]Nutrient content per 100 grams'!I15</f>
        <v>9</v>
      </c>
      <c r="P194" s="0" t="n">
        <f aca="false">'[1]Nutrient content per 100 grams'!J15</f>
        <v>22</v>
      </c>
      <c r="Q194" s="0" t="n">
        <f aca="false">'[1]Nutrient content per 100 grams'!K15</f>
        <v>0.037</v>
      </c>
      <c r="R194" s="0" t="n">
        <f aca="false">'[1]Nutrient content per 100 grams'!L15</f>
        <v>6.9</v>
      </c>
      <c r="S194" s="0" t="n">
        <f aca="false">'[1]Nutrient content per 100 grams'!M15</f>
        <v>229</v>
      </c>
      <c r="T194" s="0" t="n">
        <f aca="false">'[1]Nutrient content per 100 grams'!N15</f>
        <v>0.3</v>
      </c>
      <c r="U194" s="0" t="n">
        <f aca="false">'[1]Nutrient content per 100 grams'!O15</f>
        <v>3.5</v>
      </c>
      <c r="V194" s="0" t="n">
        <f aca="false">'[1]Nutrient content per 100 grams'!P15</f>
        <v>1</v>
      </c>
      <c r="W194" s="0" t="n">
        <f aca="false">'[1]Nutrient content per 100 grams'!Q15</f>
        <v>14</v>
      </c>
      <c r="X194" s="0" t="n">
        <f aca="false">'[1]Nutrient content per 100 grams'!R15</f>
        <v>24</v>
      </c>
      <c r="Y194" s="0" t="n">
        <f aca="false">'[1]Nutrient content per 100 grams'!S15</f>
        <v>0.081</v>
      </c>
      <c r="Z194" s="0" t="n">
        <f aca="false">'[1]Nutrient content per 100 grams'!T15</f>
        <v>0.232</v>
      </c>
      <c r="AA194" s="0" t="n">
        <f aca="false">'[1]Nutrient content per 100 grams'!U15</f>
        <v>0.3</v>
      </c>
      <c r="AB194" s="0" t="n">
        <f aca="false">'[1]Nutrient content per 100 grams'!V15</f>
        <v>2.2</v>
      </c>
      <c r="AC194" s="0" t="n">
        <f aca="false">'[1]Nutrient content per 100 grams'!W15</f>
        <v>0.039</v>
      </c>
      <c r="AD194" s="0" t="n">
        <f aca="false">'[1]Nutrient content per 100 grams'!X15</f>
        <v>0.649</v>
      </c>
      <c r="AE194" s="0" t="n">
        <f aca="false">'[1]Nutrient content per 100 grams'!Y15</f>
        <v>0.281</v>
      </c>
      <c r="AF194" s="0" t="n">
        <f aca="false">'[1]Nutrient content per 100 grams'!Z15</f>
        <v>0.084</v>
      </c>
      <c r="AG194" s="0" t="n">
        <f aca="false">'[1]Nutrient content per 100 grams'!AA15</f>
        <v>0.076</v>
      </c>
    </row>
    <row r="195" customFormat="false" ht="14.25" hidden="false" customHeight="false" outlineLevel="0" collapsed="false">
      <c r="A195" s="0" t="n">
        <v>401</v>
      </c>
      <c r="B195" s="0" t="s">
        <v>463</v>
      </c>
      <c r="C195" s="0" t="s">
        <v>464</v>
      </c>
      <c r="E195" s="0" t="n">
        <v>70960</v>
      </c>
      <c r="F195" s="0" t="n">
        <v>70960</v>
      </c>
      <c r="G195" s="0" t="n">
        <v>1231</v>
      </c>
      <c r="I195" s="0" t="n">
        <f aca="false">VLOOKUP($A195,content_factors_backup!$A$2:$Q$468,I$525,FALSE())</f>
        <v>20</v>
      </c>
      <c r="J195" s="0" t="n">
        <f aca="false">'[1]Nutrient content per 100 grams'!D16</f>
        <v>31.2857142857143</v>
      </c>
      <c r="K195" s="0" t="n">
        <f aca="false">'[1]Nutrient content per 100 grams'!E16</f>
        <v>1.43285714285714</v>
      </c>
      <c r="L195" s="0" t="n">
        <f aca="false">'[1]Nutrient content per 100 grams'!F16</f>
        <v>2.38571428571429</v>
      </c>
      <c r="M195" s="0" t="n">
        <f aca="false">'[1]Nutrient content per 100 grams'!G16</f>
        <v>0.227142857142857</v>
      </c>
      <c r="N195" s="0" t="n">
        <f aca="false">'[1]Nutrient content per 100 grams'!H16</f>
        <v>0.652857142857143</v>
      </c>
      <c r="O195" s="0" t="n">
        <f aca="false">'[1]Nutrient content per 100 grams'!I16</f>
        <v>12.2857142857143</v>
      </c>
      <c r="P195" s="0" t="n">
        <f aca="false">'[1]Nutrient content per 100 grams'!J16</f>
        <v>25.8571428571429</v>
      </c>
      <c r="Q195" s="0" t="n">
        <f aca="false">'[1]Nutrient content per 100 grams'!K16</f>
        <v>0.0705714285714286</v>
      </c>
      <c r="R195" s="0" t="n">
        <f aca="false">'[1]Nutrient content per 100 grams'!L16</f>
        <v>8.12857142857143</v>
      </c>
      <c r="S195" s="0" t="n">
        <f aca="false">'[1]Nutrient content per 100 grams'!M16</f>
        <v>265.285714285714</v>
      </c>
      <c r="T195" s="0" t="n">
        <f aca="false">'[1]Nutrient content per 100 grams'!N16</f>
        <v>1.18428571428571</v>
      </c>
      <c r="U195" s="0" t="n">
        <f aca="false">'[1]Nutrient content per 100 grams'!O16</f>
        <v>11.4857142857143</v>
      </c>
      <c r="V195" s="0" t="n">
        <f aca="false">'[1]Nutrient content per 100 grams'!P16</f>
        <v>57.1428571428571</v>
      </c>
      <c r="W195" s="0" t="n">
        <f aca="false">'[1]Nutrient content per 100 grams'!Q16</f>
        <v>17.7142857142857</v>
      </c>
      <c r="X195" s="0" t="n">
        <f aca="false">'[1]Nutrient content per 100 grams'!R16</f>
        <v>33.2857142857143</v>
      </c>
      <c r="Y195" s="0" t="n">
        <f aca="false">'[1]Nutrient content per 100 grams'!S16</f>
        <v>0.0935714285714286</v>
      </c>
      <c r="Z195" s="0" t="n">
        <f aca="false">'[1]Nutrient content per 100 grams'!T16</f>
        <v>0.148857142857143</v>
      </c>
      <c r="AA195" s="0" t="n">
        <f aca="false">'[1]Nutrient content per 100 grams'!U16</f>
        <v>0.314285714285714</v>
      </c>
      <c r="AB195" s="0" t="n">
        <f aca="false">'[1]Nutrient content per 100 grams'!V16</f>
        <v>120.071428571429</v>
      </c>
      <c r="AC195" s="0" t="n">
        <f aca="false">'[1]Nutrient content per 100 grams'!W16</f>
        <v>0.064</v>
      </c>
      <c r="AD195" s="0" t="n">
        <f aca="false">'[1]Nutrient content per 100 grams'!X16</f>
        <v>1.10171428571429</v>
      </c>
      <c r="AE195" s="0" t="n">
        <f aca="false">'[1]Nutrient content per 100 grams'!Y16</f>
        <v>0.208285714285714</v>
      </c>
      <c r="AF195" s="0" t="n">
        <f aca="false">'[1]Nutrient content per 100 grams'!Z16</f>
        <v>0.368571428571429</v>
      </c>
      <c r="AG195" s="0" t="n">
        <f aca="false">'[1]Nutrient content per 100 grams'!AA16</f>
        <v>0.151</v>
      </c>
    </row>
    <row r="196" customFormat="false" ht="14.25" hidden="false" customHeight="false" outlineLevel="0" collapsed="false">
      <c r="A196" s="0" t="n">
        <v>402</v>
      </c>
      <c r="B196" s="0" t="s">
        <v>465</v>
      </c>
      <c r="C196" s="0" t="s">
        <v>466</v>
      </c>
      <c r="E196" s="0" t="n">
        <v>70310</v>
      </c>
      <c r="F196" s="0" t="n">
        <v>70310</v>
      </c>
      <c r="G196" s="0" t="n">
        <v>1253.01</v>
      </c>
      <c r="I196" s="0" t="n">
        <f aca="false">VLOOKUP($A196,content_factors_backup!$A$2:$Q$468,I$525,FALSE())</f>
        <v>11</v>
      </c>
      <c r="J196" s="0" t="n">
        <f aca="false">'[1]Nutrient content per 100 grams'!D17</f>
        <v>34</v>
      </c>
      <c r="K196" s="0" t="n">
        <f aca="false">'[1]Nutrient content per 100 grams'!E17</f>
        <v>1.9</v>
      </c>
      <c r="L196" s="0" t="n">
        <f aca="false">'[1]Nutrient content per 100 grams'!F17</f>
        <v>2.4</v>
      </c>
      <c r="M196" s="0" t="n">
        <f aca="false">'[1]Nutrient content per 100 grams'!G17</f>
        <v>0.52</v>
      </c>
      <c r="N196" s="0" t="n">
        <f aca="false">'[1]Nutrient content per 100 grams'!H17</f>
        <v>1.22</v>
      </c>
      <c r="O196" s="0" t="n">
        <f aca="false">'[1]Nutrient content per 100 grams'!I17</f>
        <v>18</v>
      </c>
      <c r="P196" s="0" t="n">
        <f aca="false">'[1]Nutrient content per 100 grams'!J17</f>
        <v>16</v>
      </c>
      <c r="Q196" s="0" t="n">
        <f aca="false">'[1]Nutrient content per 100 grams'!K17</f>
        <v>0.09</v>
      </c>
      <c r="R196" s="0" t="n">
        <f aca="false">'[1]Nutrient content per 100 grams'!L17</f>
        <v>5.3</v>
      </c>
      <c r="S196" s="0" t="n">
        <f aca="false">'[1]Nutrient content per 100 grams'!M17</f>
        <v>212</v>
      </c>
      <c r="T196" s="0" t="n">
        <f aca="false">'[1]Nutrient content per 100 grams'!N17</f>
        <v>0.51</v>
      </c>
      <c r="U196" s="0" t="n">
        <f aca="false">'[1]Nutrient content per 100 grams'!O17</f>
        <v>193.4</v>
      </c>
      <c r="V196" s="0" t="str">
        <f aca="false">'[1]Nutrient content per 100 grams'!P17</f>
        <v>NA</v>
      </c>
      <c r="W196" s="0" t="n">
        <f aca="false">'[1]Nutrient content per 100 grams'!Q17</f>
        <v>23</v>
      </c>
      <c r="X196" s="0" t="n">
        <f aca="false">'[1]Nutrient content per 100 grams'!R17</f>
        <v>49</v>
      </c>
      <c r="Y196" s="0" t="n">
        <f aca="false">'[1]Nutrient content per 100 grams'!S17</f>
        <v>0.07</v>
      </c>
      <c r="Z196" s="0" t="n">
        <f aca="false">'[1]Nutrient content per 100 grams'!T17</f>
        <v>0.137</v>
      </c>
      <c r="AA196" s="0" t="n">
        <f aca="false">'[1]Nutrient content per 100 grams'!U17</f>
        <v>0.6</v>
      </c>
      <c r="AB196" s="0" t="n">
        <f aca="false">'[1]Nutrient content per 100 grams'!V17</f>
        <v>27</v>
      </c>
      <c r="AC196" s="0" t="n">
        <f aca="false">'[1]Nutrient content per 100 grams'!W17</f>
        <v>0.05</v>
      </c>
      <c r="AD196" s="0" t="n">
        <f aca="false">'[1]Nutrient content per 100 grams'!X17</f>
        <v>0.4</v>
      </c>
      <c r="AE196" s="0" t="n">
        <f aca="false">'[1]Nutrient content per 100 grams'!Y17</f>
        <v>0.169</v>
      </c>
      <c r="AF196" s="0" t="n">
        <f aca="false">'[1]Nutrient content per 100 grams'!Z17</f>
        <v>0.072</v>
      </c>
      <c r="AG196" s="0" t="n">
        <f aca="false">'[1]Nutrient content per 100 grams'!AA17</f>
        <v>0.156</v>
      </c>
    </row>
    <row r="197" customFormat="false" ht="14.25" hidden="false" customHeight="false" outlineLevel="0" collapsed="false">
      <c r="A197" s="0" t="n">
        <v>403</v>
      </c>
      <c r="B197" s="0" t="s">
        <v>467</v>
      </c>
      <c r="C197" s="0" t="s">
        <v>468</v>
      </c>
      <c r="E197" s="0" t="n">
        <v>70310</v>
      </c>
      <c r="F197" s="0" t="n">
        <v>70310</v>
      </c>
      <c r="G197" s="0" t="n">
        <v>1253.02</v>
      </c>
      <c r="I197" s="0" t="n">
        <f aca="false">VLOOKUP($A197,content_factors_backup!$A$2:$Q$468,I$525,FALSE())</f>
        <v>11</v>
      </c>
      <c r="J197" s="0" t="n">
        <f aca="false">'[1]Nutrient content per 100 grams'!D18</f>
        <v>40</v>
      </c>
      <c r="K197" s="0" t="n">
        <f aca="false">'[1]Nutrient content per 100 grams'!E18</f>
        <v>1.1</v>
      </c>
      <c r="L197" s="0" t="n">
        <f aca="false">'[1]Nutrient content per 100 grams'!F18</f>
        <v>1.7</v>
      </c>
      <c r="M197" s="0" t="n">
        <f aca="false">'[1]Nutrient content per 100 grams'!G18</f>
        <v>0.17</v>
      </c>
      <c r="N197" s="0" t="n">
        <f aca="false">'[1]Nutrient content per 100 grams'!H18</f>
        <v>0.21</v>
      </c>
      <c r="O197" s="0" t="n">
        <f aca="false">'[1]Nutrient content per 100 grams'!I18</f>
        <v>23</v>
      </c>
      <c r="P197" s="0" t="n">
        <f aca="false">'[1]Nutrient content per 100 grams'!J18</f>
        <v>19</v>
      </c>
      <c r="Q197" s="0" t="n">
        <f aca="false">'[1]Nutrient content per 100 grams'!K18</f>
        <v>0.027</v>
      </c>
      <c r="R197" s="0" t="n">
        <f aca="false">'[1]Nutrient content per 100 grams'!L18</f>
        <v>6.1</v>
      </c>
      <c r="S197" s="0" t="n">
        <f aca="false">'[1]Nutrient content per 100 grams'!M18</f>
        <v>146</v>
      </c>
      <c r="T197" s="0" t="n">
        <f aca="false">'[1]Nutrient content per 100 grams'!N18</f>
        <v>0.02</v>
      </c>
      <c r="U197" s="0" t="n">
        <f aca="false">'[1]Nutrient content per 100 grams'!O18</f>
        <v>0.4</v>
      </c>
      <c r="V197" s="0" t="n">
        <f aca="false">'[1]Nutrient content per 100 grams'!P18</f>
        <v>0</v>
      </c>
      <c r="W197" s="0" t="n">
        <f aca="false">'[1]Nutrient content per 100 grams'!Q18</f>
        <v>10</v>
      </c>
      <c r="X197" s="0" t="n">
        <f aca="false">'[1]Nutrient content per 100 grams'!R18</f>
        <v>29</v>
      </c>
      <c r="Y197" s="0" t="n">
        <f aca="false">'[1]Nutrient content per 100 grams'!S18</f>
        <v>0.039</v>
      </c>
      <c r="Z197" s="0" t="n">
        <f aca="false">'[1]Nutrient content per 100 grams'!T18</f>
        <v>0.129</v>
      </c>
      <c r="AA197" s="0" t="n">
        <f aca="false">'[1]Nutrient content per 100 grams'!U18</f>
        <v>0.5</v>
      </c>
      <c r="AB197" s="0" t="n">
        <f aca="false">'[1]Nutrient content per 100 grams'!V18</f>
        <v>7.4</v>
      </c>
      <c r="AC197" s="0" t="n">
        <f aca="false">'[1]Nutrient content per 100 grams'!W18</f>
        <v>0.046</v>
      </c>
      <c r="AD197" s="0" t="n">
        <f aca="false">'[1]Nutrient content per 100 grams'!X18</f>
        <v>0.116</v>
      </c>
      <c r="AE197" s="0" t="n">
        <f aca="false">'[1]Nutrient content per 100 grams'!Y18</f>
        <v>0.123</v>
      </c>
      <c r="AF197" s="0" t="n">
        <f aca="false">'[1]Nutrient content per 100 grams'!Z18</f>
        <v>0.12</v>
      </c>
      <c r="AG197" s="0" t="n">
        <f aca="false">'[1]Nutrient content per 100 grams'!AA18</f>
        <v>0.017</v>
      </c>
    </row>
    <row r="198" customFormat="false" ht="14.25" hidden="false" customHeight="false" outlineLevel="0" collapsed="false">
      <c r="A198" s="0" t="n">
        <v>406</v>
      </c>
      <c r="B198" s="0" t="s">
        <v>469</v>
      </c>
      <c r="C198" s="0" t="s">
        <v>470</v>
      </c>
      <c r="E198" s="0" t="n">
        <v>70320</v>
      </c>
      <c r="F198" s="0" t="n">
        <v>70320</v>
      </c>
      <c r="G198" s="0" t="n">
        <v>1252</v>
      </c>
      <c r="I198" s="0" t="n">
        <f aca="false">VLOOKUP($A198,content_factors_backup!$A$2:$Q$468,I$525,FALSE())</f>
        <v>39</v>
      </c>
      <c r="J198" s="0" t="n">
        <f aca="false">'[1]Nutrient content per 100 grams'!D19</f>
        <v>149</v>
      </c>
      <c r="K198" s="0" t="n">
        <f aca="false">'[1]Nutrient content per 100 grams'!E19</f>
        <v>6.36</v>
      </c>
      <c r="L198" s="0" t="n">
        <f aca="false">'[1]Nutrient content per 100 grams'!F19</f>
        <v>2.1</v>
      </c>
      <c r="M198" s="0" t="n">
        <f aca="false">'[1]Nutrient content per 100 grams'!G19</f>
        <v>1.16</v>
      </c>
      <c r="N198" s="0" t="n">
        <f aca="false">'[1]Nutrient content per 100 grams'!H19</f>
        <v>1.7</v>
      </c>
      <c r="O198" s="0" t="n">
        <f aca="false">'[1]Nutrient content per 100 grams'!I19</f>
        <v>181</v>
      </c>
      <c r="P198" s="0" t="n">
        <f aca="false">'[1]Nutrient content per 100 grams'!J19</f>
        <v>3</v>
      </c>
      <c r="Q198" s="0" t="n">
        <f aca="false">'[1]Nutrient content per 100 grams'!K19</f>
        <v>0.11</v>
      </c>
      <c r="R198" s="0" t="n">
        <f aca="false">'[1]Nutrient content per 100 grams'!L19</f>
        <v>23.2</v>
      </c>
      <c r="S198" s="0" t="n">
        <f aca="false">'[1]Nutrient content per 100 grams'!M19</f>
        <v>401</v>
      </c>
      <c r="T198" s="0" t="n">
        <f aca="false">'[1]Nutrient content per 100 grams'!N19</f>
        <v>0.08</v>
      </c>
      <c r="U198" s="0" t="n">
        <f aca="false">'[1]Nutrient content per 100 grams'!O19</f>
        <v>1.7</v>
      </c>
      <c r="V198" s="0" t="n">
        <f aca="false">'[1]Nutrient content per 100 grams'!P19</f>
        <v>0</v>
      </c>
      <c r="W198" s="0" t="n">
        <f aca="false">'[1]Nutrient content per 100 grams'!Q19</f>
        <v>25</v>
      </c>
      <c r="X198" s="0" t="n">
        <f aca="false">'[1]Nutrient content per 100 grams'!R19</f>
        <v>153</v>
      </c>
      <c r="Y198" s="0" t="n">
        <f aca="false">'[1]Nutrient content per 100 grams'!S19</f>
        <v>0.299</v>
      </c>
      <c r="Z198" s="0" t="n">
        <f aca="false">'[1]Nutrient content per 100 grams'!T19</f>
        <v>1.672</v>
      </c>
      <c r="AA198" s="0" t="n">
        <f aca="false">'[1]Nutrient content per 100 grams'!U19</f>
        <v>14.2</v>
      </c>
      <c r="AB198" s="0" t="n">
        <f aca="false">'[1]Nutrient content per 100 grams'!V19</f>
        <v>31.2</v>
      </c>
      <c r="AC198" s="0" t="n">
        <f aca="false">'[1]Nutrient content per 100 grams'!W19</f>
        <v>0.2</v>
      </c>
      <c r="AD198" s="0" t="n">
        <f aca="false">'[1]Nutrient content per 100 grams'!X19</f>
        <v>0.7</v>
      </c>
      <c r="AE198" s="0" t="n">
        <f aca="false">'[1]Nutrient content per 100 grams'!Y19</f>
        <v>0.596</v>
      </c>
      <c r="AF198" s="0" t="n">
        <f aca="false">'[1]Nutrient content per 100 grams'!Z19</f>
        <v>1.235</v>
      </c>
      <c r="AG198" s="0" t="n">
        <f aca="false">'[1]Nutrient content per 100 grams'!AA19</f>
        <v>0.249</v>
      </c>
    </row>
    <row r="199" customFormat="false" ht="14.25" hidden="false" customHeight="false" outlineLevel="0" collapsed="false">
      <c r="A199" s="0" t="n">
        <v>407</v>
      </c>
      <c r="B199" s="0" t="s">
        <v>471</v>
      </c>
      <c r="C199" s="0" t="s">
        <v>472</v>
      </c>
      <c r="E199" s="0" t="n">
        <v>70390</v>
      </c>
      <c r="F199" s="0" t="n">
        <v>70390</v>
      </c>
      <c r="G199" s="0" t="n">
        <v>1254</v>
      </c>
      <c r="I199" s="0" t="n">
        <f aca="false">VLOOKUP($A199,content_factors_backup!$A$2:$Q$468,I$525,FALSE())</f>
        <v>15</v>
      </c>
      <c r="J199" s="0" t="n">
        <f aca="false">'[1]Nutrient content per 100 grams'!D20</f>
        <v>61</v>
      </c>
      <c r="K199" s="0" t="n">
        <f aca="false">'[1]Nutrient content per 100 grams'!E20</f>
        <v>1.5</v>
      </c>
      <c r="L199" s="0" t="n">
        <f aca="false">'[1]Nutrient content per 100 grams'!F20</f>
        <v>1.8</v>
      </c>
      <c r="M199" s="0" t="n">
        <f aca="false">'[1]Nutrient content per 100 grams'!G20</f>
        <v>0.12</v>
      </c>
      <c r="N199" s="0" t="n">
        <f aca="false">'[1]Nutrient content per 100 grams'!H20</f>
        <v>2.1</v>
      </c>
      <c r="O199" s="0" t="n">
        <f aca="false">'[1]Nutrient content per 100 grams'!I20</f>
        <v>59</v>
      </c>
      <c r="P199" s="0" t="n">
        <f aca="false">'[1]Nutrient content per 100 grams'!J20</f>
        <v>64</v>
      </c>
      <c r="Q199" s="0" t="n">
        <f aca="false">'[1]Nutrient content per 100 grams'!K20</f>
        <v>0.03</v>
      </c>
      <c r="R199" s="0" t="n">
        <f aca="false">'[1]Nutrient content per 100 grams'!L20</f>
        <v>9.5</v>
      </c>
      <c r="S199" s="0" t="n">
        <f aca="false">'[1]Nutrient content per 100 grams'!M20</f>
        <v>180</v>
      </c>
      <c r="T199" s="0" t="n">
        <f aca="false">'[1]Nutrient content per 100 grams'!N20</f>
        <v>0.92</v>
      </c>
      <c r="U199" s="0" t="n">
        <f aca="false">'[1]Nutrient content per 100 grams'!O20</f>
        <v>47</v>
      </c>
      <c r="V199" s="0" t="n">
        <f aca="false">'[1]Nutrient content per 100 grams'!P20</f>
        <v>83</v>
      </c>
      <c r="W199" s="0" t="n">
        <f aca="false">'[1]Nutrient content per 100 grams'!Q20</f>
        <v>28</v>
      </c>
      <c r="X199" s="0" t="n">
        <f aca="false">'[1]Nutrient content per 100 grams'!R20</f>
        <v>35</v>
      </c>
      <c r="Y199" s="0" t="n">
        <f aca="false">'[1]Nutrient content per 100 grams'!S20</f>
        <v>0.12</v>
      </c>
      <c r="Z199" s="0" t="n">
        <f aca="false">'[1]Nutrient content per 100 grams'!T20</f>
        <v>0.481</v>
      </c>
      <c r="AA199" s="0" t="n">
        <f aca="false">'[1]Nutrient content per 100 grams'!U20</f>
        <v>1</v>
      </c>
      <c r="AB199" s="0" t="n">
        <f aca="false">'[1]Nutrient content per 100 grams'!V20</f>
        <v>12</v>
      </c>
      <c r="AC199" s="0" t="n">
        <f aca="false">'[1]Nutrient content per 100 grams'!W20</f>
        <v>0.06</v>
      </c>
      <c r="AD199" s="0" t="n">
        <f aca="false">'[1]Nutrient content per 100 grams'!X20</f>
        <v>0.4</v>
      </c>
      <c r="AE199" s="0" t="n">
        <f aca="false">'[1]Nutrient content per 100 grams'!Y20</f>
        <v>0.14</v>
      </c>
      <c r="AF199" s="0" t="n">
        <f aca="false">'[1]Nutrient content per 100 grams'!Z20</f>
        <v>0.233</v>
      </c>
      <c r="AG199" s="0" t="n">
        <f aca="false">'[1]Nutrient content per 100 grams'!AA20</f>
        <v>0.166</v>
      </c>
    </row>
    <row r="200" customFormat="false" ht="14.25" hidden="false" customHeight="false" outlineLevel="0" collapsed="false">
      <c r="A200" s="0" t="n">
        <v>414</v>
      </c>
      <c r="B200" s="0" t="s">
        <v>473</v>
      </c>
      <c r="C200" s="0" t="s">
        <v>474</v>
      </c>
      <c r="E200" s="0" t="n">
        <v>70820</v>
      </c>
      <c r="F200" s="0" t="n">
        <v>70820</v>
      </c>
      <c r="G200" s="0" t="n">
        <v>1241.9</v>
      </c>
      <c r="I200" s="0" t="n">
        <f aca="false">VLOOKUP($A200,content_factors_backup!$A$2:$Q$468,I$525,FALSE())</f>
        <v>20</v>
      </c>
      <c r="J200" s="0" t="n">
        <f aca="false">'[1]Nutrient content per 100 grams'!D21</f>
        <v>31</v>
      </c>
      <c r="K200" s="0" t="n">
        <f aca="false">'[1]Nutrient content per 100 grams'!E21</f>
        <v>1.83</v>
      </c>
      <c r="L200" s="0" t="n">
        <f aca="false">'[1]Nutrient content per 100 grams'!F21</f>
        <v>2.7</v>
      </c>
      <c r="M200" s="0" t="n">
        <f aca="false">'[1]Nutrient content per 100 grams'!G21</f>
        <v>0.24</v>
      </c>
      <c r="N200" s="0" t="n">
        <f aca="false">'[1]Nutrient content per 100 grams'!H21</f>
        <v>1.03</v>
      </c>
      <c r="O200" s="0" t="n">
        <f aca="false">'[1]Nutrient content per 100 grams'!I21</f>
        <v>37</v>
      </c>
      <c r="P200" s="0" t="n">
        <f aca="false">'[1]Nutrient content per 100 grams'!J21</f>
        <v>33</v>
      </c>
      <c r="Q200" s="0" t="n">
        <f aca="false">'[1]Nutrient content per 100 grams'!K21</f>
        <v>0.104</v>
      </c>
      <c r="R200" s="0" t="n">
        <f aca="false">'[1]Nutrient content per 100 grams'!L21</f>
        <v>15.3</v>
      </c>
      <c r="S200" s="0" t="n">
        <f aca="false">'[1]Nutrient content per 100 grams'!M21</f>
        <v>211</v>
      </c>
      <c r="T200" s="0" t="n">
        <f aca="false">'[1]Nutrient content per 100 grams'!N21</f>
        <v>0.41</v>
      </c>
      <c r="U200" s="0" t="n">
        <f aca="false">'[1]Nutrient content per 100 grams'!O21</f>
        <v>43</v>
      </c>
      <c r="V200" s="0" t="n">
        <f aca="false">'[1]Nutrient content per 100 grams'!P21</f>
        <v>35</v>
      </c>
      <c r="W200" s="0" t="n">
        <f aca="false">'[1]Nutrient content per 100 grams'!Q21</f>
        <v>25</v>
      </c>
      <c r="X200" s="0" t="n">
        <f aca="false">'[1]Nutrient content per 100 grams'!R21</f>
        <v>38</v>
      </c>
      <c r="Y200" s="0" t="n">
        <f aca="false">'[1]Nutrient content per 100 grams'!S21</f>
        <v>0.069</v>
      </c>
      <c r="Z200" s="0" t="n">
        <f aca="false">'[1]Nutrient content per 100 grams'!T21</f>
        <v>0.216</v>
      </c>
      <c r="AA200" s="0" t="n">
        <f aca="false">'[1]Nutrient content per 100 grams'!U21</f>
        <v>0.6</v>
      </c>
      <c r="AB200" s="0" t="n">
        <f aca="false">'[1]Nutrient content per 100 grams'!V21</f>
        <v>12.2</v>
      </c>
      <c r="AC200" s="0" t="n">
        <f aca="false">'[1]Nutrient content per 100 grams'!W21</f>
        <v>0.082</v>
      </c>
      <c r="AD200" s="0" t="n">
        <f aca="false">'[1]Nutrient content per 100 grams'!X21</f>
        <v>0.734</v>
      </c>
      <c r="AE200" s="0" t="n">
        <f aca="false">'[1]Nutrient content per 100 grams'!Y21</f>
        <v>0.225</v>
      </c>
      <c r="AF200" s="0" t="n">
        <f aca="false">'[1]Nutrient content per 100 grams'!Z21</f>
        <v>0.141</v>
      </c>
      <c r="AG200" s="0" t="n">
        <f aca="false">'[1]Nutrient content per 100 grams'!AA21</f>
        <v>0.113</v>
      </c>
    </row>
    <row r="201" customFormat="false" ht="14.25" hidden="false" customHeight="false" outlineLevel="0" collapsed="false">
      <c r="A201" s="0" t="n">
        <v>417</v>
      </c>
      <c r="B201" s="0" t="s">
        <v>475</v>
      </c>
      <c r="C201" s="0" t="s">
        <v>476</v>
      </c>
      <c r="E201" s="0" t="n">
        <v>70810</v>
      </c>
      <c r="F201" s="0" t="n">
        <v>70810</v>
      </c>
      <c r="G201" s="0" t="n">
        <v>1242</v>
      </c>
      <c r="I201" s="0" t="n">
        <f aca="false">VLOOKUP($A201,content_factors_backup!$A$2:$Q$468,I$525,FALSE())</f>
        <v>22</v>
      </c>
      <c r="J201" s="0" t="n">
        <f aca="false">'[1]Nutrient content per 100 grams'!D22</f>
        <v>81</v>
      </c>
      <c r="K201" s="0" t="n">
        <f aca="false">'[1]Nutrient content per 100 grams'!E22</f>
        <v>5.42</v>
      </c>
      <c r="L201" s="0" t="n">
        <f aca="false">'[1]Nutrient content per 100 grams'!F22</f>
        <v>5.7</v>
      </c>
      <c r="M201" s="0" t="n">
        <f aca="false">'[1]Nutrient content per 100 grams'!G22</f>
        <v>1.24</v>
      </c>
      <c r="N201" s="0" t="n">
        <f aca="false">'[1]Nutrient content per 100 grams'!H22</f>
        <v>1.47</v>
      </c>
      <c r="O201" s="0" t="n">
        <f aca="false">'[1]Nutrient content per 100 grams'!I22</f>
        <v>25</v>
      </c>
      <c r="P201" s="0" t="n">
        <f aca="false">'[1]Nutrient content per 100 grams'!J22</f>
        <v>65</v>
      </c>
      <c r="Q201" s="0" t="n">
        <f aca="false">'[1]Nutrient content per 100 grams'!K22</f>
        <v>0.132</v>
      </c>
      <c r="R201" s="0" t="n">
        <f aca="false">'[1]Nutrient content per 100 grams'!L22</f>
        <v>28.4</v>
      </c>
      <c r="S201" s="0" t="n">
        <f aca="false">'[1]Nutrient content per 100 grams'!M22</f>
        <v>244</v>
      </c>
      <c r="T201" s="0" t="n">
        <f aca="false">'[1]Nutrient content per 100 grams'!N22</f>
        <v>0.13</v>
      </c>
      <c r="U201" s="0" t="n">
        <f aca="false">'[1]Nutrient content per 100 grams'!O22</f>
        <v>24.8</v>
      </c>
      <c r="V201" s="0" t="n">
        <f aca="false">'[1]Nutrient content per 100 grams'!P22</f>
        <v>38</v>
      </c>
      <c r="W201" s="0" t="n">
        <f aca="false">'[1]Nutrient content per 100 grams'!Q22</f>
        <v>33</v>
      </c>
      <c r="X201" s="0" t="n">
        <f aca="false">'[1]Nutrient content per 100 grams'!R22</f>
        <v>108</v>
      </c>
      <c r="Y201" s="0" t="n">
        <f aca="false">'[1]Nutrient content per 100 grams'!S22</f>
        <v>0.176</v>
      </c>
      <c r="Z201" s="0" t="n">
        <f aca="false">'[1]Nutrient content per 100 grams'!T22</f>
        <v>0.41</v>
      </c>
      <c r="AA201" s="0" t="n">
        <f aca="false">'[1]Nutrient content per 100 grams'!U22</f>
        <v>1.8</v>
      </c>
      <c r="AB201" s="0" t="n">
        <f aca="false">'[1]Nutrient content per 100 grams'!V22</f>
        <v>40</v>
      </c>
      <c r="AC201" s="0" t="n">
        <f aca="false">'[1]Nutrient content per 100 grams'!W22</f>
        <v>0.266</v>
      </c>
      <c r="AD201" s="0" t="n">
        <f aca="false">'[1]Nutrient content per 100 grams'!X22</f>
        <v>2.09</v>
      </c>
      <c r="AE201" s="0" t="n">
        <f aca="false">'[1]Nutrient content per 100 grams'!Y22</f>
        <v>0.104</v>
      </c>
      <c r="AF201" s="0" t="n">
        <f aca="false">'[1]Nutrient content per 100 grams'!Z22</f>
        <v>0.169</v>
      </c>
      <c r="AG201" s="0" t="n">
        <f aca="false">'[1]Nutrient content per 100 grams'!AA22</f>
        <v>0.187</v>
      </c>
    </row>
    <row r="202" customFormat="false" ht="14.25" hidden="false" customHeight="false" outlineLevel="0" collapsed="false">
      <c r="A202" s="0" t="n">
        <v>420</v>
      </c>
      <c r="B202" s="0" t="s">
        <v>477</v>
      </c>
      <c r="C202" s="0" t="s">
        <v>478</v>
      </c>
      <c r="E202" s="0" t="n">
        <v>70890</v>
      </c>
      <c r="F202" s="0" t="n">
        <v>70890</v>
      </c>
      <c r="G202" s="0" t="n">
        <v>1243</v>
      </c>
      <c r="I202" s="0" t="n">
        <f aca="false">VLOOKUP($A202,content_factors_backup!$A$2:$Q$468,I$525,FALSE())</f>
        <v>50</v>
      </c>
      <c r="J202" s="0" t="n">
        <f aca="false">'[1]Nutrient content per 100 grams'!D23</f>
        <v>72</v>
      </c>
      <c r="K202" s="0" t="n">
        <f aca="false">'[1]Nutrient content per 100 grams'!E23</f>
        <v>5.6</v>
      </c>
      <c r="L202" s="0" t="n">
        <f aca="false">'[1]Nutrient content per 100 grams'!F23</f>
        <v>4.2</v>
      </c>
      <c r="M202" s="0" t="n">
        <f aca="false">'[1]Nutrient content per 100 grams'!G23</f>
        <v>0.58</v>
      </c>
      <c r="N202" s="0" t="n">
        <f aca="false">'[1]Nutrient content per 100 grams'!H23</f>
        <v>1.9</v>
      </c>
      <c r="O202" s="0" t="n">
        <f aca="false">'[1]Nutrient content per 100 grams'!I23</f>
        <v>22</v>
      </c>
      <c r="P202" s="0" t="n">
        <f aca="false">'[1]Nutrient content per 100 grams'!J23</f>
        <v>96</v>
      </c>
      <c r="Q202" s="0" t="n">
        <f aca="false">'[1]Nutrient content per 100 grams'!K23</f>
        <v>0.11</v>
      </c>
      <c r="R202" s="0" t="str">
        <f aca="false">'[1]Nutrient content per 100 grams'!L23</f>
        <v>NA</v>
      </c>
      <c r="S202" s="0" t="n">
        <f aca="false">'[1]Nutrient content per 100 grams'!M23</f>
        <v>250</v>
      </c>
      <c r="T202" s="0" t="str">
        <f aca="false">'[1]Nutrient content per 100 grams'!N23</f>
        <v>NA</v>
      </c>
      <c r="U202" s="0" t="str">
        <f aca="false">'[1]Nutrient content per 100 grams'!O23</f>
        <v>NA</v>
      </c>
      <c r="V202" s="0" t="n">
        <f aca="false">'[1]Nutrient content per 100 grams'!P23</f>
        <v>18</v>
      </c>
      <c r="W202" s="0" t="n">
        <f aca="false">'[1]Nutrient content per 100 grams'!Q23</f>
        <v>38</v>
      </c>
      <c r="X202" s="0" t="n">
        <f aca="false">'[1]Nutrient content per 100 grams'!R23</f>
        <v>95</v>
      </c>
      <c r="Y202" s="0" t="n">
        <f aca="false">'[1]Nutrient content per 100 grams'!S23</f>
        <v>0.074</v>
      </c>
      <c r="Z202" s="0" t="n">
        <f aca="false">'[1]Nutrient content per 100 grams'!T23</f>
        <v>0.32</v>
      </c>
      <c r="AA202" s="0" t="n">
        <f aca="false">'[1]Nutrient content per 100 grams'!U23</f>
        <v>1.2</v>
      </c>
      <c r="AB202" s="0" t="n">
        <f aca="false">'[1]Nutrient content per 100 grams'!V23</f>
        <v>33</v>
      </c>
      <c r="AC202" s="0" t="n">
        <f aca="false">'[1]Nutrient content per 100 grams'!W23</f>
        <v>0.17</v>
      </c>
      <c r="AD202" s="0" t="n">
        <f aca="false">'[1]Nutrient content per 100 grams'!X23</f>
        <v>1.5</v>
      </c>
      <c r="AE202" s="0" t="n">
        <f aca="false">'[1]Nutrient content per 100 grams'!Y23</f>
        <v>0.086</v>
      </c>
      <c r="AF202" s="0" t="n">
        <f aca="false">'[1]Nutrient content per 100 grams'!Z23</f>
        <v>0.038</v>
      </c>
      <c r="AG202" s="0" t="n">
        <f aca="false">'[1]Nutrient content per 100 grams'!AA23</f>
        <v>0.31</v>
      </c>
    </row>
    <row r="203" customFormat="false" ht="14.25" hidden="false" customHeight="false" outlineLevel="0" collapsed="false">
      <c r="A203" s="0" t="n">
        <v>423</v>
      </c>
      <c r="B203" s="0" t="s">
        <v>479</v>
      </c>
      <c r="C203" s="0" t="s">
        <v>480</v>
      </c>
      <c r="E203" s="0" t="n">
        <v>70820</v>
      </c>
      <c r="F203" s="0" t="n">
        <v>70820</v>
      </c>
      <c r="G203" s="0" t="n">
        <v>1241.01</v>
      </c>
      <c r="I203" s="0" t="n">
        <f aca="false">VLOOKUP($A203,content_factors_backup!$A$2:$Q$468,I$525,FALSE())</f>
        <v>50</v>
      </c>
      <c r="J203" s="0" t="n">
        <f aca="false">'[1]Nutrient content per 100 grams'!D24</f>
        <v>31</v>
      </c>
      <c r="K203" s="0" t="n">
        <f aca="false">'[1]Nutrient content per 100 grams'!E24</f>
        <v>1.83</v>
      </c>
      <c r="L203" s="0" t="n">
        <f aca="false">'[1]Nutrient content per 100 grams'!F24</f>
        <v>2.7</v>
      </c>
      <c r="M203" s="0" t="n">
        <f aca="false">'[1]Nutrient content per 100 grams'!G24</f>
        <v>0.24</v>
      </c>
      <c r="N203" s="0" t="n">
        <f aca="false">'[1]Nutrient content per 100 grams'!H24</f>
        <v>1.03</v>
      </c>
      <c r="O203" s="0" t="n">
        <f aca="false">'[1]Nutrient content per 100 grams'!I24</f>
        <v>37</v>
      </c>
      <c r="P203" s="0" t="n">
        <f aca="false">'[1]Nutrient content per 100 grams'!J24</f>
        <v>33</v>
      </c>
      <c r="Q203" s="0" t="n">
        <f aca="false">'[1]Nutrient content per 100 grams'!K24</f>
        <v>0.104</v>
      </c>
      <c r="R203" s="0" t="n">
        <f aca="false">'[1]Nutrient content per 100 grams'!L24</f>
        <v>15.3</v>
      </c>
      <c r="S203" s="0" t="n">
        <f aca="false">'[1]Nutrient content per 100 grams'!M24</f>
        <v>211</v>
      </c>
      <c r="T203" s="0" t="n">
        <f aca="false">'[1]Nutrient content per 100 grams'!N24</f>
        <v>0.41</v>
      </c>
      <c r="U203" s="0" t="n">
        <f aca="false">'[1]Nutrient content per 100 grams'!O24</f>
        <v>43</v>
      </c>
      <c r="V203" s="0" t="n">
        <f aca="false">'[1]Nutrient content per 100 grams'!P24</f>
        <v>35</v>
      </c>
      <c r="W203" s="0" t="n">
        <f aca="false">'[1]Nutrient content per 100 grams'!Q24</f>
        <v>25</v>
      </c>
      <c r="X203" s="0" t="n">
        <f aca="false">'[1]Nutrient content per 100 grams'!R24</f>
        <v>38</v>
      </c>
      <c r="Y203" s="0" t="n">
        <f aca="false">'[1]Nutrient content per 100 grams'!S24</f>
        <v>0.069</v>
      </c>
      <c r="Z203" s="0" t="n">
        <f aca="false">'[1]Nutrient content per 100 grams'!T24</f>
        <v>0.216</v>
      </c>
      <c r="AA203" s="0" t="n">
        <f aca="false">'[1]Nutrient content per 100 grams'!U24</f>
        <v>0.6</v>
      </c>
      <c r="AB203" s="0" t="n">
        <f aca="false">'[1]Nutrient content per 100 grams'!V24</f>
        <v>12.2</v>
      </c>
      <c r="AC203" s="0" t="n">
        <f aca="false">'[1]Nutrient content per 100 grams'!W24</f>
        <v>0.082</v>
      </c>
      <c r="AD203" s="0" t="n">
        <f aca="false">'[1]Nutrient content per 100 grams'!X24</f>
        <v>0.734</v>
      </c>
      <c r="AE203" s="0" t="n">
        <f aca="false">'[1]Nutrient content per 100 grams'!Y24</f>
        <v>0.225</v>
      </c>
      <c r="AF203" s="0" t="n">
        <f aca="false">'[1]Nutrient content per 100 grams'!Z24</f>
        <v>0.141</v>
      </c>
      <c r="AG203" s="0" t="n">
        <f aca="false">'[1]Nutrient content per 100 grams'!AA24</f>
        <v>0.113</v>
      </c>
    </row>
    <row r="204" customFormat="false" ht="14.25" hidden="false" customHeight="false" outlineLevel="0" collapsed="false">
      <c r="A204" s="0" t="n">
        <v>426</v>
      </c>
      <c r="B204" s="0" t="s">
        <v>481</v>
      </c>
      <c r="C204" s="0" t="s">
        <v>482</v>
      </c>
      <c r="E204" s="0" t="n">
        <v>70610</v>
      </c>
      <c r="F204" s="0" t="n">
        <v>70610</v>
      </c>
      <c r="G204" s="0" t="n">
        <v>1251</v>
      </c>
      <c r="I204" s="0" t="n">
        <f aca="false">VLOOKUP($A204,content_factors_backup!$A$2:$Q$468,I$525,FALSE())</f>
        <v>12</v>
      </c>
      <c r="J204" s="0" t="n">
        <f aca="false">'[1]Nutrient content per 100 grams'!D25</f>
        <v>38</v>
      </c>
      <c r="K204" s="0" t="n">
        <f aca="false">'[1]Nutrient content per 100 grams'!E25</f>
        <v>0.785</v>
      </c>
      <c r="L204" s="0" t="n">
        <f aca="false">'[1]Nutrient content per 100 grams'!F25</f>
        <v>2.85</v>
      </c>
      <c r="M204" s="0" t="n">
        <f aca="false">'[1]Nutrient content per 100 grams'!G25</f>
        <v>0.205</v>
      </c>
      <c r="N204" s="0" t="n">
        <f aca="false">'[1]Nutrient content per 100 grams'!H25</f>
        <v>0.595</v>
      </c>
      <c r="O204" s="0" t="n">
        <f aca="false">'[1]Nutrient content per 100 grams'!I25</f>
        <v>32.5</v>
      </c>
      <c r="P204" s="0" t="n">
        <f aca="false">'[1]Nutrient content per 100 grams'!J25</f>
        <v>23</v>
      </c>
      <c r="Q204" s="0" t="n">
        <f aca="false">'[1]Nutrient content per 100 grams'!K25</f>
        <v>0.047</v>
      </c>
      <c r="R204" s="0" t="n">
        <f aca="false">'[1]Nutrient content per 100 grams'!L25</f>
        <v>8.15</v>
      </c>
      <c r="S204" s="0" t="n">
        <f aca="false">'[1]Nutrient content per 100 grams'!M25</f>
        <v>278.5</v>
      </c>
      <c r="T204" s="0" t="n">
        <f aca="false">'[1]Nutrient content per 100 grams'!N25</f>
        <v>0.66</v>
      </c>
      <c r="U204" s="0" t="n">
        <f aca="false">'[1]Nutrient content per 100 grams'!O25</f>
        <v>11.3</v>
      </c>
      <c r="V204" s="0" t="n">
        <f aca="false">'[1]Nutrient content per 100 grams'!P25</f>
        <v>762.5</v>
      </c>
      <c r="W204" s="0" t="n">
        <f aca="false">'[1]Nutrient content per 100 grams'!Q25</f>
        <v>11</v>
      </c>
      <c r="X204" s="0" t="n">
        <f aca="false">'[1]Nutrient content per 100 grams'!R25</f>
        <v>31.5</v>
      </c>
      <c r="Y204" s="0" t="n">
        <f aca="false">'[1]Nutrient content per 100 grams'!S25</f>
        <v>0.0725</v>
      </c>
      <c r="Z204" s="0" t="n">
        <f aca="false">'[1]Nutrient content per 100 grams'!T25</f>
        <v>0.147</v>
      </c>
      <c r="AA204" s="0" t="n">
        <f aca="false">'[1]Nutrient content per 100 grams'!U25</f>
        <v>0.5</v>
      </c>
      <c r="AB204" s="0" t="n">
        <f aca="false">'[1]Nutrient content per 100 grams'!V25</f>
        <v>4.25</v>
      </c>
      <c r="AC204" s="0" t="n">
        <f aca="false">'[1]Nutrient content per 100 grams'!W25</f>
        <v>0.048</v>
      </c>
      <c r="AD204" s="0" t="n">
        <f aca="false">'[1]Nutrient content per 100 grams'!X25</f>
        <v>0.7695</v>
      </c>
      <c r="AE204" s="0" t="n">
        <f aca="false">'[1]Nutrient content per 100 grams'!Y25</f>
        <v>0.337</v>
      </c>
      <c r="AF204" s="0" t="n">
        <f aca="false">'[1]Nutrient content per 100 grams'!Z25</f>
        <v>0.1215</v>
      </c>
      <c r="AG204" s="0" t="n">
        <f aca="false">'[1]Nutrient content per 100 grams'!AA25</f>
        <v>0.091</v>
      </c>
    </row>
    <row r="205" customFormat="false" ht="14.25" hidden="false" customHeight="false" outlineLevel="0" collapsed="false">
      <c r="A205" s="0" t="n">
        <v>430</v>
      </c>
      <c r="B205" s="0" t="s">
        <v>483</v>
      </c>
      <c r="C205" s="0" t="s">
        <v>484</v>
      </c>
      <c r="E205" s="0" t="n">
        <v>70990</v>
      </c>
      <c r="F205" s="0" t="n">
        <v>70999</v>
      </c>
      <c r="G205" s="0" t="n">
        <v>1239.01</v>
      </c>
      <c r="I205" s="0" t="n">
        <f aca="false">VLOOKUP($A205,content_factors_backup!$A$2:$Q$468,I$525,FALSE())</f>
        <v>50</v>
      </c>
      <c r="J205" s="0" t="n">
        <f aca="false">'[1]Nutrient content per 100 grams'!D26</f>
        <v>33</v>
      </c>
      <c r="K205" s="0" t="n">
        <f aca="false">'[1]Nutrient content per 100 grams'!E26</f>
        <v>1.93</v>
      </c>
      <c r="L205" s="0" t="n">
        <f aca="false">'[1]Nutrient content per 100 grams'!F26</f>
        <v>3.2</v>
      </c>
      <c r="M205" s="0" t="n">
        <f aca="false">'[1]Nutrient content per 100 grams'!G26</f>
        <v>0.58</v>
      </c>
      <c r="N205" s="0" t="n">
        <f aca="false">'[1]Nutrient content per 100 grams'!H26</f>
        <v>0.62</v>
      </c>
      <c r="O205" s="0" t="n">
        <f aca="false">'[1]Nutrient content per 100 grams'!I26</f>
        <v>82</v>
      </c>
      <c r="P205" s="0" t="n">
        <f aca="false">'[1]Nutrient content per 100 grams'!J26</f>
        <v>60</v>
      </c>
      <c r="Q205" s="0" t="n">
        <f aca="false">'[1]Nutrient content per 100 grams'!K26</f>
        <v>0.06</v>
      </c>
      <c r="R205" s="0" t="n">
        <f aca="false">'[1]Nutrient content per 100 grams'!L26</f>
        <v>12.3</v>
      </c>
      <c r="S205" s="0" t="n">
        <f aca="false">'[1]Nutrient content per 100 grams'!M26</f>
        <v>299</v>
      </c>
      <c r="T205" s="0" t="n">
        <f aca="false">'[1]Nutrient content per 100 grams'!N26</f>
        <v>0.27</v>
      </c>
      <c r="U205" s="0" t="n">
        <f aca="false">'[1]Nutrient content per 100 grams'!O26</f>
        <v>31.3</v>
      </c>
      <c r="V205" s="0" t="n">
        <f aca="false">'[1]Nutrient content per 100 grams'!P26</f>
        <v>36</v>
      </c>
      <c r="W205" s="0" t="n">
        <f aca="false">'[1]Nutrient content per 100 grams'!Q26</f>
        <v>57</v>
      </c>
      <c r="X205" s="0" t="n">
        <f aca="false">'[1]Nutrient content per 100 grams'!R26</f>
        <v>61</v>
      </c>
      <c r="Y205" s="0" t="n">
        <f aca="false">'[1]Nutrient content per 100 grams'!S26</f>
        <v>0.109</v>
      </c>
      <c r="Z205" s="0" t="n">
        <f aca="false">'[1]Nutrient content per 100 grams'!T26</f>
        <v>0.788</v>
      </c>
      <c r="AA205" s="0" t="n">
        <f aca="false">'[1]Nutrient content per 100 grams'!U26</f>
        <v>0.7</v>
      </c>
      <c r="AB205" s="0" t="n">
        <f aca="false">'[1]Nutrient content per 100 grams'!V26</f>
        <v>23</v>
      </c>
      <c r="AC205" s="0" t="n">
        <f aca="false">'[1]Nutrient content per 100 grams'!W26</f>
        <v>0.2</v>
      </c>
      <c r="AD205" s="0" t="n">
        <f aca="false">'[1]Nutrient content per 100 grams'!X26</f>
        <v>1</v>
      </c>
      <c r="AE205" s="0" t="n">
        <f aca="false">'[1]Nutrient content per 100 grams'!Y26</f>
        <v>0.245</v>
      </c>
      <c r="AF205" s="0" t="n">
        <f aca="false">'[1]Nutrient content per 100 grams'!Z26</f>
        <v>0.215</v>
      </c>
      <c r="AG205" s="0" t="n">
        <f aca="false">'[1]Nutrient content per 100 grams'!AA26</f>
        <v>0.027</v>
      </c>
    </row>
    <row r="206" customFormat="false" ht="14.25" hidden="false" customHeight="false" outlineLevel="0" collapsed="false">
      <c r="A206" s="0" t="n">
        <v>446</v>
      </c>
      <c r="B206" s="0" t="s">
        <v>485</v>
      </c>
      <c r="C206" s="0" t="s">
        <v>486</v>
      </c>
      <c r="E206" s="0" t="n">
        <v>70990</v>
      </c>
      <c r="F206" s="0" t="n">
        <v>70999</v>
      </c>
      <c r="G206" s="0" t="n">
        <v>1290.01</v>
      </c>
      <c r="I206" s="0" t="n">
        <f aca="false">VLOOKUP($A206,content_factors_backup!$A$2:$Q$468,I$525,FALSE())</f>
        <v>28</v>
      </c>
      <c r="J206" s="0" t="n">
        <f aca="false">'[1]Nutrient content per 100 grams'!D27</f>
        <v>86</v>
      </c>
      <c r="K206" s="0" t="n">
        <f aca="false">'[1]Nutrient content per 100 grams'!E27</f>
        <v>3.245</v>
      </c>
      <c r="L206" s="0" t="n">
        <f aca="false">'[1]Nutrient content per 100 grams'!F27</f>
        <v>2.35</v>
      </c>
      <c r="M206" s="0" t="n">
        <f aca="false">'[1]Nutrient content per 100 grams'!G27</f>
        <v>0.455</v>
      </c>
      <c r="N206" s="0" t="n">
        <f aca="false">'[1]Nutrient content per 100 grams'!H27</f>
        <v>0.52</v>
      </c>
      <c r="O206" s="0" t="n">
        <f aca="false">'[1]Nutrient content per 100 grams'!I27</f>
        <v>2</v>
      </c>
      <c r="P206" s="0" t="n">
        <f aca="false">'[1]Nutrient content per 100 grams'!J27</f>
        <v>44</v>
      </c>
      <c r="Q206" s="0" t="n">
        <f aca="false">'[1]Nutrient content per 100 grams'!K27</f>
        <v>0.0575</v>
      </c>
      <c r="R206" s="0" t="n">
        <f aca="false">'[1]Nutrient content per 100 grams'!L27</f>
        <v>23</v>
      </c>
      <c r="S206" s="0" t="n">
        <f aca="false">'[1]Nutrient content per 100 grams'!M27</f>
        <v>270</v>
      </c>
      <c r="T206" s="0" t="n">
        <f aca="false">'[1]Nutrient content per 100 grams'!N27</f>
        <v>0.07</v>
      </c>
      <c r="U206" s="0" t="n">
        <f aca="false">'[1]Nutrient content per 100 grams'!O27</f>
        <v>0.3</v>
      </c>
      <c r="V206" s="0" t="n">
        <f aca="false">'[1]Nutrient content per 100 grams'!P27</f>
        <v>4.5</v>
      </c>
      <c r="W206" s="0" t="n">
        <f aca="false">'[1]Nutrient content per 100 grams'!Q27</f>
        <v>37</v>
      </c>
      <c r="X206" s="0" t="n">
        <f aca="false">'[1]Nutrient content per 100 grams'!R27</f>
        <v>89</v>
      </c>
      <c r="Y206" s="0" t="n">
        <f aca="false">'[1]Nutrient content per 100 grams'!S27</f>
        <v>0.054</v>
      </c>
      <c r="Z206" s="0" t="n">
        <f aca="false">'[1]Nutrient content per 100 grams'!T27</f>
        <v>0.162</v>
      </c>
      <c r="AA206" s="0" t="n">
        <f aca="false">'[1]Nutrient content per 100 grams'!U27</f>
        <v>0.6</v>
      </c>
      <c r="AB206" s="0" t="n">
        <f aca="false">'[1]Nutrient content per 100 grams'!V27</f>
        <v>6.8</v>
      </c>
      <c r="AC206" s="0" t="n">
        <f aca="false">'[1]Nutrient content per 100 grams'!W27</f>
        <v>0.1775</v>
      </c>
      <c r="AD206" s="0" t="n">
        <f aca="false">'[1]Nutrient content per 100 grams'!X27</f>
        <v>1.735</v>
      </c>
      <c r="AE206" s="0" t="n">
        <f aca="false">'[1]Nutrient content per 100 grams'!Y27</f>
        <v>0.7385</v>
      </c>
      <c r="AF206" s="0" t="n">
        <f aca="false">'[1]Nutrient content per 100 grams'!Z27</f>
        <v>0.074</v>
      </c>
      <c r="AG206" s="0" t="n">
        <f aca="false">'[1]Nutrient content per 100 grams'!AA27</f>
        <v>0.523</v>
      </c>
    </row>
    <row r="207" customFormat="false" ht="14.25" hidden="false" customHeight="false" outlineLevel="0" collapsed="false">
      <c r="A207" s="0" t="n">
        <v>447</v>
      </c>
      <c r="B207" s="0" t="s">
        <v>487</v>
      </c>
      <c r="C207" s="0" t="s">
        <v>488</v>
      </c>
      <c r="E207" s="0" t="n">
        <v>71040</v>
      </c>
      <c r="F207" s="0" t="n">
        <v>71040</v>
      </c>
      <c r="G207" s="0" t="n">
        <v>21319.01</v>
      </c>
      <c r="I207" s="0" t="n">
        <f aca="false">VLOOKUP($A207,content_factors_backup!$A$2:$Q$468,I$525,FALSE())</f>
        <v>28</v>
      </c>
      <c r="J207" s="0" t="n">
        <f aca="false">'[1]Nutrient content per 100 grams'!D28</f>
        <v>93</v>
      </c>
      <c r="K207" s="0" t="n">
        <f aca="false">'[1]Nutrient content per 100 grams'!E28</f>
        <v>3.15</v>
      </c>
      <c r="L207" s="0" t="n">
        <f aca="false">'[1]Nutrient content per 100 grams'!F28</f>
        <v>2.45</v>
      </c>
      <c r="M207" s="0" t="n">
        <f aca="false">'[1]Nutrient content per 100 grams'!G28</f>
        <v>0.54</v>
      </c>
      <c r="N207" s="0" t="n">
        <f aca="false">'[1]Nutrient content per 100 grams'!H28</f>
        <v>0.55</v>
      </c>
      <c r="O207" s="0" t="n">
        <f aca="false">'[1]Nutrient content per 100 grams'!I28</f>
        <v>4</v>
      </c>
      <c r="P207" s="0" t="n">
        <f aca="false">'[1]Nutrient content per 100 grams'!J28</f>
        <v>38</v>
      </c>
      <c r="Q207" s="0" t="n">
        <f aca="false">'[1]Nutrient content per 100 grams'!K28</f>
        <v>0.078</v>
      </c>
      <c r="R207" s="0" t="n">
        <f aca="false">'[1]Nutrient content per 100 grams'!L28</f>
        <v>24</v>
      </c>
      <c r="S207" s="0" t="n">
        <f aca="false">'[1]Nutrient content per 100 grams'!M28</f>
        <v>253.5</v>
      </c>
      <c r="T207" s="0" t="n">
        <f aca="false">'[1]Nutrient content per 100 grams'!N28</f>
        <v>0.085</v>
      </c>
      <c r="U207" s="0" t="n">
        <f aca="false">'[1]Nutrient content per 100 grams'!O28</f>
        <v>0.35</v>
      </c>
      <c r="V207" s="0" t="n">
        <f aca="false">'[1]Nutrient content per 100 grams'!P28</f>
        <v>11</v>
      </c>
      <c r="W207" s="0" t="n">
        <f aca="false">'[1]Nutrient content per 100 grams'!Q28</f>
        <v>25</v>
      </c>
      <c r="X207" s="0" t="n">
        <f aca="false">'[1]Nutrient content per 100 grams'!R28</f>
        <v>78.5</v>
      </c>
      <c r="Y207" s="0" t="n">
        <f aca="false">'[1]Nutrient content per 100 grams'!S28</f>
        <v>0.0435</v>
      </c>
      <c r="Z207" s="0" t="n">
        <f aca="false">'[1]Nutrient content per 100 grams'!T28</f>
        <v>0.1405</v>
      </c>
      <c r="AA207" s="0" t="n">
        <f aca="false">'[1]Nutrient content per 100 grams'!U28</f>
        <v>0.75</v>
      </c>
      <c r="AB207" s="0" t="n">
        <f aca="false">'[1]Nutrient content per 100 grams'!V28</f>
        <v>6.8</v>
      </c>
      <c r="AC207" s="0" t="n">
        <f aca="false">'[1]Nutrient content per 100 grams'!W28</f>
        <v>0.093</v>
      </c>
      <c r="AD207" s="0" t="n">
        <f aca="false">'[1]Nutrient content per 100 grams'!X28</f>
        <v>1.71</v>
      </c>
      <c r="AE207" s="0" t="n">
        <f aca="false">'[1]Nutrient content per 100 grams'!Y28</f>
        <v>0.327</v>
      </c>
      <c r="AF207" s="0" t="n">
        <f aca="false">'[1]Nutrient content per 100 grams'!Z28</f>
        <v>0.1735</v>
      </c>
      <c r="AG207" s="0" t="n">
        <f aca="false">'[1]Nutrient content per 100 grams'!AA28</f>
        <v>0.3665</v>
      </c>
    </row>
    <row r="208" customFormat="false" ht="14.25" hidden="false" customHeight="false" outlineLevel="0" collapsed="false">
      <c r="A208" s="0" t="n">
        <v>448</v>
      </c>
      <c r="B208" s="0" t="s">
        <v>489</v>
      </c>
      <c r="C208" s="0" t="s">
        <v>490</v>
      </c>
      <c r="E208" s="0" t="n">
        <v>200580</v>
      </c>
      <c r="F208" s="0" t="n">
        <v>200580</v>
      </c>
      <c r="G208" s="0" t="n">
        <v>21399.03</v>
      </c>
      <c r="I208" s="0" t="n">
        <f aca="false">VLOOKUP($A208,content_factors_backup!$A$2:$Q$468,I$525,FALSE())</f>
        <v>28</v>
      </c>
      <c r="J208" s="0" t="n">
        <f aca="false">'[1]Nutrient content per 100 grams'!D29</f>
        <v>74.8333333333333</v>
      </c>
      <c r="K208" s="0" t="n">
        <f aca="false">'[1]Nutrient content per 100 grams'!E29</f>
        <v>2.33</v>
      </c>
      <c r="L208" s="0" t="n">
        <f aca="false">'[1]Nutrient content per 100 grams'!F29</f>
        <v>1.83333333333333</v>
      </c>
      <c r="M208" s="0" t="n">
        <f aca="false">'[1]Nutrient content per 100 grams'!G29</f>
        <v>0.433333333333333</v>
      </c>
      <c r="N208" s="0" t="n">
        <f aca="false">'[1]Nutrient content per 100 grams'!H29</f>
        <v>0.35</v>
      </c>
      <c r="O208" s="0" t="n">
        <f aca="false">'[1]Nutrient content per 100 grams'!I29</f>
        <v>3.33333333333333</v>
      </c>
      <c r="P208" s="0" t="n">
        <f aca="false">'[1]Nutrient content per 100 grams'!J29</f>
        <v>36.6666666666667</v>
      </c>
      <c r="Q208" s="0" t="n">
        <f aca="false">'[1]Nutrient content per 100 grams'!K29</f>
        <v>0.0503333333333333</v>
      </c>
      <c r="R208" s="0" t="n">
        <f aca="false">'[1]Nutrient content per 100 grams'!L29</f>
        <v>21.24</v>
      </c>
      <c r="S208" s="0" t="n">
        <f aca="false">'[1]Nutrient content per 100 grams'!M29</f>
        <v>153.666666666667</v>
      </c>
      <c r="T208" s="0" t="n">
        <f aca="false">'[1]Nutrient content per 100 grams'!N29</f>
        <v>0.064</v>
      </c>
      <c r="U208" s="0" t="n">
        <f aca="false">'[1]Nutrient content per 100 grams'!O29</f>
        <v>0.08</v>
      </c>
      <c r="V208" s="0" t="n">
        <f aca="false">'[1]Nutrient content per 100 grams'!P29</f>
        <v>5</v>
      </c>
      <c r="W208" s="0" t="n">
        <f aca="false">'[1]Nutrient content per 100 grams'!Q29</f>
        <v>17.5</v>
      </c>
      <c r="X208" s="0" t="n">
        <f aca="false">'[1]Nutrient content per 100 grams'!R29</f>
        <v>54.1666666666667</v>
      </c>
      <c r="Y208" s="0" t="n">
        <f aca="false">'[1]Nutrient content per 100 grams'!S29</f>
        <v>0.0401666666666667</v>
      </c>
      <c r="Z208" s="0" t="n">
        <f aca="false">'[1]Nutrient content per 100 grams'!T29</f>
        <v>0.0845</v>
      </c>
      <c r="AA208" s="0" t="n">
        <f aca="false">'[1]Nutrient content per 100 grams'!U29</f>
        <v>0.48</v>
      </c>
      <c r="AB208" s="0" t="n">
        <f aca="false">'[1]Nutrient content per 100 grams'!V29</f>
        <v>4.05</v>
      </c>
      <c r="AC208" s="0" t="n">
        <f aca="false">'[1]Nutrient content per 100 grams'!W29</f>
        <v>0.038</v>
      </c>
      <c r="AD208" s="0" t="n">
        <f aca="false">'[1]Nutrient content per 100 grams'!X29</f>
        <v>1.07983333333333</v>
      </c>
      <c r="AE208" s="0" t="n">
        <f aca="false">'[1]Nutrient content per 100 grams'!Y29</f>
        <v>0.4756</v>
      </c>
      <c r="AF208" s="0" t="n">
        <f aca="false">'[1]Nutrient content per 100 grams'!Z29</f>
        <v>0.0662</v>
      </c>
      <c r="AG208" s="0" t="n">
        <f aca="false">'[1]Nutrient content per 100 grams'!AA29</f>
        <v>0.412</v>
      </c>
    </row>
    <row r="209" customFormat="false" ht="14.25" hidden="false" customHeight="false" outlineLevel="0" collapsed="false">
      <c r="A209" s="0" t="n">
        <v>449</v>
      </c>
      <c r="B209" s="0" t="s">
        <v>491</v>
      </c>
      <c r="C209" s="0" t="s">
        <v>492</v>
      </c>
      <c r="E209" s="0" t="s">
        <v>493</v>
      </c>
      <c r="F209" s="0" t="s">
        <v>493</v>
      </c>
      <c r="G209" s="0" t="n">
        <v>1270</v>
      </c>
      <c r="I209" s="0" t="n">
        <f aca="false">VLOOKUP($A209,content_factors_backup!$A$2:$Q$468,I$525,FALSE())</f>
        <v>10</v>
      </c>
      <c r="J209" s="0" t="n">
        <f aca="false">'[1]Nutrient content per 100 grams'!D30</f>
        <v>32</v>
      </c>
      <c r="K209" s="0" t="n">
        <f aca="false">'[1]Nutrient content per 100 grams'!E30</f>
        <v>2.43833333333333</v>
      </c>
      <c r="L209" s="0" t="n">
        <f aca="false">'[1]Nutrient content per 100 grams'!F30</f>
        <v>2.6</v>
      </c>
      <c r="M209" s="0" t="n">
        <f aca="false">'[1]Nutrient content per 100 grams'!G30</f>
        <v>0.906666666666667</v>
      </c>
      <c r="N209" s="0" t="n">
        <f aca="false">'[1]Nutrient content per 100 grams'!H30</f>
        <v>3.12333333333333</v>
      </c>
      <c r="O209" s="0" t="n">
        <f aca="false">'[1]Nutrient content per 100 grams'!I30</f>
        <v>10.8333333333333</v>
      </c>
      <c r="P209" s="0" t="n">
        <f aca="false">'[1]Nutrient content per 100 grams'!J30</f>
        <v>24.3333333333333</v>
      </c>
      <c r="Q209" s="0" t="n">
        <f aca="false">'[1]Nutrient content per 100 grams'!K30</f>
        <v>0.2235</v>
      </c>
      <c r="R209" s="0" t="n">
        <f aca="false">'[1]Nutrient content per 100 grams'!L30</f>
        <v>42.175</v>
      </c>
      <c r="S209" s="0" t="n">
        <f aca="false">'[1]Nutrient content per 100 grams'!M30</f>
        <v>377.333333333333</v>
      </c>
      <c r="T209" s="0" t="n">
        <f aca="false">'[1]Nutrient content per 100 grams'!N30</f>
        <v>0.01</v>
      </c>
      <c r="U209" s="0" t="n">
        <f aca="false">'[1]Nutrient content per 100 grams'!O30</f>
        <v>0</v>
      </c>
      <c r="V209" s="0" t="n">
        <f aca="false">'[1]Nutrient content per 100 grams'!P30</f>
        <v>0.5</v>
      </c>
      <c r="W209" s="0" t="n">
        <f aca="false">'[1]Nutrient content per 100 grams'!Q30</f>
        <v>15.2</v>
      </c>
      <c r="X209" s="0" t="n">
        <f aca="false">'[1]Nutrient content per 100 grams'!R30</f>
        <v>109.666666666667</v>
      </c>
      <c r="Y209" s="0" t="n">
        <f aca="false">'[1]Nutrient content per 100 grams'!S30</f>
        <v>0.311166666666667</v>
      </c>
      <c r="Z209" s="0" t="n">
        <f aca="false">'[1]Nutrient content per 100 grams'!T30</f>
        <v>0.198166666666667</v>
      </c>
      <c r="AA209" s="0" t="n">
        <f aca="false">'[1]Nutrient content per 100 grams'!U30</f>
        <v>5</v>
      </c>
      <c r="AB209" s="0" t="n">
        <f aca="false">'[1]Nutrient content per 100 grams'!V30</f>
        <v>0</v>
      </c>
      <c r="AC209" s="0" t="n">
        <f aca="false">'[1]Nutrient content per 100 grams'!W30</f>
        <v>0.1065</v>
      </c>
      <c r="AD209" s="0" t="n">
        <f aca="false">'[1]Nutrient content per 100 grams'!X30</f>
        <v>4.90066666666667</v>
      </c>
      <c r="AE209" s="0" t="n">
        <f aca="false">'[1]Nutrient content per 100 grams'!Y30</f>
        <v>0.928166666666667</v>
      </c>
      <c r="AF209" s="0" t="n">
        <f aca="false">'[1]Nutrient content per 100 grams'!Z30</f>
        <v>0.099</v>
      </c>
      <c r="AG209" s="0" t="n">
        <f aca="false">'[1]Nutrient content per 100 grams'!AA30</f>
        <v>0.1706</v>
      </c>
    </row>
    <row r="210" customFormat="false" ht="14.25" hidden="false" customHeight="false" outlineLevel="0" collapsed="false">
      <c r="A210" s="0" t="n">
        <v>451</v>
      </c>
      <c r="B210" s="0" t="s">
        <v>494</v>
      </c>
      <c r="C210" s="0" t="s">
        <v>495</v>
      </c>
      <c r="E210" s="0" t="s">
        <v>496</v>
      </c>
      <c r="F210" s="0" t="s">
        <v>497</v>
      </c>
      <c r="G210" s="0" t="n">
        <v>21397.01</v>
      </c>
      <c r="I210" s="0" t="n">
        <f aca="false">VLOOKUP($A210,content_factors_backup!$A$2:$Q$468,I$525,FALSE())</f>
        <v>20</v>
      </c>
      <c r="J210" s="0" t="n">
        <f aca="false">'[1]Nutrient content per 100 grams'!D31</f>
        <v>25</v>
      </c>
      <c r="K210" s="0" t="n">
        <f aca="false">'[1]Nutrient content per 100 grams'!E31</f>
        <v>1.87</v>
      </c>
      <c r="L210" s="0" t="n">
        <f aca="false">'[1]Nutrient content per 100 grams'!F31</f>
        <v>2.4</v>
      </c>
      <c r="M210" s="0" t="n">
        <f aca="false">'[1]Nutrient content per 100 grams'!G31</f>
        <v>0.72</v>
      </c>
      <c r="N210" s="0" t="n">
        <f aca="false">'[1]Nutrient content per 100 grams'!H31</f>
        <v>0.79</v>
      </c>
      <c r="O210" s="0" t="n">
        <f aca="false">'[1]Nutrient content per 100 grams'!I31</f>
        <v>11</v>
      </c>
      <c r="P210" s="0" t="n">
        <f aca="false">'[1]Nutrient content per 100 grams'!J31</f>
        <v>12</v>
      </c>
      <c r="Q210" s="0" t="n">
        <f aca="false">'[1]Nutrient content per 100 grams'!K31</f>
        <v>0.021</v>
      </c>
      <c r="R210" s="0" t="n">
        <f aca="false">'[1]Nutrient content per 100 grams'!L31</f>
        <v>20.4</v>
      </c>
      <c r="S210" s="0" t="n">
        <f aca="false">'[1]Nutrient content per 100 grams'!M31</f>
        <v>129</v>
      </c>
      <c r="T210" s="0" t="n">
        <f aca="false">'[1]Nutrient content per 100 grams'!N31</f>
        <v>0.01</v>
      </c>
      <c r="U210" s="0" t="n">
        <f aca="false">'[1]Nutrient content per 100 grams'!O31</f>
        <v>0</v>
      </c>
      <c r="V210" s="0" t="n">
        <f aca="false">'[1]Nutrient content per 100 grams'!P31</f>
        <v>0</v>
      </c>
      <c r="W210" s="0" t="n">
        <f aca="false">'[1]Nutrient content per 100 grams'!Q31</f>
        <v>15</v>
      </c>
      <c r="X210" s="0" t="n">
        <f aca="false">'[1]Nutrient content per 100 grams'!R31</f>
        <v>66</v>
      </c>
      <c r="Y210" s="0" t="n">
        <f aca="false">'[1]Nutrient content per 100 grams'!S31</f>
        <v>0.235</v>
      </c>
      <c r="Z210" s="0" t="n">
        <f aca="false">'[1]Nutrient content per 100 grams'!T31</f>
        <v>0.086</v>
      </c>
      <c r="AA210" s="0" t="n">
        <f aca="false">'[1]Nutrient content per 100 grams'!U31</f>
        <v>4.1</v>
      </c>
      <c r="AB210" s="0" t="n">
        <f aca="false">'[1]Nutrient content per 100 grams'!V31</f>
        <v>0</v>
      </c>
      <c r="AC210" s="0" t="n">
        <f aca="false">'[1]Nutrient content per 100 grams'!W31</f>
        <v>0.085</v>
      </c>
      <c r="AD210" s="0" t="n">
        <f aca="false">'[1]Nutrient content per 100 grams'!X31</f>
        <v>1.593</v>
      </c>
      <c r="AE210" s="0" t="n">
        <f aca="false">'[1]Nutrient content per 100 grams'!Y31</f>
        <v>0.811</v>
      </c>
      <c r="AF210" s="0" t="n">
        <f aca="false">'[1]Nutrient content per 100 grams'!Z31</f>
        <v>0.061</v>
      </c>
      <c r="AG210" s="0" t="n">
        <f aca="false">'[1]Nutrient content per 100 grams'!AA31</f>
        <v>0.113</v>
      </c>
    </row>
    <row r="211" customFormat="false" ht="14.25" hidden="false" customHeight="false" outlineLevel="0" collapsed="false">
      <c r="A211" s="0" t="n">
        <v>459</v>
      </c>
      <c r="B211" s="0" t="s">
        <v>498</v>
      </c>
      <c r="C211" s="0" t="s">
        <v>499</v>
      </c>
      <c r="E211" s="0" t="n">
        <v>121299</v>
      </c>
      <c r="F211" s="0" t="n">
        <v>121294</v>
      </c>
      <c r="G211" s="0" t="n">
        <v>1691</v>
      </c>
      <c r="I211" s="0" t="n">
        <f aca="false">VLOOKUP($A211,content_factors_backup!$A$2:$Q$468,I$525,FALSE())</f>
        <v>50</v>
      </c>
      <c r="J211" s="0" t="n">
        <f aca="false">'[1]Nutrient content per 100 grams'!D32</f>
        <v>72</v>
      </c>
      <c r="K211" s="0" t="n">
        <f aca="false">'[1]Nutrient content per 100 grams'!E32</f>
        <v>1.4</v>
      </c>
      <c r="L211" s="0" t="n">
        <f aca="false">'[1]Nutrient content per 100 grams'!F32</f>
        <v>1.5</v>
      </c>
      <c r="M211" s="0" t="n">
        <f aca="false">'[1]Nutrient content per 100 grams'!G32</f>
        <v>0.33</v>
      </c>
      <c r="N211" s="0" t="n">
        <f aca="false">'[1]Nutrient content per 100 grams'!H32</f>
        <v>0.8</v>
      </c>
      <c r="O211" s="0" t="n">
        <f aca="false">'[1]Nutrient content per 100 grams'!I32</f>
        <v>41</v>
      </c>
      <c r="P211" s="0" t="n">
        <f aca="false">'[1]Nutrient content per 100 grams'!J32</f>
        <v>23</v>
      </c>
      <c r="Q211" s="0" t="n">
        <f aca="false">'[1]Nutrient content per 100 grams'!K32</f>
        <v>0.03</v>
      </c>
      <c r="R211" s="0" t="str">
        <f aca="false">'[1]Nutrient content per 100 grams'!L32</f>
        <v>NA</v>
      </c>
      <c r="S211" s="0" t="n">
        <f aca="false">'[1]Nutrient content per 100 grams'!M32</f>
        <v>290</v>
      </c>
      <c r="T211" s="0" t="str">
        <f aca="false">'[1]Nutrient content per 100 grams'!N32</f>
        <v>NA</v>
      </c>
      <c r="U211" s="0" t="str">
        <f aca="false">'[1]Nutrient content per 100 grams'!O32</f>
        <v>NA</v>
      </c>
      <c r="V211" s="0" t="n">
        <f aca="false">'[1]Nutrient content per 100 grams'!P32</f>
        <v>0</v>
      </c>
      <c r="W211" s="0" t="n">
        <f aca="false">'[1]Nutrient content per 100 grams'!Q32</f>
        <v>22</v>
      </c>
      <c r="X211" s="0" t="n">
        <f aca="false">'[1]Nutrient content per 100 grams'!R32</f>
        <v>61</v>
      </c>
      <c r="Y211" s="0" t="n">
        <f aca="false">'[1]Nutrient content per 100 grams'!S32</f>
        <v>0.077</v>
      </c>
      <c r="Z211" s="0" t="n">
        <f aca="false">'[1]Nutrient content per 100 grams'!T32</f>
        <v>0.233</v>
      </c>
      <c r="AA211" s="0" t="n">
        <f aca="false">'[1]Nutrient content per 100 grams'!U32</f>
        <v>0.7</v>
      </c>
      <c r="AB211" s="0" t="n">
        <f aca="false">'[1]Nutrient content per 100 grams'!V32</f>
        <v>5</v>
      </c>
      <c r="AC211" s="0" t="n">
        <f aca="false">'[1]Nutrient content per 100 grams'!W32</f>
        <v>0.04</v>
      </c>
      <c r="AD211" s="0" t="n">
        <f aca="false">'[1]Nutrient content per 100 grams'!X32</f>
        <v>0.4</v>
      </c>
      <c r="AE211" s="0" t="n">
        <f aca="false">'[1]Nutrient content per 100 grams'!Y32</f>
        <v>0.323</v>
      </c>
      <c r="AF211" s="0" t="n">
        <f aca="false">'[1]Nutrient content per 100 grams'!Z32</f>
        <v>0.241</v>
      </c>
      <c r="AG211" s="0" t="n">
        <f aca="false">'[1]Nutrient content per 100 grams'!AA32</f>
        <v>0.087</v>
      </c>
    </row>
    <row r="212" customFormat="false" ht="14.25" hidden="false" customHeight="false" outlineLevel="0" collapsed="false">
      <c r="A212" s="0" t="n">
        <v>460</v>
      </c>
      <c r="B212" s="0" t="s">
        <v>500</v>
      </c>
      <c r="C212" s="0" t="s">
        <v>501</v>
      </c>
      <c r="E212" s="0" t="n">
        <v>121299</v>
      </c>
      <c r="F212" s="0" t="n">
        <v>121299</v>
      </c>
      <c r="G212" s="0" t="n">
        <v>1990.01</v>
      </c>
      <c r="I212" s="0" t="n">
        <f aca="false">VLOOKUP($A212,content_factors_backup!$A$2:$Q$468,I$525,FALSE())</f>
        <v>50</v>
      </c>
      <c r="J212" s="0" t="n">
        <f aca="false">'[1]Nutrient content per 100 grams'!D33</f>
        <v>81.5</v>
      </c>
      <c r="K212" s="0" t="n">
        <f aca="false">'[1]Nutrient content per 100 grams'!E33</f>
        <v>3.365</v>
      </c>
      <c r="L212" s="0" t="n">
        <f aca="false">'[1]Nutrient content per 100 grams'!F33</f>
        <v>4.9</v>
      </c>
      <c r="M212" s="0" t="n">
        <f aca="false">'[1]Nutrient content per 100 grams'!G33</f>
        <v>0.335</v>
      </c>
      <c r="N212" s="0" t="n">
        <f aca="false">'[1]Nutrient content per 100 grams'!H33</f>
        <v>1.055</v>
      </c>
      <c r="O212" s="0" t="n">
        <f aca="false">'[1]Nutrient content per 100 grams'!I33</f>
        <v>44.5</v>
      </c>
      <c r="P212" s="0" t="n">
        <f aca="false">'[1]Nutrient content per 100 grams'!J33</f>
        <v>20.5</v>
      </c>
      <c r="Q212" s="0" t="n">
        <f aca="false">'[1]Nutrient content per 100 grams'!K33</f>
        <v>0.13</v>
      </c>
      <c r="R212" s="0" t="str">
        <f aca="false">'[1]Nutrient content per 100 grams'!L33</f>
        <v>NA</v>
      </c>
      <c r="S212" s="0" t="n">
        <f aca="false">'[1]Nutrient content per 100 grams'!M33</f>
        <v>461.5</v>
      </c>
      <c r="T212" s="0" t="str">
        <f aca="false">'[1]Nutrient content per 100 grams'!N33</f>
        <v>NA</v>
      </c>
      <c r="U212" s="0" t="str">
        <f aca="false">'[1]Nutrient content per 100 grams'!O33</f>
        <v>NA</v>
      </c>
      <c r="V212" s="0" t="n">
        <f aca="false">'[1]Nutrient content per 100 grams'!P33</f>
        <v>0.5</v>
      </c>
      <c r="W212" s="0" t="n">
        <f aca="false">'[1]Nutrient content per 100 grams'!Q33</f>
        <v>39.5</v>
      </c>
      <c r="X212" s="0" t="n">
        <f aca="false">'[1]Nutrient content per 100 grams'!R33</f>
        <v>134</v>
      </c>
      <c r="Y212" s="0" t="n">
        <f aca="false">'[1]Nutrient content per 100 grams'!S33</f>
        <v>0.1755</v>
      </c>
      <c r="Z212" s="0" t="n">
        <f aca="false">'[1]Nutrient content per 100 grams'!T33</f>
        <v>0.441</v>
      </c>
      <c r="AA212" s="0" t="n">
        <f aca="false">'[1]Nutrient content per 100 grams'!U33</f>
        <v>0.7</v>
      </c>
      <c r="AB212" s="0" t="n">
        <f aca="false">'[1]Nutrient content per 100 grams'!V33</f>
        <v>22</v>
      </c>
      <c r="AC212" s="0" t="n">
        <f aca="false">'[1]Nutrient content per 100 grams'!W33</f>
        <v>0.1655</v>
      </c>
      <c r="AD212" s="0" t="n">
        <f aca="false">'[1]Nutrient content per 100 grams'!X33</f>
        <v>0.4145</v>
      </c>
      <c r="AE212" s="0" t="n">
        <f aca="false">'[1]Nutrient content per 100 grams'!Y33</f>
        <v>0.3025</v>
      </c>
      <c r="AF212" s="0" t="n">
        <f aca="false">'[1]Nutrient content per 100 grams'!Z33</f>
        <v>0.213</v>
      </c>
      <c r="AG212" s="0" t="n">
        <f aca="false">'[1]Nutrient content per 100 grams'!AA33</f>
        <v>0.166</v>
      </c>
    </row>
    <row r="213" customFormat="false" ht="14.25" hidden="false" customHeight="false" outlineLevel="0" collapsed="false">
      <c r="A213" s="0" t="n">
        <v>461</v>
      </c>
      <c r="B213" s="0" t="s">
        <v>502</v>
      </c>
      <c r="C213" s="0" t="s">
        <v>503</v>
      </c>
      <c r="E213" s="0" t="n">
        <v>121299</v>
      </c>
      <c r="F213" s="0" t="n">
        <v>121292</v>
      </c>
      <c r="G213" s="0" t="n">
        <v>1356</v>
      </c>
      <c r="I213" s="0" t="n">
        <f aca="false">VLOOKUP($A213,content_factors_backup!$A$2:$Q$468,I$525,FALSE())</f>
        <v>50</v>
      </c>
      <c r="J213" s="0" t="n">
        <v>0</v>
      </c>
      <c r="K213" s="0" t="n">
        <v>1</v>
      </c>
      <c r="L213" s="0" t="n">
        <v>2</v>
      </c>
      <c r="M213" s="0" t="n">
        <v>3</v>
      </c>
      <c r="N213" s="0" t="n">
        <v>4</v>
      </c>
      <c r="O213" s="0" t="n">
        <v>5</v>
      </c>
      <c r="P213" s="0" t="n">
        <v>6</v>
      </c>
      <c r="Q213" s="0" t="n">
        <v>7</v>
      </c>
      <c r="R213" s="0" t="n">
        <v>8</v>
      </c>
      <c r="S213" s="0" t="n">
        <v>9</v>
      </c>
      <c r="T213" s="0" t="n">
        <v>10</v>
      </c>
      <c r="U213" s="0" t="n">
        <v>11</v>
      </c>
      <c r="V213" s="0" t="n">
        <v>12</v>
      </c>
      <c r="W213" s="0" t="n">
        <v>13</v>
      </c>
      <c r="X213" s="0" t="n">
        <v>14</v>
      </c>
      <c r="Y213" s="0" t="n">
        <v>15</v>
      </c>
      <c r="Z213" s="0" t="n">
        <v>16</v>
      </c>
      <c r="AA213" s="0" t="n">
        <v>17</v>
      </c>
      <c r="AB213" s="0" t="n">
        <v>18</v>
      </c>
      <c r="AC213" s="0" t="n">
        <v>19</v>
      </c>
      <c r="AD213" s="0" t="n">
        <v>20</v>
      </c>
      <c r="AE213" s="0" t="n">
        <v>21</v>
      </c>
      <c r="AF213" s="0" t="n">
        <v>22</v>
      </c>
      <c r="AG213" s="0" t="n">
        <v>23</v>
      </c>
    </row>
    <row r="214" customFormat="false" ht="14.25" hidden="false" customHeight="false" outlineLevel="0" collapsed="false">
      <c r="A214" s="0" t="n">
        <v>463</v>
      </c>
      <c r="B214" s="0" t="s">
        <v>504</v>
      </c>
      <c r="C214" s="0" t="s">
        <v>505</v>
      </c>
      <c r="E214" s="0" t="s">
        <v>506</v>
      </c>
      <c r="F214" s="0" t="s">
        <v>507</v>
      </c>
      <c r="G214" s="0" t="n">
        <v>1290.9</v>
      </c>
      <c r="I214" s="0" t="n">
        <f aca="false">VLOOKUP($A214,content_factors_backup!$A$2:$Q$468,I$525,FALSE())</f>
        <v>5</v>
      </c>
      <c r="J214" s="0" t="n">
        <f aca="false">'[1]Nutrient content per 100 grams'!D34</f>
        <v>31</v>
      </c>
      <c r="K214" s="0" t="n">
        <f aca="false">'[1]Nutrient content per 100 grams'!E34</f>
        <v>1.643</v>
      </c>
      <c r="L214" s="0" t="n">
        <f aca="false">'[1]Nutrient content per 100 grams'!F34</f>
        <v>2.19</v>
      </c>
      <c r="M214" s="0" t="n">
        <f aca="false">'[1]Nutrient content per 100 grams'!G34</f>
        <v>0.427</v>
      </c>
      <c r="N214" s="0" t="n">
        <f aca="false">'[1]Nutrient content per 100 grams'!H34</f>
        <v>1.127</v>
      </c>
      <c r="O214" s="0" t="n">
        <f aca="false">'[1]Nutrient content per 100 grams'!I34</f>
        <v>58.2</v>
      </c>
      <c r="P214" s="0" t="n">
        <f aca="false">'[1]Nutrient content per 100 grams'!J34</f>
        <v>57.4</v>
      </c>
      <c r="Q214" s="0" t="n">
        <f aca="false">'[1]Nutrient content per 100 grams'!K34</f>
        <v>0.0804</v>
      </c>
      <c r="R214" s="0" t="n">
        <f aca="false">'[1]Nutrient content per 100 grams'!L34</f>
        <v>9.25</v>
      </c>
      <c r="S214" s="0" t="n">
        <f aca="false">'[1]Nutrient content per 100 grams'!M34</f>
        <v>392.1</v>
      </c>
      <c r="T214" s="0" t="n">
        <f aca="false">'[1]Nutrient content per 100 grams'!N34</f>
        <v>0.616666666666667</v>
      </c>
      <c r="U214" s="0" t="n">
        <f aca="false">'[1]Nutrient content per 100 grams'!O34</f>
        <v>276.166666666667</v>
      </c>
      <c r="V214" s="0" t="n">
        <f aca="false">'[1]Nutrient content per 100 grams'!P34</f>
        <v>95.2</v>
      </c>
      <c r="W214" s="0" t="n">
        <f aca="false">'[1]Nutrient content per 100 grams'!Q34</f>
        <v>24.7</v>
      </c>
      <c r="X214" s="0" t="n">
        <f aca="false">'[1]Nutrient content per 100 grams'!R34</f>
        <v>48.4</v>
      </c>
      <c r="Y214" s="0" t="n">
        <f aca="false">'[1]Nutrient content per 100 grams'!S34</f>
        <v>0.1129</v>
      </c>
      <c r="Z214" s="0" t="n">
        <f aca="false">'[1]Nutrient content per 100 grams'!T34</f>
        <v>0.2667</v>
      </c>
      <c r="AA214" s="0" t="n">
        <f aca="false">'[1]Nutrient content per 100 grams'!U34</f>
        <v>0.71</v>
      </c>
      <c r="AB214" s="0" t="n">
        <f aca="false">'[1]Nutrient content per 100 grams'!V34</f>
        <v>31.58</v>
      </c>
      <c r="AC214" s="0" t="n">
        <f aca="false">'[1]Nutrient content per 100 grams'!W34</f>
        <v>0.067</v>
      </c>
      <c r="AD214" s="0" t="n">
        <f aca="false">'[1]Nutrient content per 100 grams'!X34</f>
        <v>0.5721</v>
      </c>
      <c r="AE214" s="0" t="n">
        <f aca="false">'[1]Nutrient content per 100 grams'!Y34</f>
        <v>0.2777</v>
      </c>
      <c r="AF214" s="0" t="n">
        <f aca="false">'[1]Nutrient content per 100 grams'!Z34</f>
        <v>0.1224</v>
      </c>
      <c r="AG214" s="0" t="n">
        <f aca="false">'[1]Nutrient content per 100 grams'!AA34</f>
        <v>0.0884</v>
      </c>
    </row>
    <row r="215" customFormat="false" ht="14.25" hidden="false" customHeight="false" outlineLevel="0" collapsed="false">
      <c r="A215" s="0" t="n">
        <v>464</v>
      </c>
      <c r="B215" s="0" t="s">
        <v>508</v>
      </c>
      <c r="I215" s="0" t="n">
        <f aca="false">VLOOKUP($A215,content_factors_backup!$A$2:$Q$468,I$525,FALSE())</f>
        <v>70</v>
      </c>
      <c r="J215" s="0" t="n">
        <f aca="false">'[1]Nutrient content per 100 grams'!D35</f>
        <v>297.333333333333</v>
      </c>
      <c r="K215" s="0" t="n">
        <f aca="false">'[1]Nutrient content per 100 grams'!E35</f>
        <v>10.1944444444444</v>
      </c>
      <c r="L215" s="0" t="n">
        <f aca="false">'[1]Nutrient content per 100 grams'!F35</f>
        <v>27.8375</v>
      </c>
      <c r="M215" s="0" t="n">
        <f aca="false">'[1]Nutrient content per 100 grams'!G35</f>
        <v>3.02555555555555</v>
      </c>
      <c r="N215" s="0" t="n">
        <f aca="false">'[1]Nutrient content per 100 grams'!H35</f>
        <v>7.13222222222222</v>
      </c>
      <c r="O215" s="0" t="n">
        <f aca="false">'[1]Nutrient content per 100 grams'!I35</f>
        <v>201.333333333333</v>
      </c>
      <c r="P215" s="0" t="n">
        <f aca="false">'[1]Nutrient content per 100 grams'!J35</f>
        <v>124.555555555556</v>
      </c>
      <c r="Q215" s="0" t="n">
        <f aca="false">'[1]Nutrient content per 100 grams'!K35</f>
        <v>1.19888888888889</v>
      </c>
      <c r="R215" s="0" t="n">
        <f aca="false">'[1]Nutrient content per 100 grams'!L35</f>
        <v>124.52</v>
      </c>
      <c r="S215" s="0" t="n">
        <f aca="false">'[1]Nutrient content per 100 grams'!M35</f>
        <v>2312</v>
      </c>
      <c r="T215" s="0" t="n">
        <f aca="false">'[1]Nutrient content per 100 grams'!N35</f>
        <v>1.742</v>
      </c>
      <c r="U215" s="0" t="n">
        <f aca="false">'[1]Nutrient content per 100 grams'!O35</f>
        <v>147.98</v>
      </c>
      <c r="V215" s="0" t="n">
        <f aca="false">'[1]Nutrient content per 100 grams'!P35</f>
        <v>475.111111111111</v>
      </c>
      <c r="W215" s="0" t="n">
        <f aca="false">'[1]Nutrient content per 100 grams'!Q35</f>
        <v>139.111111111111</v>
      </c>
      <c r="X215" s="0" t="n">
        <f aca="false">'[1]Nutrient content per 100 grams'!R35</f>
        <v>242.555555555556</v>
      </c>
      <c r="Y215" s="0" t="n">
        <f aca="false">'[1]Nutrient content per 100 grams'!S35</f>
        <v>1.68911111111111</v>
      </c>
      <c r="Z215" s="0" t="n">
        <f aca="false">'[1]Nutrient content per 100 grams'!T35</f>
        <v>1.292875</v>
      </c>
      <c r="AA215" s="0" t="n">
        <f aca="false">'[1]Nutrient content per 100 grams'!U35</f>
        <v>18.4333333333333</v>
      </c>
      <c r="AB215" s="0" t="n">
        <f aca="false">'[1]Nutrient content per 100 grams'!V35</f>
        <v>18.9333333333333</v>
      </c>
      <c r="AC215" s="0" t="n">
        <f aca="false">'[1]Nutrient content per 100 grams'!W35</f>
        <v>0.312333333333333</v>
      </c>
      <c r="AD215" s="0" t="n">
        <f aca="false">'[1]Nutrient content per 100 grams'!X35</f>
        <v>6.96711111111111</v>
      </c>
      <c r="AE215" s="0" t="n">
        <f aca="false">'[1]Nutrient content per 100 grams'!Y35</f>
        <v>6.53975</v>
      </c>
      <c r="AF215" s="0" t="n">
        <f aca="false">'[1]Nutrient content per 100 grams'!Z35</f>
        <v>1.33444444444444</v>
      </c>
      <c r="AG215" s="0" t="n">
        <f aca="false">'[1]Nutrient content per 100 grams'!AA35</f>
        <v>1.70266666666667</v>
      </c>
    </row>
    <row r="216" customFormat="false" ht="14.25" hidden="false" customHeight="false" outlineLevel="0" collapsed="false">
      <c r="A216" s="0" t="n">
        <v>465</v>
      </c>
      <c r="B216" s="0" t="s">
        <v>509</v>
      </c>
      <c r="I216" s="0" t="n">
        <f aca="false">VLOOKUP($A216,content_factors_backup!$A$2:$Q$468,I$525,FALSE())</f>
        <v>10</v>
      </c>
      <c r="J216" s="0" t="n">
        <f aca="false">'[1]Nutrient content per 100 grams'!D36</f>
        <v>38.6086956521739</v>
      </c>
      <c r="K216" s="0" t="n">
        <f aca="false">'[1]Nutrient content per 100 grams'!E36</f>
        <v>1.78492753623188</v>
      </c>
      <c r="L216" s="0" t="n">
        <f aca="false">'[1]Nutrient content per 100 grams'!F36</f>
        <v>2.1</v>
      </c>
      <c r="M216" s="0" t="n">
        <f aca="false">'[1]Nutrient content per 100 grams'!G36</f>
        <v>0.376231884057971</v>
      </c>
      <c r="N216" s="0" t="n">
        <f aca="false">'[1]Nutrient content per 100 grams'!H36</f>
        <v>0.999855072463768</v>
      </c>
      <c r="O216" s="0" t="n">
        <f aca="false">'[1]Nutrient content per 100 grams'!I36</f>
        <v>28.2898550724638</v>
      </c>
      <c r="P216" s="0" t="n">
        <f aca="false">'[1]Nutrient content per 100 grams'!J36</f>
        <v>27.7826086956522</v>
      </c>
      <c r="Q216" s="0" t="n">
        <f aca="false">'[1]Nutrient content per 100 grams'!K36</f>
        <v>0.062768115942029</v>
      </c>
      <c r="R216" s="0" t="n">
        <f aca="false">'[1]Nutrient content per 100 grams'!L36</f>
        <v>14.1184210526316</v>
      </c>
      <c r="S216" s="0" t="n">
        <f aca="false">'[1]Nutrient content per 100 grams'!M36</f>
        <v>192.289855072464</v>
      </c>
      <c r="T216" s="0" t="n">
        <f aca="false">'[1]Nutrient content per 100 grams'!N36</f>
        <v>0.709565217391305</v>
      </c>
      <c r="U216" s="0" t="n">
        <f aca="false">'[1]Nutrient content per 100 grams'!O36</f>
        <v>37.8266666666667</v>
      </c>
      <c r="V216" s="0" t="n">
        <f aca="false">'[1]Nutrient content per 100 grams'!P36</f>
        <v>115.646153846154</v>
      </c>
      <c r="W216" s="0" t="n">
        <f aca="false">'[1]Nutrient content per 100 grams'!Q36</f>
        <v>17.1304347826087</v>
      </c>
      <c r="X216" s="0" t="n">
        <f aca="false">'[1]Nutrient content per 100 grams'!R36</f>
        <v>37.4202898550725</v>
      </c>
      <c r="Y216" s="0" t="n">
        <f aca="false">'[1]Nutrient content per 100 grams'!S36</f>
        <v>0.129955882352941</v>
      </c>
      <c r="Z216" s="0" t="n">
        <f aca="false">'[1]Nutrient content per 100 grams'!T36</f>
        <v>0.239058823529412</v>
      </c>
      <c r="AA216" s="0" t="n">
        <f aca="false">'[1]Nutrient content per 100 grams'!U36</f>
        <v>0.985074626865672</v>
      </c>
      <c r="AB216" s="0" t="n">
        <f aca="false">'[1]Nutrient content per 100 grams'!V36</f>
        <v>11.9275362318841</v>
      </c>
      <c r="AC216" s="0" t="n">
        <f aca="false">'[1]Nutrient content per 100 grams'!W36</f>
        <v>0.0557826086956522</v>
      </c>
      <c r="AD216" s="0" t="n">
        <f aca="false">'[1]Nutrient content per 100 grams'!X36</f>
        <v>0.798913043478261</v>
      </c>
      <c r="AE216" s="0" t="n">
        <f aca="false">'[1]Nutrient content per 100 grams'!Y36</f>
        <v>0.268238805970149</v>
      </c>
      <c r="AF216" s="0" t="n">
        <f aca="false">'[1]Nutrient content per 100 grams'!Z36</f>
        <v>0.0971641791044776</v>
      </c>
      <c r="AG216" s="0" t="n">
        <f aca="false">'[1]Nutrient content per 100 grams'!AA36</f>
        <v>0.187676470588235</v>
      </c>
    </row>
    <row r="217" customFormat="false" ht="14.25" hidden="false" customHeight="false" outlineLevel="0" collapsed="false">
      <c r="A217" s="0" t="n">
        <v>469</v>
      </c>
      <c r="B217" s="0" t="s">
        <v>510</v>
      </c>
      <c r="C217" s="0" t="s">
        <v>511</v>
      </c>
      <c r="E217" s="0" t="s">
        <v>512</v>
      </c>
      <c r="F217" s="0" t="s">
        <v>512</v>
      </c>
      <c r="G217" s="0" t="n">
        <v>21393.9</v>
      </c>
      <c r="I217" s="0" t="n">
        <f aca="false">VLOOKUP($A217,content_factors_backup!$A$2:$Q$468,I$525,FALSE())</f>
        <v>90</v>
      </c>
      <c r="J217" s="0" t="n">
        <f aca="false">'[1]Nutrient content per 100 grams'!D37</f>
        <v>321.125</v>
      </c>
      <c r="K217" s="0" t="n">
        <f aca="false">'[1]Nutrient content per 100 grams'!E37</f>
        <v>16.60625</v>
      </c>
      <c r="L217" s="0" t="n">
        <f aca="false">'[1]Nutrient content per 100 grams'!F37</f>
        <v>20.05</v>
      </c>
      <c r="M217" s="0" t="n">
        <f aca="false">'[1]Nutrient content per 100 grams'!G37</f>
        <v>2.7625</v>
      </c>
      <c r="N217" s="0" t="n">
        <f aca="false">'[1]Nutrient content per 100 grams'!H37</f>
        <v>14.2225</v>
      </c>
      <c r="O217" s="0" t="n">
        <f aca="false">'[1]Nutrient content per 100 grams'!I37</f>
        <v>283.625</v>
      </c>
      <c r="P217" s="0" t="n">
        <f aca="false">'[1]Nutrient content per 100 grams'!J37</f>
        <v>182.875</v>
      </c>
      <c r="Q217" s="0" t="n">
        <f aca="false">'[1]Nutrient content per 100 grams'!K37</f>
        <v>0.897125</v>
      </c>
      <c r="R217" s="0" t="n">
        <f aca="false">'[1]Nutrient content per 100 grams'!L37</f>
        <v>67.5</v>
      </c>
      <c r="S217" s="0" t="n">
        <f aca="false">'[1]Nutrient content per 100 grams'!M37</f>
        <v>2976.5</v>
      </c>
      <c r="T217" s="0" t="n">
        <f aca="false">'[1]Nutrient content per 100 grams'!N37</f>
        <v>2.762</v>
      </c>
      <c r="U217" s="0" t="n">
        <f aca="false">'[1]Nutrient content per 100 grams'!O37</f>
        <v>69.7</v>
      </c>
      <c r="V217" s="0" t="n">
        <f aca="false">'[1]Nutrient content per 100 grams'!P37</f>
        <v>1571.28571428571</v>
      </c>
      <c r="W217" s="0" t="n">
        <f aca="false">'[1]Nutrient content per 100 grams'!Q37</f>
        <v>232.875</v>
      </c>
      <c r="X217" s="0" t="n">
        <f aca="false">'[1]Nutrient content per 100 grams'!R37</f>
        <v>376.375</v>
      </c>
      <c r="Y217" s="0" t="n">
        <f aca="false">'[1]Nutrient content per 100 grams'!S37</f>
        <v>0.723875</v>
      </c>
      <c r="Z217" s="0" t="n">
        <f aca="false">'[1]Nutrient content per 100 grams'!T37</f>
        <v>1.62975</v>
      </c>
      <c r="AA217" s="0" t="n">
        <f aca="false">'[1]Nutrient content per 100 grams'!U37</f>
        <v>9.2625</v>
      </c>
      <c r="AB217" s="0" t="n">
        <f aca="false">'[1]Nutrient content per 100 grams'!V37</f>
        <v>606.95</v>
      </c>
      <c r="AC217" s="0" t="n">
        <f aca="false">'[1]Nutrient content per 100 grams'!W37</f>
        <v>0.80925</v>
      </c>
      <c r="AD217" s="0" t="n">
        <f aca="false">'[1]Nutrient content per 100 grams'!X37</f>
        <v>5.394625</v>
      </c>
      <c r="AE217" s="0" t="n">
        <f aca="false">'[1]Nutrient content per 100 grams'!Y37</f>
        <v>1.328</v>
      </c>
      <c r="AF217" s="0" t="n">
        <f aca="false">'[1]Nutrient content per 100 grams'!Z37</f>
        <v>1.667625</v>
      </c>
      <c r="AG217" s="0" t="n">
        <f aca="false">'[1]Nutrient content per 100 grams'!AA37</f>
        <v>0.978571428571429</v>
      </c>
    </row>
    <row r="218" customFormat="false" ht="14.25" hidden="false" customHeight="false" outlineLevel="0" collapsed="false">
      <c r="A218" s="0" t="n">
        <v>471</v>
      </c>
      <c r="B218" s="0" t="s">
        <v>513</v>
      </c>
      <c r="C218" s="0" t="s">
        <v>514</v>
      </c>
      <c r="E218" s="0" t="s">
        <v>515</v>
      </c>
      <c r="F218" s="0" t="s">
        <v>515</v>
      </c>
      <c r="G218" s="0" t="n">
        <v>21340</v>
      </c>
      <c r="I218" s="0" t="n">
        <f aca="false">VLOOKUP($A218,content_factors_backup!$A$2:$Q$468,I$525,FALSE())</f>
        <v>10</v>
      </c>
      <c r="J218" s="0" t="n">
        <f aca="false">'[1]Nutrient content per 100 grams'!D38</f>
        <v>50.5833333333333</v>
      </c>
      <c r="K218" s="0" t="n">
        <f aca="false">'[1]Nutrient content per 100 grams'!E38</f>
        <v>1.075</v>
      </c>
      <c r="L218" s="0" t="n">
        <f aca="false">'[1]Nutrient content per 100 grams'!F38</f>
        <v>2.11666666666667</v>
      </c>
      <c r="M218" s="0" t="n">
        <f aca="false">'[1]Nutrient content per 100 grams'!G38</f>
        <v>0.193333333333333</v>
      </c>
      <c r="N218" s="0" t="n">
        <f aca="false">'[1]Nutrient content per 100 grams'!H38</f>
        <v>0.596666666666667</v>
      </c>
      <c r="O218" s="0" t="n">
        <f aca="false">'[1]Nutrient content per 100 grams'!I38</f>
        <v>30.5833333333333</v>
      </c>
      <c r="P218" s="0" t="n">
        <f aca="false">'[1]Nutrient content per 100 grams'!J38</f>
        <v>18.75</v>
      </c>
      <c r="Q218" s="0" t="n">
        <f aca="false">'[1]Nutrient content per 100 grams'!K38</f>
        <v>0.0431666666666667</v>
      </c>
      <c r="R218" s="0" t="n">
        <f aca="false">'[1]Nutrient content per 100 grams'!L38</f>
        <v>10.8909090909091</v>
      </c>
      <c r="S218" s="0" t="n">
        <f aca="false">'[1]Nutrient content per 100 grams'!M38</f>
        <v>175.416666666667</v>
      </c>
      <c r="T218" s="0" t="n">
        <f aca="false">'[1]Nutrient content per 100 grams'!N38</f>
        <v>0.504545454545455</v>
      </c>
      <c r="U218" s="0" t="n">
        <f aca="false">'[1]Nutrient content per 100 grams'!O38</f>
        <v>25.5272727272727</v>
      </c>
      <c r="V218" s="0" t="n">
        <f aca="false">'[1]Nutrient content per 100 grams'!P38</f>
        <v>8.25</v>
      </c>
      <c r="W218" s="0" t="n">
        <f aca="false">'[1]Nutrient content per 100 grams'!Q38</f>
        <v>12.5</v>
      </c>
      <c r="X218" s="0" t="n">
        <f aca="false">'[1]Nutrient content per 100 grams'!R38</f>
        <v>20.4166666666667</v>
      </c>
      <c r="Y218" s="0" t="n">
        <f aca="false">'[1]Nutrient content per 100 grams'!S38</f>
        <v>0.11175</v>
      </c>
      <c r="Z218" s="0" t="n">
        <f aca="false">'[1]Nutrient content per 100 grams'!T38</f>
        <v>0.1205</v>
      </c>
      <c r="AA218" s="0" t="n">
        <f aca="false">'[1]Nutrient content per 100 grams'!U38</f>
        <v>0.633333333333333</v>
      </c>
      <c r="AB218" s="0" t="n">
        <f aca="false">'[1]Nutrient content per 100 grams'!V38</f>
        <v>2.58333333333333</v>
      </c>
      <c r="AC218" s="0" t="n">
        <f aca="false">'[1]Nutrient content per 100 grams'!W38</f>
        <v>0.0195833333333333</v>
      </c>
      <c r="AD218" s="0" t="n">
        <f aca="false">'[1]Nutrient content per 100 grams'!X38</f>
        <v>0.302083333333333</v>
      </c>
      <c r="AE218" s="0" t="n">
        <f aca="false">'[1]Nutrient content per 100 grams'!Y38</f>
        <v>0.149</v>
      </c>
      <c r="AF218" s="0" t="n">
        <f aca="false">'[1]Nutrient content per 100 grams'!Z38</f>
        <v>0.0611666666666667</v>
      </c>
      <c r="AG218" s="0" t="n">
        <f aca="false">'[1]Nutrient content per 100 grams'!AA38</f>
        <v>0.22875</v>
      </c>
    </row>
    <row r="219" customFormat="false" ht="14.25" hidden="false" customHeight="false" outlineLevel="0" collapsed="false">
      <c r="A219" s="0" t="n">
        <v>472</v>
      </c>
      <c r="B219" s="0" t="s">
        <v>516</v>
      </c>
      <c r="C219" s="0" t="s">
        <v>517</v>
      </c>
      <c r="E219" s="0" t="s">
        <v>518</v>
      </c>
      <c r="F219" s="0" t="s">
        <v>518</v>
      </c>
      <c r="G219" s="0" t="s">
        <v>519</v>
      </c>
      <c r="I219" s="0" t="n">
        <f aca="false">VLOOKUP($A219,content_factors_backup!$A$2:$Q$468,I$525,FALSE())</f>
        <v>10</v>
      </c>
      <c r="J219" s="0" t="n">
        <f aca="false">'[1]Nutrient content per 100 grams'!D39</f>
        <v>38.6086956521739</v>
      </c>
      <c r="K219" s="0" t="n">
        <f aca="false">'[1]Nutrient content per 100 grams'!E39</f>
        <v>1.78492753623188</v>
      </c>
      <c r="L219" s="0" t="n">
        <f aca="false">'[1]Nutrient content per 100 grams'!F39</f>
        <v>2.1</v>
      </c>
      <c r="M219" s="0" t="n">
        <f aca="false">'[1]Nutrient content per 100 grams'!G39</f>
        <v>0.376231884057971</v>
      </c>
      <c r="N219" s="0" t="n">
        <f aca="false">'[1]Nutrient content per 100 grams'!H39</f>
        <v>0.999855072463768</v>
      </c>
      <c r="O219" s="0" t="n">
        <f aca="false">'[1]Nutrient content per 100 grams'!I39</f>
        <v>28.2898550724638</v>
      </c>
      <c r="P219" s="0" t="n">
        <f aca="false">'[1]Nutrient content per 100 grams'!J39</f>
        <v>27.7826086956522</v>
      </c>
      <c r="Q219" s="0" t="n">
        <f aca="false">'[1]Nutrient content per 100 grams'!K39</f>
        <v>0.062768115942029</v>
      </c>
      <c r="R219" s="0" t="n">
        <f aca="false">'[1]Nutrient content per 100 grams'!L39</f>
        <v>14.1184210526316</v>
      </c>
      <c r="S219" s="0" t="n">
        <f aca="false">'[1]Nutrient content per 100 grams'!M39</f>
        <v>192.289855072464</v>
      </c>
      <c r="T219" s="0" t="n">
        <f aca="false">'[1]Nutrient content per 100 grams'!N39</f>
        <v>0.709565217391305</v>
      </c>
      <c r="U219" s="0" t="n">
        <f aca="false">'[1]Nutrient content per 100 grams'!O39</f>
        <v>37.8266666666667</v>
      </c>
      <c r="V219" s="0" t="n">
        <f aca="false">'[1]Nutrient content per 100 grams'!P39</f>
        <v>115.646153846154</v>
      </c>
      <c r="W219" s="0" t="n">
        <f aca="false">'[1]Nutrient content per 100 grams'!Q39</f>
        <v>17.1304347826087</v>
      </c>
      <c r="X219" s="0" t="n">
        <f aca="false">'[1]Nutrient content per 100 grams'!R39</f>
        <v>37.4202898550725</v>
      </c>
      <c r="Y219" s="0" t="n">
        <f aca="false">'[1]Nutrient content per 100 grams'!S39</f>
        <v>0.129955882352941</v>
      </c>
      <c r="Z219" s="0" t="n">
        <f aca="false">'[1]Nutrient content per 100 grams'!T39</f>
        <v>0.239058823529412</v>
      </c>
      <c r="AA219" s="0" t="n">
        <f aca="false">'[1]Nutrient content per 100 grams'!U39</f>
        <v>0.985074626865672</v>
      </c>
      <c r="AB219" s="0" t="n">
        <f aca="false">'[1]Nutrient content per 100 grams'!V39</f>
        <v>11.9275362318841</v>
      </c>
      <c r="AC219" s="0" t="n">
        <f aca="false">'[1]Nutrient content per 100 grams'!W39</f>
        <v>0.0557826086956522</v>
      </c>
      <c r="AD219" s="0" t="n">
        <f aca="false">'[1]Nutrient content per 100 grams'!X39</f>
        <v>0.798913043478261</v>
      </c>
      <c r="AE219" s="0" t="n">
        <f aca="false">'[1]Nutrient content per 100 grams'!Y39</f>
        <v>0.268238805970149</v>
      </c>
      <c r="AF219" s="0" t="n">
        <f aca="false">'[1]Nutrient content per 100 grams'!Z39</f>
        <v>0.0971641791044776</v>
      </c>
      <c r="AG219" s="0" t="n">
        <f aca="false">'[1]Nutrient content per 100 grams'!AA39</f>
        <v>0.187676470588235</v>
      </c>
    </row>
    <row r="220" customFormat="false" ht="14.25" hidden="false" customHeight="false" outlineLevel="0" collapsed="false">
      <c r="A220" s="0" t="n">
        <v>473</v>
      </c>
      <c r="B220" s="0" t="s">
        <v>520</v>
      </c>
      <c r="C220" s="0" t="s">
        <v>521</v>
      </c>
      <c r="E220" s="0" t="s">
        <v>522</v>
      </c>
      <c r="F220" s="0" t="s">
        <v>522</v>
      </c>
      <c r="G220" s="0" t="s">
        <v>523</v>
      </c>
      <c r="I220" s="0" t="n">
        <f aca="false">VLOOKUP($A220,content_factors_backup!$A$2:$Q$468,I$525,FALSE())</f>
        <v>10</v>
      </c>
      <c r="J220" s="0" t="n">
        <f aca="false">'[1]Nutrient content per 100 grams'!D40</f>
        <v>42.1944444444444</v>
      </c>
      <c r="K220" s="0" t="n">
        <f aca="false">'[1]Nutrient content per 100 grams'!E40</f>
        <v>2.53222222222222</v>
      </c>
      <c r="L220" s="0" t="n">
        <f aca="false">'[1]Nutrient content per 100 grams'!F40</f>
        <v>2.65714285714286</v>
      </c>
      <c r="M220" s="0" t="n">
        <f aca="false">'[1]Nutrient content per 100 grams'!G40</f>
        <v>0.348333333333333</v>
      </c>
      <c r="N220" s="0" t="n">
        <f aca="false">'[1]Nutrient content per 100 grams'!H40</f>
        <v>0.903055555555556</v>
      </c>
      <c r="O220" s="0" t="n">
        <f aca="false">'[1]Nutrient content per 100 grams'!I40</f>
        <v>45.6388888888889</v>
      </c>
      <c r="P220" s="0" t="n">
        <f aca="false">'[1]Nutrient content per 100 grams'!J40</f>
        <v>54.7142857142857</v>
      </c>
      <c r="Q220" s="0" t="n">
        <f aca="false">'[1]Nutrient content per 100 grams'!K40</f>
        <v>0.0854444444444445</v>
      </c>
      <c r="R220" s="0" t="n">
        <f aca="false">'[1]Nutrient content per 100 grams'!L40</f>
        <v>17.45</v>
      </c>
      <c r="S220" s="0" t="n">
        <f aca="false">'[1]Nutrient content per 100 grams'!M40</f>
        <v>212.222222222222</v>
      </c>
      <c r="T220" s="0" t="n">
        <f aca="false">'[1]Nutrient content per 100 grams'!N40</f>
        <v>0.688</v>
      </c>
      <c r="U220" s="0" t="n">
        <f aca="false">'[1]Nutrient content per 100 grams'!O40</f>
        <v>47.8</v>
      </c>
      <c r="V220" s="0" t="n">
        <f aca="false">'[1]Nutrient content per 100 grams'!P40</f>
        <v>138.277777777778</v>
      </c>
      <c r="W220" s="0" t="n">
        <f aca="false">'[1]Nutrient content per 100 grams'!Q40</f>
        <v>22.4166666666667</v>
      </c>
      <c r="X220" s="0" t="n">
        <f aca="false">'[1]Nutrient content per 100 grams'!R40</f>
        <v>45.4722222222222</v>
      </c>
      <c r="Y220" s="0" t="n">
        <f aca="false">'[1]Nutrient content per 100 grams'!S40</f>
        <v>0.0659166666666667</v>
      </c>
      <c r="Z220" s="0" t="n">
        <f aca="false">'[1]Nutrient content per 100 grams'!T40</f>
        <v>0.290333333333333</v>
      </c>
      <c r="AA220" s="0" t="n">
        <f aca="false">'[1]Nutrient content per 100 grams'!U40</f>
        <v>0.971428571428571</v>
      </c>
      <c r="AB220" s="0" t="n">
        <f aca="false">'[1]Nutrient content per 100 grams'!V40</f>
        <v>22.8638888888889</v>
      </c>
      <c r="AC220" s="0" t="n">
        <f aca="false">'[1]Nutrient content per 100 grams'!W40</f>
        <v>0.0821944444444444</v>
      </c>
      <c r="AD220" s="0" t="n">
        <f aca="false">'[1]Nutrient content per 100 grams'!X40</f>
        <v>0.921305555555555</v>
      </c>
      <c r="AE220" s="0" t="n">
        <f aca="false">'[1]Nutrient content per 100 grams'!Y40</f>
        <v>0.195085714285714</v>
      </c>
      <c r="AF220" s="0" t="n">
        <f aca="false">'[1]Nutrient content per 100 grams'!Z40</f>
        <v>0.112685714285714</v>
      </c>
      <c r="AG220" s="0" t="n">
        <f aca="false">'[1]Nutrient content per 100 grams'!AA40</f>
        <v>0.162205882352941</v>
      </c>
    </row>
    <row r="221" customFormat="false" ht="14.25" hidden="false" customHeight="false" outlineLevel="0" collapsed="false">
      <c r="A221" s="0" t="n">
        <v>474</v>
      </c>
      <c r="B221" s="0" t="s">
        <v>524</v>
      </c>
      <c r="C221" s="0" t="s">
        <v>525</v>
      </c>
      <c r="E221" s="0" t="s">
        <v>526</v>
      </c>
      <c r="F221" s="0" t="s">
        <v>526</v>
      </c>
      <c r="G221" s="0" t="n">
        <v>21330.9</v>
      </c>
      <c r="I221" s="0" t="n">
        <f aca="false">VLOOKUP($A221,content_factors_backup!$A$2:$Q$468,I$525,FALSE())</f>
        <v>10</v>
      </c>
      <c r="J221" s="0" t="n">
        <f aca="false">'[1]Nutrient content per 100 grams'!D41</f>
        <v>38.6086956521739</v>
      </c>
      <c r="K221" s="0" t="n">
        <f aca="false">'[1]Nutrient content per 100 grams'!E41</f>
        <v>1.78492753623188</v>
      </c>
      <c r="L221" s="0" t="n">
        <f aca="false">'[1]Nutrient content per 100 grams'!F41</f>
        <v>2.1</v>
      </c>
      <c r="M221" s="0" t="n">
        <f aca="false">'[1]Nutrient content per 100 grams'!G41</f>
        <v>0.376231884057971</v>
      </c>
      <c r="N221" s="0" t="n">
        <f aca="false">'[1]Nutrient content per 100 grams'!H41</f>
        <v>0.999855072463768</v>
      </c>
      <c r="O221" s="0" t="n">
        <f aca="false">'[1]Nutrient content per 100 grams'!I41</f>
        <v>28.2898550724638</v>
      </c>
      <c r="P221" s="0" t="n">
        <f aca="false">'[1]Nutrient content per 100 grams'!J41</f>
        <v>27.7826086956522</v>
      </c>
      <c r="Q221" s="0" t="n">
        <f aca="false">'[1]Nutrient content per 100 grams'!K41</f>
        <v>0.062768115942029</v>
      </c>
      <c r="R221" s="0" t="n">
        <f aca="false">'[1]Nutrient content per 100 grams'!L41</f>
        <v>14.1184210526316</v>
      </c>
      <c r="S221" s="0" t="n">
        <f aca="false">'[1]Nutrient content per 100 grams'!M41</f>
        <v>192.289855072464</v>
      </c>
      <c r="T221" s="0" t="n">
        <f aca="false">'[1]Nutrient content per 100 grams'!N41</f>
        <v>0.709565217391305</v>
      </c>
      <c r="U221" s="0" t="n">
        <f aca="false">'[1]Nutrient content per 100 grams'!O41</f>
        <v>37.8266666666667</v>
      </c>
      <c r="V221" s="0" t="n">
        <f aca="false">'[1]Nutrient content per 100 grams'!P41</f>
        <v>115.646153846154</v>
      </c>
      <c r="W221" s="0" t="n">
        <f aca="false">'[1]Nutrient content per 100 grams'!Q41</f>
        <v>17.1304347826087</v>
      </c>
      <c r="X221" s="0" t="n">
        <f aca="false">'[1]Nutrient content per 100 grams'!R41</f>
        <v>37.4202898550725</v>
      </c>
      <c r="Y221" s="0" t="n">
        <f aca="false">'[1]Nutrient content per 100 grams'!S41</f>
        <v>0.129955882352941</v>
      </c>
      <c r="Z221" s="0" t="n">
        <f aca="false">'[1]Nutrient content per 100 grams'!T41</f>
        <v>0.239058823529412</v>
      </c>
      <c r="AA221" s="0" t="n">
        <f aca="false">'[1]Nutrient content per 100 grams'!U41</f>
        <v>0.985074626865672</v>
      </c>
      <c r="AB221" s="0" t="n">
        <f aca="false">'[1]Nutrient content per 100 grams'!V41</f>
        <v>11.9275362318841</v>
      </c>
      <c r="AC221" s="0" t="n">
        <f aca="false">'[1]Nutrient content per 100 grams'!W41</f>
        <v>0.0557826086956522</v>
      </c>
      <c r="AD221" s="0" t="n">
        <f aca="false">'[1]Nutrient content per 100 grams'!X41</f>
        <v>0.798913043478261</v>
      </c>
      <c r="AE221" s="0" t="n">
        <f aca="false">'[1]Nutrient content per 100 grams'!Y41</f>
        <v>0.268238805970149</v>
      </c>
      <c r="AF221" s="0" t="n">
        <f aca="false">'[1]Nutrient content per 100 grams'!Z41</f>
        <v>0.0971641791044776</v>
      </c>
      <c r="AG221" s="0" t="n">
        <f aca="false">'[1]Nutrient content per 100 grams'!AA41</f>
        <v>0.187676470588235</v>
      </c>
    </row>
    <row r="222" customFormat="false" ht="14.25" hidden="false" customHeight="false" outlineLevel="0" collapsed="false">
      <c r="A222" s="0" t="n">
        <v>475</v>
      </c>
      <c r="B222" s="0" t="s">
        <v>527</v>
      </c>
      <c r="C222" s="0" t="s">
        <v>528</v>
      </c>
      <c r="E222" s="0" t="s">
        <v>529</v>
      </c>
      <c r="F222" s="0" t="s">
        <v>529</v>
      </c>
      <c r="G222" s="0" t="s">
        <v>530</v>
      </c>
      <c r="I222" s="0" t="n">
        <f aca="false">VLOOKUP($A222,content_factors_backup!$A$2:$Q$468,I$525,FALSE())</f>
        <v>10</v>
      </c>
      <c r="J222" s="0" t="n">
        <f aca="false">'[1]Nutrient content per 100 grams'!D42</f>
        <v>40.8571428571429</v>
      </c>
      <c r="K222" s="0" t="n">
        <f aca="false">'[1]Nutrient content per 100 grams'!E42</f>
        <v>2.37771428571429</v>
      </c>
      <c r="L222" s="0" t="n">
        <f aca="false">'[1]Nutrient content per 100 grams'!F42</f>
        <v>2.66764705882353</v>
      </c>
      <c r="M222" s="0" t="n">
        <f aca="false">'[1]Nutrient content per 100 grams'!G42</f>
        <v>0.33</v>
      </c>
      <c r="N222" s="0" t="n">
        <f aca="false">'[1]Nutrient content per 100 grams'!H42</f>
        <v>0.820857142857143</v>
      </c>
      <c r="O222" s="0" t="n">
        <f aca="false">'[1]Nutrient content per 100 grams'!I42</f>
        <v>50.3428571428571</v>
      </c>
      <c r="P222" s="0" t="n">
        <f aca="false">'[1]Nutrient content per 100 grams'!J42</f>
        <v>40.3142857142857</v>
      </c>
      <c r="Q222" s="0" t="n">
        <f aca="false">'[1]Nutrient content per 100 grams'!K42</f>
        <v>0.0742285714285714</v>
      </c>
      <c r="R222" s="0" t="n">
        <f aca="false">'[1]Nutrient content per 100 grams'!L42</f>
        <v>15.4935483870968</v>
      </c>
      <c r="S222" s="0" t="n">
        <f aca="false">'[1]Nutrient content per 100 grams'!M42</f>
        <v>184.057142857143</v>
      </c>
      <c r="T222" s="0" t="n">
        <f aca="false">'[1]Nutrient content per 100 grams'!N42</f>
        <v>0.6659375</v>
      </c>
      <c r="U222" s="0" t="n">
        <f aca="false">'[1]Nutrient content per 100 grams'!O42</f>
        <v>127.565625</v>
      </c>
      <c r="V222" s="0" t="n">
        <f aca="false">'[1]Nutrient content per 100 grams'!P42</f>
        <v>158.885714285714</v>
      </c>
      <c r="W222" s="0" t="n">
        <f aca="false">'[1]Nutrient content per 100 grams'!Q42</f>
        <v>20.7428571428571</v>
      </c>
      <c r="X222" s="0" t="n">
        <f aca="false">'[1]Nutrient content per 100 grams'!R42</f>
        <v>40.2</v>
      </c>
      <c r="Y222" s="0" t="n">
        <f aca="false">'[1]Nutrient content per 100 grams'!S42</f>
        <v>0.0631428571428571</v>
      </c>
      <c r="Z222" s="0" t="n">
        <f aca="false">'[1]Nutrient content per 100 grams'!T42</f>
        <v>0.264514285714286</v>
      </c>
      <c r="AA222" s="0" t="n">
        <f aca="false">'[1]Nutrient content per 100 grams'!U42</f>
        <v>0.902857142857143</v>
      </c>
      <c r="AB222" s="0" t="n">
        <f aca="false">'[1]Nutrient content per 100 grams'!V42</f>
        <v>14.2657142857143</v>
      </c>
      <c r="AC222" s="0" t="n">
        <f aca="false">'[1]Nutrient content per 100 grams'!W42</f>
        <v>0.0721142857142857</v>
      </c>
      <c r="AD222" s="0" t="n">
        <f aca="false">'[1]Nutrient content per 100 grams'!X42</f>
        <v>0.714342857142857</v>
      </c>
      <c r="AE222" s="0" t="n">
        <f aca="false">'[1]Nutrient content per 100 grams'!Y42</f>
        <v>0.161542857142857</v>
      </c>
      <c r="AF222" s="0" t="n">
        <f aca="false">'[1]Nutrient content per 100 grams'!Z42</f>
        <v>0.100828571428571</v>
      </c>
      <c r="AG222" s="0" t="n">
        <f aca="false">'[1]Nutrient content per 100 grams'!AA42</f>
        <v>0.1566</v>
      </c>
    </row>
    <row r="223" customFormat="false" ht="14.25" hidden="false" customHeight="false" outlineLevel="0" collapsed="false">
      <c r="A223" s="0" t="n">
        <v>476</v>
      </c>
      <c r="B223" s="0" t="s">
        <v>531</v>
      </c>
      <c r="C223" s="0" t="s">
        <v>532</v>
      </c>
      <c r="E223" s="0" t="n">
        <v>200510</v>
      </c>
      <c r="F223" s="0" t="n">
        <v>200510</v>
      </c>
      <c r="G223" s="0" t="n">
        <v>23991.02</v>
      </c>
      <c r="I223" s="0" t="n">
        <f aca="false">VLOOKUP($A223,content_factors_backup!$A$2:$Q$468,I$525,FALSE())</f>
        <v>10</v>
      </c>
      <c r="J223" s="0" t="n">
        <f aca="false">'[1]Nutrient content per 100 grams'!D43</f>
        <v>39.6111111111111</v>
      </c>
      <c r="K223" s="0" t="n">
        <f aca="false">'[1]Nutrient content per 100 grams'!E43</f>
        <v>1.63833333333333</v>
      </c>
      <c r="L223" s="0" t="n">
        <f aca="false">'[1]Nutrient content per 100 grams'!F43</f>
        <v>1.79444444444444</v>
      </c>
      <c r="M223" s="0" t="n">
        <f aca="false">'[1]Nutrient content per 100 grams'!G43</f>
        <v>0.24</v>
      </c>
      <c r="N223" s="0" t="n">
        <f aca="false">'[1]Nutrient content per 100 grams'!H43</f>
        <v>0.525</v>
      </c>
      <c r="O223" s="0" t="n">
        <f aca="false">'[1]Nutrient content per 100 grams'!I43</f>
        <v>29.6666666666667</v>
      </c>
      <c r="P223" s="0" t="n">
        <f aca="false">'[1]Nutrient content per 100 grams'!J43</f>
        <v>22.7777777777778</v>
      </c>
      <c r="Q223" s="0" t="n">
        <f aca="false">'[1]Nutrient content per 100 grams'!K43</f>
        <v>0.0589444444444444</v>
      </c>
      <c r="R223" s="0" t="n">
        <f aca="false">'[1]Nutrient content per 100 grams'!L43</f>
        <v>13.2388888888889</v>
      </c>
      <c r="S223" s="0" t="n">
        <f aca="false">'[1]Nutrient content per 100 grams'!M43</f>
        <v>158.555555555556</v>
      </c>
      <c r="T223" s="0" t="n">
        <f aca="false">'[1]Nutrient content per 100 grams'!N43</f>
        <v>0.316111111111111</v>
      </c>
      <c r="U223" s="0" t="n">
        <f aca="false">'[1]Nutrient content per 100 grams'!O43</f>
        <v>20.7722222222222</v>
      </c>
      <c r="V223" s="0" t="n">
        <f aca="false">'[1]Nutrient content per 100 grams'!P43</f>
        <v>138.111111111111</v>
      </c>
      <c r="W223" s="0" t="n">
        <f aca="false">'[1]Nutrient content per 100 grams'!Q43</f>
        <v>17.6666666666667</v>
      </c>
      <c r="X223" s="0" t="n">
        <f aca="false">'[1]Nutrient content per 100 grams'!R43</f>
        <v>32.5555555555556</v>
      </c>
      <c r="Y223" s="0" t="n">
        <f aca="false">'[1]Nutrient content per 100 grams'!S43</f>
        <v>0.0495</v>
      </c>
      <c r="Z223" s="0" t="n">
        <f aca="false">'[1]Nutrient content per 100 grams'!T43</f>
        <v>0.159875</v>
      </c>
      <c r="AA223" s="0" t="n">
        <f aca="false">'[1]Nutrient content per 100 grams'!U43</f>
        <v>0.572222222222222</v>
      </c>
      <c r="AB223" s="0" t="n">
        <f aca="false">'[1]Nutrient content per 100 grams'!V43</f>
        <v>3.33888888888889</v>
      </c>
      <c r="AC223" s="0" t="n">
        <f aca="false">'[1]Nutrient content per 100 grams'!W43</f>
        <v>0.0346111111111111</v>
      </c>
      <c r="AD223" s="0" t="n">
        <f aca="false">'[1]Nutrient content per 100 grams'!X43</f>
        <v>0.520111111111111</v>
      </c>
      <c r="AE223" s="0" t="n">
        <f aca="false">'[1]Nutrient content per 100 grams'!Y43</f>
        <v>0.217117647058824</v>
      </c>
      <c r="AF223" s="0" t="n">
        <f aca="false">'[1]Nutrient content per 100 grams'!Z43</f>
        <v>0.0599444444444444</v>
      </c>
      <c r="AG223" s="0" t="n">
        <f aca="false">'[1]Nutrient content per 100 grams'!AA43</f>
        <v>0.136944444444444</v>
      </c>
    </row>
    <row r="224" customFormat="false" ht="14.25" hidden="false" customHeight="false" outlineLevel="0" collapsed="false">
      <c r="A224" s="0" t="n">
        <v>486</v>
      </c>
      <c r="B224" s="0" t="s">
        <v>533</v>
      </c>
      <c r="C224" s="0" t="s">
        <v>534</v>
      </c>
      <c r="E224" s="0" t="n">
        <v>80300</v>
      </c>
      <c r="F224" s="0" t="n">
        <v>80390</v>
      </c>
      <c r="G224" s="0" t="n">
        <v>1312</v>
      </c>
      <c r="I224" s="0" t="n">
        <f aca="false">VLOOKUP($A224,content_factors_backup!$A$2:$Q$468,I$525,FALSE())</f>
        <v>25</v>
      </c>
      <c r="J224" s="0" t="n">
        <f aca="false">'[1]Nutrient content per 100 grams'!D44</f>
        <v>89</v>
      </c>
      <c r="K224" s="0" t="n">
        <f aca="false">'[1]Nutrient content per 100 grams'!E44</f>
        <v>1.09</v>
      </c>
      <c r="L224" s="0" t="n">
        <f aca="false">'[1]Nutrient content per 100 grams'!F44</f>
        <v>2.6</v>
      </c>
      <c r="M224" s="0" t="n">
        <f aca="false">'[1]Nutrient content per 100 grams'!G44</f>
        <v>0.15</v>
      </c>
      <c r="N224" s="0" t="n">
        <f aca="false">'[1]Nutrient content per 100 grams'!H44</f>
        <v>0.26</v>
      </c>
      <c r="O224" s="0" t="n">
        <f aca="false">'[1]Nutrient content per 100 grams'!I44</f>
        <v>5</v>
      </c>
      <c r="P224" s="0" t="n">
        <f aca="false">'[1]Nutrient content per 100 grams'!J44</f>
        <v>20</v>
      </c>
      <c r="Q224" s="0" t="n">
        <f aca="false">'[1]Nutrient content per 100 grams'!K44</f>
        <v>0.073</v>
      </c>
      <c r="R224" s="0" t="n">
        <f aca="false">'[1]Nutrient content per 100 grams'!L44</f>
        <v>9.8</v>
      </c>
      <c r="S224" s="0" t="n">
        <f aca="false">'[1]Nutrient content per 100 grams'!M44</f>
        <v>358</v>
      </c>
      <c r="T224" s="0" t="n">
        <f aca="false">'[1]Nutrient content per 100 grams'!N44</f>
        <v>0.1</v>
      </c>
      <c r="U224" s="0" t="n">
        <f aca="false">'[1]Nutrient content per 100 grams'!O44</f>
        <v>0.5</v>
      </c>
      <c r="V224" s="0" t="n">
        <f aca="false">'[1]Nutrient content per 100 grams'!P44</f>
        <v>3</v>
      </c>
      <c r="W224" s="0" t="n">
        <f aca="false">'[1]Nutrient content per 100 grams'!Q44</f>
        <v>27</v>
      </c>
      <c r="X224" s="0" t="n">
        <f aca="false">'[1]Nutrient content per 100 grams'!R44</f>
        <v>22</v>
      </c>
      <c r="Y224" s="0" t="n">
        <f aca="false">'[1]Nutrient content per 100 grams'!S44</f>
        <v>0.078</v>
      </c>
      <c r="Z224" s="0" t="n">
        <f aca="false">'[1]Nutrient content per 100 grams'!T44</f>
        <v>0.27</v>
      </c>
      <c r="AA224" s="0" t="n">
        <f aca="false">'[1]Nutrient content per 100 grams'!U44</f>
        <v>1</v>
      </c>
      <c r="AB224" s="0" t="n">
        <f aca="false">'[1]Nutrient content per 100 grams'!V44</f>
        <v>8.7</v>
      </c>
      <c r="AC224" s="0" t="n">
        <f aca="false">'[1]Nutrient content per 100 grams'!W44</f>
        <v>0.031</v>
      </c>
      <c r="AD224" s="0" t="n">
        <f aca="false">'[1]Nutrient content per 100 grams'!X44</f>
        <v>0.665</v>
      </c>
      <c r="AE224" s="0" t="n">
        <f aca="false">'[1]Nutrient content per 100 grams'!Y44</f>
        <v>0.334</v>
      </c>
      <c r="AF224" s="0" t="n">
        <f aca="false">'[1]Nutrient content per 100 grams'!Z44</f>
        <v>0.367</v>
      </c>
      <c r="AG224" s="0" t="n">
        <f aca="false">'[1]Nutrient content per 100 grams'!AA44</f>
        <v>0.073</v>
      </c>
    </row>
    <row r="225" customFormat="false" ht="14.25" hidden="false" customHeight="false" outlineLevel="0" collapsed="false">
      <c r="A225" s="0" t="n">
        <v>489</v>
      </c>
      <c r="B225" s="0" t="s">
        <v>535</v>
      </c>
      <c r="C225" s="0" t="s">
        <v>536</v>
      </c>
      <c r="E225" s="0" t="n">
        <v>80300</v>
      </c>
      <c r="F225" s="0" t="n">
        <v>80310</v>
      </c>
      <c r="G225" s="0" t="n">
        <v>1313</v>
      </c>
      <c r="I225" s="0" t="n">
        <f aca="false">VLOOKUP($A225,content_factors_backup!$A$2:$Q$468,I$525,FALSE())</f>
        <v>34</v>
      </c>
      <c r="J225" s="0" t="n">
        <f aca="false">'[1]Nutrient content per 100 grams'!D45</f>
        <v>122</v>
      </c>
      <c r="K225" s="0" t="n">
        <f aca="false">'[1]Nutrient content per 100 grams'!E45</f>
        <v>1.3</v>
      </c>
      <c r="L225" s="0" t="n">
        <f aca="false">'[1]Nutrient content per 100 grams'!F45</f>
        <v>2.3</v>
      </c>
      <c r="M225" s="0" t="n">
        <f aca="false">'[1]Nutrient content per 100 grams'!G45</f>
        <v>0.14</v>
      </c>
      <c r="N225" s="0" t="n">
        <f aca="false">'[1]Nutrient content per 100 grams'!H45</f>
        <v>0.6</v>
      </c>
      <c r="O225" s="0" t="n">
        <f aca="false">'[1]Nutrient content per 100 grams'!I45</f>
        <v>3</v>
      </c>
      <c r="P225" s="0" t="n">
        <f aca="false">'[1]Nutrient content per 100 grams'!J45</f>
        <v>22</v>
      </c>
      <c r="Q225" s="0" t="n">
        <f aca="false">'[1]Nutrient content per 100 grams'!K45</f>
        <v>0.054</v>
      </c>
      <c r="R225" s="0" t="n">
        <f aca="false">'[1]Nutrient content per 100 grams'!L45</f>
        <v>13.5</v>
      </c>
      <c r="S225" s="0" t="n">
        <f aca="false">'[1]Nutrient content per 100 grams'!M45</f>
        <v>499</v>
      </c>
      <c r="T225" s="0" t="n">
        <f aca="false">'[1]Nutrient content per 100 grams'!N45</f>
        <v>0.14</v>
      </c>
      <c r="U225" s="0" t="n">
        <f aca="false">'[1]Nutrient content per 100 grams'!O45</f>
        <v>0.7</v>
      </c>
      <c r="V225" s="0" t="n">
        <f aca="false">'[1]Nutrient content per 100 grams'!P45</f>
        <v>56</v>
      </c>
      <c r="W225" s="0" t="n">
        <f aca="false">'[1]Nutrient content per 100 grams'!Q45</f>
        <v>37</v>
      </c>
      <c r="X225" s="0" t="n">
        <f aca="false">'[1]Nutrient content per 100 grams'!R45</f>
        <v>34</v>
      </c>
      <c r="Y225" s="0" t="n">
        <f aca="false">'[1]Nutrient content per 100 grams'!S45</f>
        <v>0.081</v>
      </c>
      <c r="Z225" s="0" t="str">
        <f aca="false">'[1]Nutrient content per 100 grams'!T45</f>
        <v>NA</v>
      </c>
      <c r="AA225" s="0" t="n">
        <f aca="false">'[1]Nutrient content per 100 grams'!U45</f>
        <v>1.5</v>
      </c>
      <c r="AB225" s="0" t="n">
        <f aca="false">'[1]Nutrient content per 100 grams'!V45</f>
        <v>18.4</v>
      </c>
      <c r="AC225" s="0" t="n">
        <f aca="false">'[1]Nutrient content per 100 grams'!W45</f>
        <v>0.052</v>
      </c>
      <c r="AD225" s="0" t="n">
        <f aca="false">'[1]Nutrient content per 100 grams'!X45</f>
        <v>0.686</v>
      </c>
      <c r="AE225" s="0" t="n">
        <f aca="false">'[1]Nutrient content per 100 grams'!Y45</f>
        <v>0.26</v>
      </c>
      <c r="AF225" s="0" t="n">
        <f aca="false">'[1]Nutrient content per 100 grams'!Z45</f>
        <v>0.299</v>
      </c>
      <c r="AG225" s="0" t="n">
        <f aca="false">'[1]Nutrient content per 100 grams'!AA45</f>
        <v>0.069</v>
      </c>
    </row>
    <row r="226" customFormat="false" ht="14.25" hidden="false" customHeight="false" outlineLevel="0" collapsed="false">
      <c r="A226" s="0" t="n">
        <v>490</v>
      </c>
      <c r="B226" s="0" t="s">
        <v>537</v>
      </c>
      <c r="C226" s="0" t="s">
        <v>538</v>
      </c>
      <c r="E226" s="0" t="n">
        <v>80510</v>
      </c>
      <c r="F226" s="0" t="n">
        <v>80510</v>
      </c>
      <c r="G226" s="0" t="n">
        <v>1323</v>
      </c>
      <c r="I226" s="0" t="n">
        <f aca="false">VLOOKUP($A226,content_factors_backup!$A$2:$Q$468,I$525,FALSE())</f>
        <v>14</v>
      </c>
      <c r="J226" s="0" t="n">
        <f aca="false">'[1]Nutrient content per 100 grams'!D46</f>
        <v>47</v>
      </c>
      <c r="K226" s="0" t="n">
        <f aca="false">'[1]Nutrient content per 100 grams'!E46</f>
        <v>0.94</v>
      </c>
      <c r="L226" s="0" t="n">
        <f aca="false">'[1]Nutrient content per 100 grams'!F46</f>
        <v>2.4</v>
      </c>
      <c r="M226" s="0" t="n">
        <f aca="false">'[1]Nutrient content per 100 grams'!G46</f>
        <v>0.07</v>
      </c>
      <c r="N226" s="0" t="n">
        <f aca="false">'[1]Nutrient content per 100 grams'!H46</f>
        <v>0.1</v>
      </c>
      <c r="O226" s="0" t="n">
        <f aca="false">'[1]Nutrient content per 100 grams'!I46</f>
        <v>40</v>
      </c>
      <c r="P226" s="0" t="n">
        <f aca="false">'[1]Nutrient content per 100 grams'!J46</f>
        <v>30</v>
      </c>
      <c r="Q226" s="0" t="n">
        <f aca="false">'[1]Nutrient content per 100 grams'!K46</f>
        <v>0.04</v>
      </c>
      <c r="R226" s="0" t="n">
        <f aca="false">'[1]Nutrient content per 100 grams'!L46</f>
        <v>8.4</v>
      </c>
      <c r="S226" s="0" t="n">
        <f aca="false">'[1]Nutrient content per 100 grams'!M46</f>
        <v>181</v>
      </c>
      <c r="T226" s="0" t="n">
        <f aca="false">'[1]Nutrient content per 100 grams'!N46</f>
        <v>0.18</v>
      </c>
      <c r="U226" s="0" t="n">
        <f aca="false">'[1]Nutrient content per 100 grams'!O46</f>
        <v>0</v>
      </c>
      <c r="V226" s="0" t="n">
        <f aca="false">'[1]Nutrient content per 100 grams'!P46</f>
        <v>11</v>
      </c>
      <c r="W226" s="0" t="n">
        <f aca="false">'[1]Nutrient content per 100 grams'!Q46</f>
        <v>10</v>
      </c>
      <c r="X226" s="0" t="n">
        <f aca="false">'[1]Nutrient content per 100 grams'!R46</f>
        <v>14</v>
      </c>
      <c r="Y226" s="0" t="n">
        <f aca="false">'[1]Nutrient content per 100 grams'!S46</f>
        <v>0.045</v>
      </c>
      <c r="Z226" s="0" t="n">
        <f aca="false">'[1]Nutrient content per 100 grams'!T46</f>
        <v>0.025</v>
      </c>
      <c r="AA226" s="0" t="n">
        <f aca="false">'[1]Nutrient content per 100 grams'!U46</f>
        <v>0.5</v>
      </c>
      <c r="AB226" s="0" t="n">
        <f aca="false">'[1]Nutrient content per 100 grams'!V46</f>
        <v>53.2</v>
      </c>
      <c r="AC226" s="0" t="n">
        <f aca="false">'[1]Nutrient content per 100 grams'!W46</f>
        <v>0.087</v>
      </c>
      <c r="AD226" s="0" t="n">
        <f aca="false">'[1]Nutrient content per 100 grams'!X46</f>
        <v>0.282</v>
      </c>
      <c r="AE226" s="0" t="n">
        <f aca="false">'[1]Nutrient content per 100 grams'!Y46</f>
        <v>0.25</v>
      </c>
      <c r="AF226" s="0" t="n">
        <f aca="false">'[1]Nutrient content per 100 grams'!Z46</f>
        <v>0.06</v>
      </c>
      <c r="AG226" s="0" t="n">
        <f aca="false">'[1]Nutrient content per 100 grams'!AA46</f>
        <v>0.025</v>
      </c>
    </row>
    <row r="227" customFormat="false" ht="14.25" hidden="false" customHeight="false" outlineLevel="0" collapsed="false">
      <c r="A227" s="0" t="n">
        <v>491</v>
      </c>
      <c r="B227" s="0" t="s">
        <v>539</v>
      </c>
      <c r="C227" s="0" t="s">
        <v>540</v>
      </c>
      <c r="E227" s="0" t="s">
        <v>541</v>
      </c>
      <c r="F227" s="0" t="s">
        <v>541</v>
      </c>
      <c r="G227" s="0" t="n">
        <v>21431.01</v>
      </c>
      <c r="I227" s="0" t="n">
        <f aca="false">VLOOKUP($A227,content_factors_backup!$A$2:$Q$468,I$525,FALSE())</f>
        <v>10</v>
      </c>
      <c r="J227" s="0" t="n">
        <f aca="false">'[1]Nutrient content per 100 grams'!D47</f>
        <v>45</v>
      </c>
      <c r="K227" s="0" t="n">
        <f aca="false">'[1]Nutrient content per 100 grams'!E47</f>
        <v>0.7</v>
      </c>
      <c r="L227" s="0" t="n">
        <f aca="false">'[1]Nutrient content per 100 grams'!F47</f>
        <v>0.2</v>
      </c>
      <c r="M227" s="0" t="n">
        <f aca="false">'[1]Nutrient content per 100 grams'!G47</f>
        <v>0.05</v>
      </c>
      <c r="N227" s="0" t="n">
        <f aca="false">'[1]Nutrient content per 100 grams'!H47</f>
        <v>0.2</v>
      </c>
      <c r="O227" s="0" t="n">
        <f aca="false">'[1]Nutrient content per 100 grams'!I47</f>
        <v>11</v>
      </c>
      <c r="P227" s="0" t="n">
        <f aca="false">'[1]Nutrient content per 100 grams'!J47</f>
        <v>30</v>
      </c>
      <c r="Q227" s="0" t="n">
        <f aca="false">'[1]Nutrient content per 100 grams'!K47</f>
        <v>0.03</v>
      </c>
      <c r="R227" s="0" t="n">
        <f aca="false">'[1]Nutrient content per 100 grams'!L47</f>
        <v>6.2</v>
      </c>
      <c r="S227" s="0" t="n">
        <f aca="false">'[1]Nutrient content per 100 grams'!M47</f>
        <v>200</v>
      </c>
      <c r="T227" s="0" t="n">
        <f aca="false">'[1]Nutrient content per 100 grams'!N47</f>
        <v>0.04</v>
      </c>
      <c r="U227" s="0" t="n">
        <f aca="false">'[1]Nutrient content per 100 grams'!O47</f>
        <v>0</v>
      </c>
      <c r="V227" s="0" t="n">
        <f aca="false">'[1]Nutrient content per 100 grams'!P47</f>
        <v>10</v>
      </c>
      <c r="W227" s="0" t="n">
        <f aca="false">'[1]Nutrient content per 100 grams'!Q47</f>
        <v>11</v>
      </c>
      <c r="X227" s="0" t="n">
        <f aca="false">'[1]Nutrient content per 100 grams'!R47</f>
        <v>17</v>
      </c>
      <c r="Y227" s="0" t="n">
        <f aca="false">'[1]Nutrient content per 100 grams'!S47</f>
        <v>0.044</v>
      </c>
      <c r="Z227" s="0" t="n">
        <f aca="false">'[1]Nutrient content per 100 grams'!T47</f>
        <v>0.014</v>
      </c>
      <c r="AA227" s="0" t="n">
        <f aca="false">'[1]Nutrient content per 100 grams'!U47</f>
        <v>0.1</v>
      </c>
      <c r="AB227" s="0" t="n">
        <f aca="false">'[1]Nutrient content per 100 grams'!V47</f>
        <v>50</v>
      </c>
      <c r="AC227" s="0" t="n">
        <f aca="false">'[1]Nutrient content per 100 grams'!W47</f>
        <v>0.09</v>
      </c>
      <c r="AD227" s="0" t="n">
        <f aca="false">'[1]Nutrient content per 100 grams'!X47</f>
        <v>0.4</v>
      </c>
      <c r="AE227" s="0" t="n">
        <f aca="false">'[1]Nutrient content per 100 grams'!Y47</f>
        <v>0.19</v>
      </c>
      <c r="AF227" s="0" t="n">
        <f aca="false">'[1]Nutrient content per 100 grams'!Z47</f>
        <v>0.04</v>
      </c>
      <c r="AG227" s="0" t="n">
        <f aca="false">'[1]Nutrient content per 100 grams'!AA47</f>
        <v>0.04</v>
      </c>
    </row>
    <row r="228" customFormat="false" ht="14.25" hidden="false" customHeight="false" outlineLevel="0" collapsed="false">
      <c r="A228" s="0" t="n">
        <v>492</v>
      </c>
      <c r="B228" s="0" t="s">
        <v>542</v>
      </c>
      <c r="C228" s="0" t="s">
        <v>543</v>
      </c>
      <c r="E228" s="0" t="s">
        <v>544</v>
      </c>
      <c r="F228" s="0" t="s">
        <v>544</v>
      </c>
      <c r="G228" s="0" t="n">
        <v>21431.02</v>
      </c>
      <c r="I228" s="0" t="n">
        <f aca="false">VLOOKUP($A228,content_factors_backup!$A$2:$Q$468,I$525,FALSE())</f>
        <v>20</v>
      </c>
      <c r="J228" s="0" t="n">
        <f aca="false">'[1]Nutrient content per 100 grams'!D48</f>
        <v>37</v>
      </c>
      <c r="K228" s="0" t="n">
        <f aca="false">'[1]Nutrient content per 100 grams'!E48</f>
        <v>0.6</v>
      </c>
      <c r="L228" s="0" t="n">
        <f aca="false">'[1]Nutrient content per 100 grams'!F48</f>
        <v>0.2</v>
      </c>
      <c r="M228" s="0" t="n">
        <f aca="false">'[1]Nutrient content per 100 grams'!G48</f>
        <v>0.04</v>
      </c>
      <c r="N228" s="0" t="n">
        <f aca="false">'[1]Nutrient content per 100 grams'!H48</f>
        <v>0.08</v>
      </c>
      <c r="O228" s="0" t="n">
        <f aca="false">'[1]Nutrient content per 100 grams'!I48</f>
        <v>147</v>
      </c>
      <c r="P228" s="0" t="n">
        <f aca="false">'[1]Nutrient content per 100 grams'!J48</f>
        <v>19</v>
      </c>
      <c r="Q228" s="0" t="n">
        <f aca="false">'[1]Nutrient content per 100 grams'!K48</f>
        <v>0.044</v>
      </c>
      <c r="R228" s="0" t="n">
        <f aca="false">'[1]Nutrient content per 100 grams'!L48</f>
        <v>5</v>
      </c>
      <c r="S228" s="0" t="n">
        <f aca="false">'[1]Nutrient content per 100 grams'!M48</f>
        <v>158</v>
      </c>
      <c r="T228" s="0" t="n">
        <f aca="false">'[1]Nutrient content per 100 grams'!N48</f>
        <v>0.15</v>
      </c>
      <c r="U228" s="0" t="n">
        <f aca="false">'[1]Nutrient content per 100 grams'!O48</f>
        <v>0</v>
      </c>
      <c r="V228" s="0" t="n">
        <f aca="false">'[1]Nutrient content per 100 grams'!P48</f>
        <v>3</v>
      </c>
      <c r="W228" s="0" t="n">
        <f aca="false">'[1]Nutrient content per 100 grams'!Q48</f>
        <v>10</v>
      </c>
      <c r="X228" s="0" t="n">
        <f aca="false">'[1]Nutrient content per 100 grams'!R48</f>
        <v>78</v>
      </c>
      <c r="Y228" s="0" t="n">
        <f aca="false">'[1]Nutrient content per 100 grams'!S48</f>
        <v>0.021</v>
      </c>
      <c r="Z228" s="0" t="str">
        <f aca="false">'[1]Nutrient content per 100 grams'!T48</f>
        <v>NA</v>
      </c>
      <c r="AA228" s="0" t="n">
        <f aca="false">'[1]Nutrient content per 100 grams'!U48</f>
        <v>0.1</v>
      </c>
      <c r="AB228" s="0" t="n">
        <f aca="false">'[1]Nutrient content per 100 grams'!V48</f>
        <v>36.2</v>
      </c>
      <c r="AC228" s="0" t="n">
        <f aca="false">'[1]Nutrient content per 100 grams'!W48</f>
        <v>0.069</v>
      </c>
      <c r="AD228" s="0" t="n">
        <f aca="false">'[1]Nutrient content per 100 grams'!X48</f>
        <v>0.273</v>
      </c>
      <c r="AE228" s="0" t="str">
        <f aca="false">'[1]Nutrient content per 100 grams'!Y48</f>
        <v>NA</v>
      </c>
      <c r="AF228" s="0" t="n">
        <f aca="false">'[1]Nutrient content per 100 grams'!Z48</f>
        <v>0.065</v>
      </c>
      <c r="AG228" s="0" t="n">
        <f aca="false">'[1]Nutrient content per 100 grams'!AA48</f>
        <v>0.016</v>
      </c>
    </row>
    <row r="229" customFormat="false" ht="14.25" hidden="false" customHeight="false" outlineLevel="0" collapsed="false">
      <c r="A229" s="0" t="n">
        <v>495</v>
      </c>
      <c r="B229" s="0" t="s">
        <v>545</v>
      </c>
      <c r="C229" s="0" t="s">
        <v>546</v>
      </c>
      <c r="E229" s="0" t="n">
        <v>80520</v>
      </c>
      <c r="F229" s="0" t="n">
        <v>80520</v>
      </c>
      <c r="G229" s="0" t="n">
        <v>1324</v>
      </c>
      <c r="I229" s="0" t="n">
        <f aca="false">VLOOKUP($A229,content_factors_backup!$A$2:$Q$468,I$525,FALSE())</f>
        <v>13</v>
      </c>
      <c r="J229" s="0" t="n">
        <f aca="false">'[1]Nutrient content per 100 grams'!D49</f>
        <v>53</v>
      </c>
      <c r="K229" s="0" t="n">
        <f aca="false">'[1]Nutrient content per 100 grams'!E49</f>
        <v>0.81</v>
      </c>
      <c r="L229" s="0" t="n">
        <f aca="false">'[1]Nutrient content per 100 grams'!F49</f>
        <v>1.8</v>
      </c>
      <c r="M229" s="0" t="n">
        <f aca="false">'[1]Nutrient content per 100 grams'!G49</f>
        <v>0.07</v>
      </c>
      <c r="N229" s="0" t="n">
        <f aca="false">'[1]Nutrient content per 100 grams'!H49</f>
        <v>0.15</v>
      </c>
      <c r="O229" s="0" t="n">
        <f aca="false">'[1]Nutrient content per 100 grams'!I49</f>
        <v>37</v>
      </c>
      <c r="P229" s="0" t="n">
        <f aca="false">'[1]Nutrient content per 100 grams'!J49</f>
        <v>16</v>
      </c>
      <c r="Q229" s="0" t="n">
        <f aca="false">'[1]Nutrient content per 100 grams'!K49</f>
        <v>0.036</v>
      </c>
      <c r="R229" s="0" t="n">
        <f aca="false">'[1]Nutrient content per 100 grams'!L49</f>
        <v>10.2</v>
      </c>
      <c r="S229" s="0" t="n">
        <f aca="false">'[1]Nutrient content per 100 grams'!M49</f>
        <v>166</v>
      </c>
      <c r="T229" s="0" t="n">
        <f aca="false">'[1]Nutrient content per 100 grams'!N49</f>
        <v>0.2</v>
      </c>
      <c r="U229" s="0" t="n">
        <f aca="false">'[1]Nutrient content per 100 grams'!O49</f>
        <v>0</v>
      </c>
      <c r="V229" s="0" t="n">
        <f aca="false">'[1]Nutrient content per 100 grams'!P49</f>
        <v>34</v>
      </c>
      <c r="W229" s="0" t="n">
        <f aca="false">'[1]Nutrient content per 100 grams'!Q49</f>
        <v>12</v>
      </c>
      <c r="X229" s="0" t="n">
        <f aca="false">'[1]Nutrient content per 100 grams'!R49</f>
        <v>20</v>
      </c>
      <c r="Y229" s="0" t="n">
        <f aca="false">'[1]Nutrient content per 100 grams'!S49</f>
        <v>0.042</v>
      </c>
      <c r="Z229" s="0" t="n">
        <f aca="false">'[1]Nutrient content per 100 grams'!T49</f>
        <v>0.039</v>
      </c>
      <c r="AA229" s="0" t="n">
        <f aca="false">'[1]Nutrient content per 100 grams'!U49</f>
        <v>0.1</v>
      </c>
      <c r="AB229" s="0" t="n">
        <f aca="false">'[1]Nutrient content per 100 grams'!V49</f>
        <v>26.7</v>
      </c>
      <c r="AC229" s="0" t="n">
        <f aca="false">'[1]Nutrient content per 100 grams'!W49</f>
        <v>0.058</v>
      </c>
      <c r="AD229" s="0" t="n">
        <f aca="false">'[1]Nutrient content per 100 grams'!X49</f>
        <v>0.376</v>
      </c>
      <c r="AE229" s="0" t="n">
        <f aca="false">'[1]Nutrient content per 100 grams'!Y49</f>
        <v>0.216</v>
      </c>
      <c r="AF229" s="0" t="n">
        <f aca="false">'[1]Nutrient content per 100 grams'!Z49</f>
        <v>0.078</v>
      </c>
      <c r="AG229" s="0" t="n">
        <f aca="false">'[1]Nutrient content per 100 grams'!AA49</f>
        <v>0.065</v>
      </c>
    </row>
    <row r="230" customFormat="false" ht="14.25" hidden="false" customHeight="false" outlineLevel="0" collapsed="false">
      <c r="A230" s="0" t="n">
        <v>497</v>
      </c>
      <c r="B230" s="0" t="s">
        <v>547</v>
      </c>
      <c r="C230" s="0" t="s">
        <v>548</v>
      </c>
      <c r="E230" s="0" t="n">
        <v>80550</v>
      </c>
      <c r="F230" s="0" t="n">
        <v>80550</v>
      </c>
      <c r="G230" s="0" t="n">
        <v>1322</v>
      </c>
      <c r="I230" s="0" t="n">
        <f aca="false">VLOOKUP($A230,content_factors_backup!$A$2:$Q$468,I$525,FALSE())</f>
        <v>13</v>
      </c>
      <c r="J230" s="0" t="n">
        <f aca="false">'[1]Nutrient content per 100 grams'!D50</f>
        <v>29.5</v>
      </c>
      <c r="K230" s="0" t="n">
        <f aca="false">'[1]Nutrient content per 100 grams'!E50</f>
        <v>0.9</v>
      </c>
      <c r="L230" s="0" t="n">
        <f aca="false">'[1]Nutrient content per 100 grams'!F50</f>
        <v>2.8</v>
      </c>
      <c r="M230" s="0" t="n">
        <f aca="false">'[1]Nutrient content per 100 grams'!G50</f>
        <v>0.085</v>
      </c>
      <c r="N230" s="0" t="n">
        <f aca="false">'[1]Nutrient content per 100 grams'!H50</f>
        <v>0.6</v>
      </c>
      <c r="O230" s="0" t="n">
        <f aca="false">'[1]Nutrient content per 100 grams'!I50</f>
        <v>29.5</v>
      </c>
      <c r="P230" s="0" t="n">
        <f aca="false">'[1]Nutrient content per 100 grams'!J50</f>
        <v>9.5</v>
      </c>
      <c r="Q230" s="0" t="n">
        <f aca="false">'[1]Nutrient content per 100 grams'!K50</f>
        <v>0.02</v>
      </c>
      <c r="R230" s="0" t="n">
        <f aca="false">'[1]Nutrient content per 100 grams'!L50</f>
        <v>5.1</v>
      </c>
      <c r="S230" s="0" t="n">
        <f aca="false">'[1]Nutrient content per 100 grams'!M50</f>
        <v>120</v>
      </c>
      <c r="T230" s="0" t="n">
        <f aca="false">'[1]Nutrient content per 100 grams'!N50</f>
        <v>0.185</v>
      </c>
      <c r="U230" s="0" t="n">
        <f aca="false">'[1]Nutrient content per 100 grams'!O50</f>
        <v>0.3</v>
      </c>
      <c r="V230" s="0" t="n">
        <f aca="false">'[1]Nutrient content per 100 grams'!P50</f>
        <v>1.5</v>
      </c>
      <c r="W230" s="0" t="n">
        <f aca="false">'[1]Nutrient content per 100 grams'!Q50</f>
        <v>7</v>
      </c>
      <c r="X230" s="0" t="n">
        <f aca="false">'[1]Nutrient content per 100 grams'!R50</f>
        <v>17</v>
      </c>
      <c r="Y230" s="0" t="n">
        <f aca="false">'[1]Nutrient content per 100 grams'!S50</f>
        <v>0.051</v>
      </c>
      <c r="Z230" s="0" t="n">
        <f aca="false">'[1]Nutrient content per 100 grams'!T50</f>
        <v>0.019</v>
      </c>
      <c r="AA230" s="0" t="n">
        <f aca="false">'[1]Nutrient content per 100 grams'!U50</f>
        <v>0.4</v>
      </c>
      <c r="AB230" s="0" t="n">
        <f aca="false">'[1]Nutrient content per 100 grams'!V50</f>
        <v>41.05</v>
      </c>
      <c r="AC230" s="0" t="n">
        <f aca="false">'[1]Nutrient content per 100 grams'!W50</f>
        <v>0.035</v>
      </c>
      <c r="AD230" s="0" t="n">
        <f aca="false">'[1]Nutrient content per 100 grams'!X50</f>
        <v>0.15</v>
      </c>
      <c r="AE230" s="0" t="n">
        <f aca="false">'[1]Nutrient content per 100 grams'!Y50</f>
        <v>0.2035</v>
      </c>
      <c r="AF230" s="0" t="n">
        <f aca="false">'[1]Nutrient content per 100 grams'!Z50</f>
        <v>0.0615</v>
      </c>
      <c r="AG230" s="0" t="n">
        <f aca="false">'[1]Nutrient content per 100 grams'!AA50</f>
        <v>0.072</v>
      </c>
    </row>
    <row r="231" customFormat="false" ht="14.25" hidden="false" customHeight="false" outlineLevel="0" collapsed="false">
      <c r="A231" s="0" t="n">
        <v>498</v>
      </c>
      <c r="B231" s="0" t="s">
        <v>549</v>
      </c>
      <c r="C231" s="0" t="s">
        <v>550</v>
      </c>
      <c r="E231" s="0" t="n">
        <v>200931</v>
      </c>
      <c r="F231" s="0" t="n">
        <v>200931</v>
      </c>
      <c r="G231" s="0" t="n">
        <v>21439.02</v>
      </c>
      <c r="I231" s="0" t="n">
        <f aca="false">VLOOKUP($A231,content_factors_backup!$A$2:$Q$468,I$525,FALSE())</f>
        <v>10</v>
      </c>
      <c r="J231" s="0" t="n">
        <f aca="false">'[1]Nutrient content per 100 grams'!D51</f>
        <v>22</v>
      </c>
      <c r="K231" s="0" t="n">
        <f aca="false">'[1]Nutrient content per 100 grams'!E51</f>
        <v>0.46</v>
      </c>
      <c r="L231" s="0" t="n">
        <f aca="false">'[1]Nutrient content per 100 grams'!F51</f>
        <v>0.4</v>
      </c>
      <c r="M231" s="0" t="n">
        <f aca="false">'[1]Nutrient content per 100 grams'!G51</f>
        <v>0.05</v>
      </c>
      <c r="N231" s="0" t="n">
        <f aca="false">'[1]Nutrient content per 100 grams'!H51</f>
        <v>0.12</v>
      </c>
      <c r="O231" s="0" t="n">
        <f aca="false">'[1]Nutrient content per 100 grams'!I51</f>
        <v>8</v>
      </c>
      <c r="P231" s="0" t="n">
        <f aca="false">'[1]Nutrient content per 100 grams'!J51</f>
        <v>10</v>
      </c>
      <c r="Q231" s="0" t="n">
        <f aca="false">'[1]Nutrient content per 100 grams'!K51</f>
        <v>0.013</v>
      </c>
      <c r="R231" s="0" t="n">
        <f aca="false">'[1]Nutrient content per 100 grams'!L51</f>
        <v>5.1</v>
      </c>
      <c r="S231" s="0" t="n">
        <f aca="false">'[1]Nutrient content per 100 grams'!M51</f>
        <v>89</v>
      </c>
      <c r="T231" s="0" t="n">
        <f aca="false">'[1]Nutrient content per 100 grams'!N51</f>
        <v>0.08</v>
      </c>
      <c r="U231" s="0" t="n">
        <f aca="false">'[1]Nutrient content per 100 grams'!O51</f>
        <v>0</v>
      </c>
      <c r="V231" s="0" t="n">
        <f aca="false">'[1]Nutrient content per 100 grams'!P51</f>
        <v>1</v>
      </c>
      <c r="W231" s="0" t="n">
        <f aca="false">'[1]Nutrient content per 100 grams'!Q51</f>
        <v>8</v>
      </c>
      <c r="X231" s="0" t="n">
        <f aca="false">'[1]Nutrient content per 100 grams'!R51</f>
        <v>8</v>
      </c>
      <c r="Y231" s="0" t="n">
        <f aca="false">'[1]Nutrient content per 100 grams'!S51</f>
        <v>0.03</v>
      </c>
      <c r="Z231" s="0" t="n">
        <f aca="false">'[1]Nutrient content per 100 grams'!T51</f>
        <v>0.03</v>
      </c>
      <c r="AA231" s="0" t="n">
        <f aca="false">'[1]Nutrient content per 100 grams'!U51</f>
        <v>0.1</v>
      </c>
      <c r="AB231" s="0" t="n">
        <f aca="false">'[1]Nutrient content per 100 grams'!V51</f>
        <v>31.5</v>
      </c>
      <c r="AC231" s="0" t="n">
        <f aca="false">'[1]Nutrient content per 100 grams'!W51</f>
        <v>0.059</v>
      </c>
      <c r="AD231" s="0" t="n">
        <f aca="false">'[1]Nutrient content per 100 grams'!X51</f>
        <v>0.137</v>
      </c>
      <c r="AE231" s="0" t="n">
        <f aca="false">'[1]Nutrient content per 100 grams'!Y51</f>
        <v>0.121</v>
      </c>
      <c r="AF231" s="0" t="n">
        <f aca="false">'[1]Nutrient content per 100 grams'!Z51</f>
        <v>0.06</v>
      </c>
      <c r="AG231" s="0" t="n">
        <f aca="false">'[1]Nutrient content per 100 grams'!AA51</f>
        <v>0.097</v>
      </c>
    </row>
    <row r="232" customFormat="false" ht="14.25" hidden="false" customHeight="false" outlineLevel="0" collapsed="false">
      <c r="A232" s="0" t="n">
        <v>499</v>
      </c>
      <c r="B232" s="0" t="s">
        <v>551</v>
      </c>
      <c r="C232" s="0" t="s">
        <v>552</v>
      </c>
      <c r="E232" s="0" t="n">
        <v>200939</v>
      </c>
      <c r="F232" s="0" t="n">
        <v>200939</v>
      </c>
      <c r="G232" s="0" t="n">
        <v>21439.03</v>
      </c>
      <c r="I232" s="0" t="n">
        <f aca="false">VLOOKUP($A232,content_factors_backup!$A$2:$Q$468,I$525,FALSE())</f>
        <v>20</v>
      </c>
      <c r="J232" s="0" t="n">
        <f aca="false">'[1]Nutrient content per 100 grams'!D52</f>
        <v>17</v>
      </c>
      <c r="K232" s="0" t="n">
        <f aca="false">'[1]Nutrient content per 100 grams'!E52</f>
        <v>0.45</v>
      </c>
      <c r="L232" s="0" t="n">
        <f aca="false">'[1]Nutrient content per 100 grams'!F52</f>
        <v>0.7</v>
      </c>
      <c r="M232" s="0" t="n">
        <f aca="false">'[1]Nutrient content per 100 grams'!G52</f>
        <v>0.19</v>
      </c>
      <c r="N232" s="0" t="n">
        <f aca="false">'[1]Nutrient content per 100 grams'!H52</f>
        <v>0.06</v>
      </c>
      <c r="O232" s="0" t="n">
        <f aca="false">'[1]Nutrient content per 100 grams'!I52</f>
        <v>10</v>
      </c>
      <c r="P232" s="0" t="n">
        <f aca="false">'[1]Nutrient content per 100 grams'!J52</f>
        <v>9</v>
      </c>
      <c r="Q232" s="0" t="n">
        <f aca="false">'[1]Nutrient content per 100 grams'!K52</f>
        <v>0.017</v>
      </c>
      <c r="R232" s="0" t="n">
        <f aca="false">'[1]Nutrient content per 100 grams'!L52</f>
        <v>5.1</v>
      </c>
      <c r="S232" s="0" t="n">
        <f aca="false">'[1]Nutrient content per 100 grams'!M52</f>
        <v>109</v>
      </c>
      <c r="T232" s="0" t="n">
        <f aca="false">'[1]Nutrient content per 100 grams'!N52</f>
        <v>0.23</v>
      </c>
      <c r="U232" s="0" t="n">
        <f aca="false">'[1]Nutrient content per 100 grams'!O52</f>
        <v>0.1</v>
      </c>
      <c r="V232" s="0" t="n">
        <f aca="false">'[1]Nutrient content per 100 grams'!P52</f>
        <v>2</v>
      </c>
      <c r="W232" s="0" t="n">
        <f aca="false">'[1]Nutrient content per 100 grams'!Q52</f>
        <v>7</v>
      </c>
      <c r="X232" s="0" t="n">
        <f aca="false">'[1]Nutrient content per 100 grams'!R52</f>
        <v>9</v>
      </c>
      <c r="Y232" s="0" t="n">
        <f aca="false">'[1]Nutrient content per 100 grams'!S52</f>
        <v>0.018</v>
      </c>
      <c r="Z232" s="0" t="n">
        <f aca="false">'[1]Nutrient content per 100 grams'!T52</f>
        <v>0.016</v>
      </c>
      <c r="AA232" s="0" t="n">
        <f aca="false">'[1]Nutrient content per 100 grams'!U52</f>
        <v>0.1</v>
      </c>
      <c r="AB232" s="0" t="n">
        <f aca="false">'[1]Nutrient content per 100 grams'!V52</f>
        <v>14.3</v>
      </c>
      <c r="AC232" s="0" t="n">
        <f aca="false">'[1]Nutrient content per 100 grams'!W52</f>
        <v>0.021</v>
      </c>
      <c r="AD232" s="0" t="n">
        <f aca="false">'[1]Nutrient content per 100 grams'!X52</f>
        <v>0.18</v>
      </c>
      <c r="AE232" s="0" t="n">
        <f aca="false">'[1]Nutrient content per 100 grams'!Y52</f>
        <v>0.08</v>
      </c>
      <c r="AF232" s="0" t="n">
        <f aca="false">'[1]Nutrient content per 100 grams'!Z52</f>
        <v>0.037</v>
      </c>
      <c r="AG232" s="0" t="n">
        <f aca="false">'[1]Nutrient content per 100 grams'!AA52</f>
        <v>0.017</v>
      </c>
    </row>
    <row r="233" customFormat="false" ht="14.25" hidden="false" customHeight="false" outlineLevel="0" collapsed="false">
      <c r="A233" s="0" t="n">
        <v>507</v>
      </c>
      <c r="B233" s="0" t="s">
        <v>553</v>
      </c>
      <c r="C233" s="0" t="s">
        <v>554</v>
      </c>
      <c r="E233" s="0" t="n">
        <v>80540</v>
      </c>
      <c r="F233" s="0" t="n">
        <v>80540</v>
      </c>
      <c r="G233" s="0" t="n">
        <v>1321</v>
      </c>
      <c r="I233" s="0" t="n">
        <f aca="false">VLOOKUP($A233,content_factors_backup!$A$2:$Q$468,I$525,FALSE())</f>
        <v>12</v>
      </c>
      <c r="J233" s="0" t="n">
        <f aca="false">'[1]Nutrient content per 100 grams'!D53</f>
        <v>34.7142857142857</v>
      </c>
      <c r="K233" s="0" t="n">
        <f aca="false">'[1]Nutrient content per 100 grams'!E53</f>
        <v>0.664285714285714</v>
      </c>
      <c r="L233" s="0" t="n">
        <f aca="false">'[1]Nutrient content per 100 grams'!F53</f>
        <v>1.225</v>
      </c>
      <c r="M233" s="0" t="n">
        <f aca="false">'[1]Nutrient content per 100 grams'!G53</f>
        <v>0.07</v>
      </c>
      <c r="N233" s="0" t="n">
        <f aca="false">'[1]Nutrient content per 100 grams'!H53</f>
        <v>0.08</v>
      </c>
      <c r="O233" s="0" t="n">
        <f aca="false">'[1]Nutrient content per 100 grams'!I53</f>
        <v>14.1428571428571</v>
      </c>
      <c r="P233" s="0" t="n">
        <f aca="false">'[1]Nutrient content per 100 grams'!J53</f>
        <v>10.7142857142857</v>
      </c>
      <c r="Q233" s="0" t="n">
        <f aca="false">'[1]Nutrient content per 100 grams'!K53</f>
        <v>0.0215714285714286</v>
      </c>
      <c r="R233" s="0" t="n">
        <f aca="false">'[1]Nutrient content per 100 grams'!L53</f>
        <v>7.7</v>
      </c>
      <c r="S233" s="0" t="n">
        <f aca="false">'[1]Nutrient content per 100 grams'!M53</f>
        <v>141.285714285714</v>
      </c>
      <c r="T233" s="0" t="n">
        <f aca="false">'[1]Nutrient content per 100 grams'!N53</f>
        <v>0.13</v>
      </c>
      <c r="U233" s="0" t="n">
        <f aca="false">'[1]Nutrient content per 100 grams'!O53</f>
        <v>0</v>
      </c>
      <c r="V233" s="0" t="n">
        <f aca="false">'[1]Nutrient content per 100 grams'!P53</f>
        <v>18.8571428571429</v>
      </c>
      <c r="W233" s="0" t="n">
        <f aca="false">'[1]Nutrient content per 100 grams'!Q53</f>
        <v>8.71428571428571</v>
      </c>
      <c r="X233" s="0" t="n">
        <f aca="false">'[1]Nutrient content per 100 grams'!R53</f>
        <v>10.5714285714286</v>
      </c>
      <c r="Y233" s="0" t="n">
        <f aca="false">'[1]Nutrient content per 100 grams'!S53</f>
        <v>0.0418571428571429</v>
      </c>
      <c r="Z233" s="0" t="n">
        <f aca="false">'[1]Nutrient content per 100 grams'!T53</f>
        <v>0.0154285714285714</v>
      </c>
      <c r="AA233" s="0" t="n">
        <f aca="false">'[1]Nutrient content per 100 grams'!U53</f>
        <v>0.8</v>
      </c>
      <c r="AB233" s="0" t="n">
        <f aca="false">'[1]Nutrient content per 100 grams'!V53</f>
        <v>34.9</v>
      </c>
      <c r="AC233" s="0" t="n">
        <f aca="false">'[1]Nutrient content per 100 grams'!W53</f>
        <v>0.0381428571428571</v>
      </c>
      <c r="AD233" s="0" t="n">
        <f aca="false">'[1]Nutrient content per 100 grams'!X53</f>
        <v>0.226142857142857</v>
      </c>
      <c r="AE233" s="0" t="n">
        <f aca="false">'[1]Nutrient content per 100 grams'!Y53</f>
        <v>0.28</v>
      </c>
      <c r="AF233" s="0" t="n">
        <f aca="false">'[1]Nutrient content per 100 grams'!Z53</f>
        <v>0.044</v>
      </c>
      <c r="AG233" s="0" t="n">
        <f aca="false">'[1]Nutrient content per 100 grams'!AA53</f>
        <v>0.0257142857142857</v>
      </c>
    </row>
    <row r="234" customFormat="false" ht="14.25" hidden="false" customHeight="false" outlineLevel="0" collapsed="false">
      <c r="A234" s="0" t="n">
        <v>509</v>
      </c>
      <c r="B234" s="0" t="s">
        <v>555</v>
      </c>
      <c r="C234" s="0" t="s">
        <v>550</v>
      </c>
      <c r="E234" s="0" t="n">
        <v>200921</v>
      </c>
      <c r="F234" s="0" t="n">
        <v>200921</v>
      </c>
      <c r="G234" s="0" t="n">
        <v>21432</v>
      </c>
      <c r="I234" s="0" t="n">
        <f aca="false">VLOOKUP($A234,content_factors_backup!$A$2:$Q$468,I$525,FALSE())</f>
        <v>10</v>
      </c>
      <c r="J234" s="0" t="n">
        <f aca="false">'[1]Nutrient content per 100 grams'!D54</f>
        <v>34</v>
      </c>
      <c r="K234" s="0" t="n">
        <f aca="false">'[1]Nutrient content per 100 grams'!E54</f>
        <v>0.58</v>
      </c>
      <c r="L234" s="0" t="n">
        <f aca="false">'[1]Nutrient content per 100 grams'!F54</f>
        <v>0.8</v>
      </c>
      <c r="M234" s="0" t="n">
        <f aca="false">'[1]Nutrient content per 100 grams'!G54</f>
        <v>0.08</v>
      </c>
      <c r="N234" s="0" t="n">
        <f aca="false">'[1]Nutrient content per 100 grams'!H54</f>
        <v>0.11</v>
      </c>
      <c r="O234" s="0" t="n">
        <f aca="false">'[1]Nutrient content per 100 grams'!I54</f>
        <v>14</v>
      </c>
      <c r="P234" s="0" t="n">
        <f aca="false">'[1]Nutrient content per 100 grams'!J54</f>
        <v>10</v>
      </c>
      <c r="Q234" s="0" t="n">
        <f aca="false">'[1]Nutrient content per 100 grams'!K54</f>
        <v>0.02</v>
      </c>
      <c r="R234" s="0" t="n">
        <f aca="false">'[1]Nutrient content per 100 grams'!L54</f>
        <v>7.7</v>
      </c>
      <c r="S234" s="0" t="n">
        <f aca="false">'[1]Nutrient content per 100 grams'!M54</f>
        <v>129</v>
      </c>
      <c r="T234" s="0" t="n">
        <f aca="false">'[1]Nutrient content per 100 grams'!N54</f>
        <v>0.04</v>
      </c>
      <c r="U234" s="0" t="n">
        <f aca="false">'[1]Nutrient content per 100 grams'!O54</f>
        <v>0</v>
      </c>
      <c r="V234" s="0" t="n">
        <f aca="false">'[1]Nutrient content per 100 grams'!P54</f>
        <v>2</v>
      </c>
      <c r="W234" s="0" t="n">
        <f aca="false">'[1]Nutrient content per 100 grams'!Q54</f>
        <v>8</v>
      </c>
      <c r="X234" s="0" t="n">
        <f aca="false">'[1]Nutrient content per 100 grams'!R54</f>
        <v>15</v>
      </c>
      <c r="Y234" s="0" t="n">
        <f aca="false">'[1]Nutrient content per 100 grams'!S54</f>
        <v>0.031</v>
      </c>
      <c r="Z234" s="0" t="n">
        <f aca="false">'[1]Nutrient content per 100 grams'!T54</f>
        <v>0.015</v>
      </c>
      <c r="AA234" s="0" t="n">
        <f aca="false">'[1]Nutrient content per 100 grams'!U54</f>
        <v>0.1</v>
      </c>
      <c r="AB234" s="0" t="n">
        <f aca="false">'[1]Nutrient content per 100 grams'!V54</f>
        <v>28.3</v>
      </c>
      <c r="AC234" s="0" t="n">
        <f aca="false">'[1]Nutrient content per 100 grams'!W54</f>
        <v>0.042</v>
      </c>
      <c r="AD234" s="0" t="n">
        <f aca="false">'[1]Nutrient content per 100 grams'!X54</f>
        <v>0.231</v>
      </c>
      <c r="AE234" s="0" t="n">
        <f aca="false">'[1]Nutrient content per 100 grams'!Y54</f>
        <v>0.13</v>
      </c>
      <c r="AF234" s="0" t="n">
        <f aca="false">'[1]Nutrient content per 100 grams'!Z54</f>
        <v>0.02</v>
      </c>
      <c r="AG234" s="0" t="n">
        <f aca="false">'[1]Nutrient content per 100 grams'!AA54</f>
        <v>0.018</v>
      </c>
    </row>
    <row r="235" customFormat="false" ht="14.25" hidden="false" customHeight="false" outlineLevel="0" collapsed="false">
      <c r="A235" s="0" t="n">
        <v>510</v>
      </c>
      <c r="B235" s="0" t="s">
        <v>556</v>
      </c>
      <c r="C235" s="0" t="s">
        <v>552</v>
      </c>
      <c r="E235" s="0" t="n">
        <v>200929</v>
      </c>
      <c r="F235" s="0" t="n">
        <v>200929</v>
      </c>
      <c r="G235" s="0" t="n">
        <v>21432.01</v>
      </c>
      <c r="I235" s="0" t="n">
        <f aca="false">VLOOKUP($A235,content_factors_backup!$A$2:$Q$468,I$525,FALSE())</f>
        <v>20</v>
      </c>
      <c r="J235" s="0" t="n">
        <f aca="false">'[1]Nutrient content per 100 grams'!D55</f>
        <v>146</v>
      </c>
      <c r="K235" s="0" t="n">
        <f aca="false">'[1]Nutrient content per 100 grams'!E55</f>
        <v>1.97</v>
      </c>
      <c r="L235" s="0" t="n">
        <f aca="false">'[1]Nutrient content per 100 grams'!F55</f>
        <v>0.4</v>
      </c>
      <c r="M235" s="0" t="n">
        <f aca="false">'[1]Nutrient content per 100 grams'!G55</f>
        <v>0.18</v>
      </c>
      <c r="N235" s="0" t="n">
        <f aca="false">'[1]Nutrient content per 100 grams'!H55</f>
        <v>0.49</v>
      </c>
      <c r="O235" s="0" t="n">
        <f aca="false">'[1]Nutrient content per 100 grams'!I55</f>
        <v>27</v>
      </c>
      <c r="P235" s="0" t="n">
        <f aca="false">'[1]Nutrient content per 100 grams'!J55</f>
        <v>13</v>
      </c>
      <c r="Q235" s="0" t="n">
        <f aca="false">'[1]Nutrient content per 100 grams'!K55</f>
        <v>0.078</v>
      </c>
      <c r="R235" s="0" t="n">
        <f aca="false">'[1]Nutrient content per 100 grams'!L55</f>
        <v>24.5</v>
      </c>
      <c r="S235" s="0" t="n">
        <f aca="false">'[1]Nutrient content per 100 grams'!M55</f>
        <v>484</v>
      </c>
      <c r="T235" s="0" t="n">
        <f aca="false">'[1]Nutrient content per 100 grams'!N55</f>
        <v>0.14</v>
      </c>
      <c r="U235" s="0" t="n">
        <f aca="false">'[1]Nutrient content per 100 grams'!O55</f>
        <v>0.1</v>
      </c>
      <c r="V235" s="0" t="n">
        <f aca="false">'[1]Nutrient content per 100 grams'!P55</f>
        <v>2</v>
      </c>
      <c r="W235" s="0" t="n">
        <f aca="false">'[1]Nutrient content per 100 grams'!Q55</f>
        <v>38</v>
      </c>
      <c r="X235" s="0" t="n">
        <f aca="false">'[1]Nutrient content per 100 grams'!R55</f>
        <v>49</v>
      </c>
      <c r="Y235" s="0" t="n">
        <f aca="false">'[1]Nutrient content per 100 grams'!S55</f>
        <v>0.118</v>
      </c>
      <c r="Z235" s="0" t="n">
        <f aca="false">'[1]Nutrient content per 100 grams'!T55</f>
        <v>0.07</v>
      </c>
      <c r="AA235" s="0" t="n">
        <f aca="false">'[1]Nutrient content per 100 grams'!U55</f>
        <v>0.3</v>
      </c>
      <c r="AB235" s="0" t="n">
        <f aca="false">'[1]Nutrient content per 100 grams'!V55</f>
        <v>119.8</v>
      </c>
      <c r="AC235" s="0" t="n">
        <f aca="false">'[1]Nutrient content per 100 grams'!W55</f>
        <v>0.145</v>
      </c>
      <c r="AD235" s="0" t="n">
        <f aca="false">'[1]Nutrient content per 100 grams'!X55</f>
        <v>0.772</v>
      </c>
      <c r="AE235" s="0" t="n">
        <f aca="false">'[1]Nutrient content per 100 grams'!Y55</f>
        <v>0.672</v>
      </c>
      <c r="AF235" s="0" t="n">
        <f aca="false">'[1]Nutrient content per 100 grams'!Z55</f>
        <v>0.154</v>
      </c>
      <c r="AG235" s="0" t="n">
        <f aca="false">'[1]Nutrient content per 100 grams'!AA55</f>
        <v>0.113</v>
      </c>
    </row>
    <row r="236" customFormat="false" ht="14.25" hidden="false" customHeight="false" outlineLevel="0" collapsed="false">
      <c r="A236" s="0" t="n">
        <v>512</v>
      </c>
      <c r="B236" s="0" t="s">
        <v>557</v>
      </c>
      <c r="C236" s="0" t="s">
        <v>558</v>
      </c>
      <c r="E236" s="0" t="n">
        <v>80590</v>
      </c>
      <c r="F236" s="0" t="n">
        <v>80590</v>
      </c>
      <c r="G236" s="0" t="n">
        <v>1329</v>
      </c>
      <c r="I236" s="0" t="n">
        <f aca="false">VLOOKUP($A236,content_factors_backup!$A$2:$Q$468,I$525,FALSE())</f>
        <v>50</v>
      </c>
      <c r="J236" s="0" t="n">
        <f aca="false">'[1]Nutrient content per 100 grams'!D56</f>
        <v>71</v>
      </c>
      <c r="K236" s="0" t="n">
        <f aca="false">'[1]Nutrient content per 100 grams'!E56</f>
        <v>1.88</v>
      </c>
      <c r="L236" s="0" t="n">
        <f aca="false">'[1]Nutrient content per 100 grams'!F56</f>
        <v>6.5</v>
      </c>
      <c r="M236" s="0" t="n">
        <f aca="false">'[1]Nutrient content per 100 grams'!G56</f>
        <v>0.17</v>
      </c>
      <c r="N236" s="0" t="n">
        <f aca="false">'[1]Nutrient content per 100 grams'!H56</f>
        <v>0.86</v>
      </c>
      <c r="O236" s="0" t="n">
        <f aca="false">'[1]Nutrient content per 100 grams'!I56</f>
        <v>62</v>
      </c>
      <c r="P236" s="0" t="n">
        <f aca="false">'[1]Nutrient content per 100 grams'!J56</f>
        <v>17</v>
      </c>
      <c r="Q236" s="0" t="n">
        <f aca="false">'[1]Nutrient content per 100 grams'!K56</f>
        <v>0.09</v>
      </c>
      <c r="R236" s="0" t="n">
        <f aca="false">'[1]Nutrient content per 100 grams'!L56</f>
        <v>8.4</v>
      </c>
      <c r="S236" s="0" t="n">
        <f aca="false">'[1]Nutrient content per 100 grams'!M56</f>
        <v>186</v>
      </c>
      <c r="T236" s="0" t="n">
        <f aca="false">'[1]Nutrient content per 100 grams'!N56</f>
        <v>0.15</v>
      </c>
      <c r="U236" s="0" t="n">
        <f aca="false">'[1]Nutrient content per 100 grams'!O56</f>
        <v>0</v>
      </c>
      <c r="V236" s="0" t="n">
        <f aca="false">'[1]Nutrient content per 100 grams'!P56</f>
        <v>15</v>
      </c>
      <c r="W236" s="0" t="n">
        <f aca="false">'[1]Nutrient content per 100 grams'!Q56</f>
        <v>20</v>
      </c>
      <c r="X236" s="0" t="n">
        <f aca="false">'[1]Nutrient content per 100 grams'!R56</f>
        <v>19</v>
      </c>
      <c r="Y236" s="0" t="n">
        <f aca="false">'[1]Nutrient content per 100 grams'!S56</f>
        <v>0.095</v>
      </c>
      <c r="Z236" s="0" t="n">
        <f aca="false">'[1]Nutrient content per 100 grams'!T56</f>
        <v>0.135</v>
      </c>
      <c r="AA236" s="0" t="n">
        <f aca="false">'[1]Nutrient content per 100 grams'!U56</f>
        <v>0</v>
      </c>
      <c r="AB236" s="0" t="n">
        <f aca="false">'[1]Nutrient content per 100 grams'!V56</f>
        <v>43.9</v>
      </c>
      <c r="AC236" s="0" t="n">
        <f aca="false">'[1]Nutrient content per 100 grams'!W56</f>
        <v>0.037</v>
      </c>
      <c r="AD236" s="0" t="n">
        <f aca="false">'[1]Nutrient content per 100 grams'!X56</f>
        <v>0.429</v>
      </c>
      <c r="AE236" s="0" t="n">
        <f aca="false">'[1]Nutrient content per 100 grams'!Y56</f>
        <v>0.208</v>
      </c>
      <c r="AF236" s="0" t="n">
        <f aca="false">'[1]Nutrient content per 100 grams'!Z56</f>
        <v>0.036</v>
      </c>
      <c r="AG236" s="0" t="n">
        <f aca="false">'[1]Nutrient content per 100 grams'!AA56</f>
        <v>0.171</v>
      </c>
    </row>
    <row r="237" customFormat="false" ht="14.25" hidden="false" customHeight="false" outlineLevel="0" collapsed="false">
      <c r="A237" s="0" t="n">
        <v>513</v>
      </c>
      <c r="B237" s="0" t="s">
        <v>559</v>
      </c>
      <c r="C237" s="0" t="s">
        <v>550</v>
      </c>
      <c r="E237" s="0" t="n">
        <v>200931</v>
      </c>
      <c r="F237" s="0" t="n">
        <v>200931</v>
      </c>
      <c r="G237" s="0" t="n">
        <v>21439.04</v>
      </c>
      <c r="I237" s="0" t="n">
        <f aca="false">VLOOKUP($A237,content_factors_backup!$A$2:$Q$468,I$525,FALSE())</f>
        <v>10</v>
      </c>
      <c r="J237" s="0" t="n">
        <f aca="false">'[1]Nutrient content per 100 grams'!D57</f>
        <v>25</v>
      </c>
      <c r="K237" s="0" t="n">
        <f aca="false">'[1]Nutrient content per 100 grams'!E57</f>
        <v>0.42</v>
      </c>
      <c r="L237" s="0" t="n">
        <f aca="false">'[1]Nutrient content per 100 grams'!F57</f>
        <v>0.4</v>
      </c>
      <c r="M237" s="0" t="n">
        <f aca="false">'[1]Nutrient content per 100 grams'!G57</f>
        <v>0.08</v>
      </c>
      <c r="N237" s="0" t="n">
        <f aca="false">'[1]Nutrient content per 100 grams'!H57</f>
        <v>0.09</v>
      </c>
      <c r="O237" s="0" t="n">
        <f aca="false">'[1]Nutrient content per 100 grams'!I57</f>
        <v>14</v>
      </c>
      <c r="P237" s="0" t="n">
        <f aca="false">'[1]Nutrient content per 100 grams'!J57</f>
        <v>10</v>
      </c>
      <c r="Q237" s="0" t="n">
        <f aca="false">'[1]Nutrient content per 100 grams'!K57</f>
        <v>0.015</v>
      </c>
      <c r="R237" s="0" t="n">
        <f aca="false">'[1]Nutrient content per 100 grams'!L57</f>
        <v>5.1</v>
      </c>
      <c r="S237" s="0" t="n">
        <f aca="false">'[1]Nutrient content per 100 grams'!M57</f>
        <v>117</v>
      </c>
      <c r="T237" s="0" t="n">
        <f aca="false">'[1]Nutrient content per 100 grams'!N57</f>
        <v>0.22</v>
      </c>
      <c r="U237" s="0" t="n">
        <f aca="false">'[1]Nutrient content per 100 grams'!O57</f>
        <v>0.6</v>
      </c>
      <c r="V237" s="0" t="n">
        <f aca="false">'[1]Nutrient content per 100 grams'!P57</f>
        <v>2</v>
      </c>
      <c r="W237" s="0" t="n">
        <f aca="false">'[1]Nutrient content per 100 grams'!Q57</f>
        <v>8</v>
      </c>
      <c r="X237" s="0" t="n">
        <f aca="false">'[1]Nutrient content per 100 grams'!R57</f>
        <v>14</v>
      </c>
      <c r="Y237" s="0" t="n">
        <f aca="false">'[1]Nutrient content per 100 grams'!S57</f>
        <v>0.027</v>
      </c>
      <c r="Z237" s="0" t="n">
        <f aca="false">'[1]Nutrient content per 100 grams'!T57</f>
        <v>0.018</v>
      </c>
      <c r="AA237" s="0" t="n">
        <f aca="false">'[1]Nutrient content per 100 grams'!U57</f>
        <v>0.1</v>
      </c>
      <c r="AB237" s="0" t="n">
        <f aca="false">'[1]Nutrient content per 100 grams'!V57</f>
        <v>30</v>
      </c>
      <c r="AC237" s="0" t="n">
        <f aca="false">'[1]Nutrient content per 100 grams'!W57</f>
        <v>0.025</v>
      </c>
      <c r="AD237" s="0" t="n">
        <f aca="false">'[1]Nutrient content per 100 grams'!X57</f>
        <v>0.142</v>
      </c>
      <c r="AE237" s="0" t="n">
        <f aca="false">'[1]Nutrient content per 100 grams'!Y57</f>
        <v>0.123</v>
      </c>
      <c r="AF237" s="0" t="n">
        <f aca="false">'[1]Nutrient content per 100 grams'!Z57</f>
        <v>0.038</v>
      </c>
      <c r="AG237" s="0" t="n">
        <f aca="false">'[1]Nutrient content per 100 grams'!AA57</f>
        <v>0.023</v>
      </c>
    </row>
    <row r="238" customFormat="false" ht="14.25" hidden="false" customHeight="false" outlineLevel="0" collapsed="false">
      <c r="A238" s="0" t="n">
        <v>514</v>
      </c>
      <c r="B238" s="0" t="s">
        <v>560</v>
      </c>
      <c r="C238" s="0" t="s">
        <v>552</v>
      </c>
      <c r="E238" s="0" t="n">
        <v>200939</v>
      </c>
      <c r="F238" s="0" t="n">
        <v>200939</v>
      </c>
      <c r="G238" s="0" t="n">
        <v>21439.05</v>
      </c>
      <c r="I238" s="0" t="n">
        <f aca="false">VLOOKUP($A238,content_factors_backup!$A$2:$Q$468,I$525,FALSE())</f>
        <v>20</v>
      </c>
      <c r="J238" s="0" t="n">
        <f aca="false">'[1]Nutrient content per 100 grams'!D58</f>
        <v>25</v>
      </c>
      <c r="K238" s="0" t="n">
        <f aca="false">'[1]Nutrient content per 100 grams'!E58</f>
        <v>0.42</v>
      </c>
      <c r="L238" s="0" t="n">
        <f aca="false">'[1]Nutrient content per 100 grams'!F58</f>
        <v>0.4</v>
      </c>
      <c r="M238" s="0" t="n">
        <f aca="false">'[1]Nutrient content per 100 grams'!G58</f>
        <v>0.08</v>
      </c>
      <c r="N238" s="0" t="n">
        <f aca="false">'[1]Nutrient content per 100 grams'!H58</f>
        <v>0.09</v>
      </c>
      <c r="O238" s="0" t="n">
        <f aca="false">'[1]Nutrient content per 100 grams'!I58</f>
        <v>14</v>
      </c>
      <c r="P238" s="0" t="n">
        <f aca="false">'[1]Nutrient content per 100 grams'!J58</f>
        <v>10</v>
      </c>
      <c r="Q238" s="0" t="n">
        <f aca="false">'[1]Nutrient content per 100 grams'!K58</f>
        <v>0.015</v>
      </c>
      <c r="R238" s="0" t="n">
        <f aca="false">'[1]Nutrient content per 100 grams'!L58</f>
        <v>5.1</v>
      </c>
      <c r="S238" s="0" t="n">
        <f aca="false">'[1]Nutrient content per 100 grams'!M58</f>
        <v>117</v>
      </c>
      <c r="T238" s="0" t="n">
        <f aca="false">'[1]Nutrient content per 100 grams'!N58</f>
        <v>0.22</v>
      </c>
      <c r="U238" s="0" t="n">
        <f aca="false">'[1]Nutrient content per 100 grams'!O58</f>
        <v>0.6</v>
      </c>
      <c r="V238" s="0" t="n">
        <f aca="false">'[1]Nutrient content per 100 grams'!P58</f>
        <v>2</v>
      </c>
      <c r="W238" s="0" t="n">
        <f aca="false">'[1]Nutrient content per 100 grams'!Q58</f>
        <v>8</v>
      </c>
      <c r="X238" s="0" t="n">
        <f aca="false">'[1]Nutrient content per 100 grams'!R58</f>
        <v>14</v>
      </c>
      <c r="Y238" s="0" t="n">
        <f aca="false">'[1]Nutrient content per 100 grams'!S58</f>
        <v>0.027</v>
      </c>
      <c r="Z238" s="0" t="n">
        <f aca="false">'[1]Nutrient content per 100 grams'!T58</f>
        <v>0.018</v>
      </c>
      <c r="AA238" s="0" t="n">
        <f aca="false">'[1]Nutrient content per 100 grams'!U58</f>
        <v>0.1</v>
      </c>
      <c r="AB238" s="0" t="n">
        <f aca="false">'[1]Nutrient content per 100 grams'!V58</f>
        <v>30</v>
      </c>
      <c r="AC238" s="0" t="n">
        <f aca="false">'[1]Nutrient content per 100 grams'!W58</f>
        <v>0.025</v>
      </c>
      <c r="AD238" s="0" t="n">
        <f aca="false">'[1]Nutrient content per 100 grams'!X58</f>
        <v>0.142</v>
      </c>
      <c r="AE238" s="0" t="n">
        <f aca="false">'[1]Nutrient content per 100 grams'!Y58</f>
        <v>0.123</v>
      </c>
      <c r="AF238" s="0" t="n">
        <f aca="false">'[1]Nutrient content per 100 grams'!Z58</f>
        <v>0.038</v>
      </c>
      <c r="AG238" s="0" t="n">
        <f aca="false">'[1]Nutrient content per 100 grams'!AA58</f>
        <v>0.023</v>
      </c>
    </row>
    <row r="239" customFormat="false" ht="14.25" hidden="false" customHeight="false" outlineLevel="0" collapsed="false">
      <c r="A239" s="0" t="n">
        <v>515</v>
      </c>
      <c r="B239" s="0" t="s">
        <v>561</v>
      </c>
      <c r="C239" s="0" t="s">
        <v>562</v>
      </c>
      <c r="E239" s="0" t="n">
        <v>80810</v>
      </c>
      <c r="F239" s="0" t="n">
        <v>80810</v>
      </c>
      <c r="G239" s="0" t="n">
        <v>1341</v>
      </c>
      <c r="I239" s="0" t="n">
        <f aca="false">VLOOKUP($A239,content_factors_backup!$A$2:$Q$468,I$525,FALSE())</f>
        <v>15</v>
      </c>
      <c r="J239" s="0" t="n">
        <f aca="false">'[1]Nutrient content per 100 grams'!D59</f>
        <v>52</v>
      </c>
      <c r="K239" s="0" t="n">
        <f aca="false">'[1]Nutrient content per 100 grams'!E59</f>
        <v>0.26</v>
      </c>
      <c r="L239" s="0" t="n">
        <f aca="false">'[1]Nutrient content per 100 grams'!F59</f>
        <v>2.4</v>
      </c>
      <c r="M239" s="0" t="n">
        <f aca="false">'[1]Nutrient content per 100 grams'!G59</f>
        <v>0.04</v>
      </c>
      <c r="N239" s="0" t="n">
        <f aca="false">'[1]Nutrient content per 100 grams'!H59</f>
        <v>0.12</v>
      </c>
      <c r="O239" s="0" t="n">
        <f aca="false">'[1]Nutrient content per 100 grams'!I59</f>
        <v>6</v>
      </c>
      <c r="P239" s="0" t="n">
        <f aca="false">'[1]Nutrient content per 100 grams'!J59</f>
        <v>3</v>
      </c>
      <c r="Q239" s="0" t="n">
        <f aca="false">'[1]Nutrient content per 100 grams'!K59</f>
        <v>0.026</v>
      </c>
      <c r="R239" s="0" t="n">
        <f aca="false">'[1]Nutrient content per 100 grams'!L59</f>
        <v>3.4</v>
      </c>
      <c r="S239" s="0" t="n">
        <f aca="false">'[1]Nutrient content per 100 grams'!M59</f>
        <v>107</v>
      </c>
      <c r="T239" s="0" t="n">
        <f aca="false">'[1]Nutrient content per 100 grams'!N59</f>
        <v>0.18</v>
      </c>
      <c r="U239" s="0" t="n">
        <f aca="false">'[1]Nutrient content per 100 grams'!O59</f>
        <v>2.2</v>
      </c>
      <c r="V239" s="0" t="n">
        <f aca="false">'[1]Nutrient content per 100 grams'!P59</f>
        <v>3</v>
      </c>
      <c r="W239" s="0" t="n">
        <f aca="false">'[1]Nutrient content per 100 grams'!Q59</f>
        <v>5</v>
      </c>
      <c r="X239" s="0" t="n">
        <f aca="false">'[1]Nutrient content per 100 grams'!R59</f>
        <v>11</v>
      </c>
      <c r="Y239" s="0" t="n">
        <f aca="false">'[1]Nutrient content per 100 grams'!S59</f>
        <v>0.027</v>
      </c>
      <c r="Z239" s="0" t="n">
        <f aca="false">'[1]Nutrient content per 100 grams'!T59</f>
        <v>0.035</v>
      </c>
      <c r="AA239" s="0" t="n">
        <f aca="false">'[1]Nutrient content per 100 grams'!U59</f>
        <v>0</v>
      </c>
      <c r="AB239" s="0" t="n">
        <f aca="false">'[1]Nutrient content per 100 grams'!V59</f>
        <v>4.6</v>
      </c>
      <c r="AC239" s="0" t="n">
        <f aca="false">'[1]Nutrient content per 100 grams'!W59</f>
        <v>0.017</v>
      </c>
      <c r="AD239" s="0" t="n">
        <f aca="false">'[1]Nutrient content per 100 grams'!X59</f>
        <v>0.091</v>
      </c>
      <c r="AE239" s="0" t="n">
        <f aca="false">'[1]Nutrient content per 100 grams'!Y59</f>
        <v>0.061</v>
      </c>
      <c r="AF239" s="0" t="n">
        <f aca="false">'[1]Nutrient content per 100 grams'!Z59</f>
        <v>0.041</v>
      </c>
      <c r="AG239" s="0" t="n">
        <f aca="false">'[1]Nutrient content per 100 grams'!AA59</f>
        <v>0.051</v>
      </c>
    </row>
    <row r="240" customFormat="false" ht="14.25" hidden="false" customHeight="false" outlineLevel="0" collapsed="false">
      <c r="A240" s="0" t="n">
        <v>517</v>
      </c>
      <c r="B240" s="0" t="s">
        <v>563</v>
      </c>
      <c r="C240" s="0" t="s">
        <v>564</v>
      </c>
      <c r="E240" s="0" t="n">
        <v>220600</v>
      </c>
      <c r="F240" s="0" t="n">
        <v>220600</v>
      </c>
      <c r="G240" s="0" t="n">
        <v>24230.03</v>
      </c>
      <c r="I240" s="0" t="n">
        <f aca="false">VLOOKUP($A240,content_factors_backup!$A$2:$Q$468,I$525,FALSE())</f>
        <v>8</v>
      </c>
      <c r="J240" s="0" t="n">
        <f aca="false">'[1]Nutrient content per 100 grams'!D60</f>
        <v>48.5</v>
      </c>
      <c r="K240" s="0" t="n">
        <f aca="false">'[1]Nutrient content per 100 grams'!E60</f>
        <v>0</v>
      </c>
      <c r="L240" s="0" t="n">
        <f aca="false">'[1]Nutrient content per 100 grams'!F60</f>
        <v>0</v>
      </c>
      <c r="M240" s="0" t="n">
        <f aca="false">'[1]Nutrient content per 100 grams'!G60</f>
        <v>0.045</v>
      </c>
      <c r="N240" s="0" t="n">
        <f aca="false">'[1]Nutrient content per 100 grams'!H60</f>
        <v>0.055</v>
      </c>
      <c r="O240" s="0" t="n">
        <f aca="false">'[1]Nutrient content per 100 grams'!I60</f>
        <v>4.5</v>
      </c>
      <c r="P240" s="0" t="n">
        <f aca="false">'[1]Nutrient content per 100 grams'!J60</f>
        <v>0.5</v>
      </c>
      <c r="Q240" s="0" t="n">
        <f aca="false">'[1]Nutrient content per 100 grams'!K60</f>
        <v>0.0065</v>
      </c>
      <c r="R240" s="0" t="n">
        <f aca="false">'[1]Nutrient content per 100 grams'!L60</f>
        <v>1</v>
      </c>
      <c r="S240" s="0" t="n">
        <f aca="false">'[1]Nutrient content per 100 grams'!M60</f>
        <v>27.5</v>
      </c>
      <c r="T240" s="0" t="n">
        <f aca="false">'[1]Nutrient content per 100 grams'!N60</f>
        <v>0.045</v>
      </c>
      <c r="U240" s="0" t="n">
        <f aca="false">'[1]Nutrient content per 100 grams'!O60</f>
        <v>0.55</v>
      </c>
      <c r="V240" s="0" t="n">
        <f aca="false">'[1]Nutrient content per 100 grams'!P60</f>
        <v>0.5</v>
      </c>
      <c r="W240" s="0" t="n">
        <f aca="false">'[1]Nutrient content per 100 grams'!Q60</f>
        <v>2</v>
      </c>
      <c r="X240" s="0" t="n">
        <f aca="false">'[1]Nutrient content per 100 grams'!R60</f>
        <v>3</v>
      </c>
      <c r="Y240" s="0" t="n">
        <f aca="false">'[1]Nutrient content per 100 grams'!S60</f>
        <v>0.0125</v>
      </c>
      <c r="Z240" s="0" t="n">
        <f aca="false">'[1]Nutrient content per 100 grams'!T60</f>
        <v>0.0155</v>
      </c>
      <c r="AA240" s="0" t="n">
        <f aca="false">'[1]Nutrient content per 100 grams'!U60</f>
        <v>0.05</v>
      </c>
      <c r="AB240" s="0" t="n">
        <f aca="false">'[1]Nutrient content per 100 grams'!V60</f>
        <v>1.15</v>
      </c>
      <c r="AC240" s="0" t="n">
        <f aca="false">'[1]Nutrient content per 100 grams'!W60</f>
        <v>0.0045</v>
      </c>
      <c r="AD240" s="0" t="n">
        <f aca="false">'[1]Nutrient content per 100 grams'!X60</f>
        <v>0.0225</v>
      </c>
      <c r="AE240" s="0" t="n">
        <f aca="false">'[1]Nutrient content per 100 grams'!Y60</f>
        <v>0.015</v>
      </c>
      <c r="AF240" s="0" t="n">
        <f aca="false">'[1]Nutrient content per 100 grams'!Z60</f>
        <v>0.0105</v>
      </c>
      <c r="AG240" s="0" t="n">
        <f aca="false">'[1]Nutrient content per 100 grams'!AA60</f>
        <v>0</v>
      </c>
    </row>
    <row r="241" customFormat="false" ht="14.25" hidden="false" customHeight="false" outlineLevel="0" collapsed="false">
      <c r="A241" s="0" t="n">
        <v>518</v>
      </c>
      <c r="B241" s="0" t="s">
        <v>565</v>
      </c>
      <c r="C241" s="0" t="s">
        <v>550</v>
      </c>
      <c r="E241" s="0" t="n">
        <v>200971</v>
      </c>
      <c r="F241" s="0" t="n">
        <v>200971</v>
      </c>
      <c r="G241" s="0" t="n">
        <v>21435.01</v>
      </c>
      <c r="I241" s="0" t="n">
        <f aca="false">VLOOKUP($A241,content_factors_backup!$A$2:$Q$468,I$525,FALSE())</f>
        <v>10</v>
      </c>
      <c r="J241" s="0" t="n">
        <f aca="false">'[1]Nutrient content per 100 grams'!D61</f>
        <v>46</v>
      </c>
      <c r="K241" s="0" t="n">
        <f aca="false">'[1]Nutrient content per 100 grams'!E61</f>
        <v>0.1</v>
      </c>
      <c r="L241" s="0" t="n">
        <f aca="false">'[1]Nutrient content per 100 grams'!F61</f>
        <v>0.2</v>
      </c>
      <c r="M241" s="0" t="n">
        <f aca="false">'[1]Nutrient content per 100 grams'!G61</f>
        <v>0.02</v>
      </c>
      <c r="N241" s="0" t="n">
        <f aca="false">'[1]Nutrient content per 100 grams'!H61</f>
        <v>0.12</v>
      </c>
      <c r="O241" s="0" t="n">
        <f aca="false">'[1]Nutrient content per 100 grams'!I61</f>
        <v>8</v>
      </c>
      <c r="P241" s="0" t="n">
        <f aca="false">'[1]Nutrient content per 100 grams'!J61</f>
        <v>0</v>
      </c>
      <c r="Q241" s="0" t="n">
        <f aca="false">'[1]Nutrient content per 100 grams'!K61</f>
        <v>0.017</v>
      </c>
      <c r="R241" s="0" t="n">
        <f aca="false">'[1]Nutrient content per 100 grams'!L61</f>
        <v>1.8</v>
      </c>
      <c r="S241" s="0" t="n">
        <f aca="false">'[1]Nutrient content per 100 grams'!M61</f>
        <v>101</v>
      </c>
      <c r="T241" s="0" t="n">
        <f aca="false">'[1]Nutrient content per 100 grams'!N61</f>
        <v>0.01</v>
      </c>
      <c r="U241" s="0" t="n">
        <f aca="false">'[1]Nutrient content per 100 grams'!O61</f>
        <v>0</v>
      </c>
      <c r="V241" s="0" t="n">
        <f aca="false">'[1]Nutrient content per 100 grams'!P61</f>
        <v>0</v>
      </c>
      <c r="W241" s="0" t="n">
        <f aca="false">'[1]Nutrient content per 100 grams'!Q61</f>
        <v>5</v>
      </c>
      <c r="X241" s="0" t="n">
        <f aca="false">'[1]Nutrient content per 100 grams'!R61</f>
        <v>7</v>
      </c>
      <c r="Y241" s="0" t="n">
        <f aca="false">'[1]Nutrient content per 100 grams'!S61</f>
        <v>0.012</v>
      </c>
      <c r="Z241" s="0" t="n">
        <f aca="false">'[1]Nutrient content per 100 grams'!T61</f>
        <v>0.074</v>
      </c>
      <c r="AA241" s="0" t="n">
        <f aca="false">'[1]Nutrient content per 100 grams'!U61</f>
        <v>0.1</v>
      </c>
      <c r="AB241" s="0" t="n">
        <f aca="false">'[1]Nutrient content per 100 grams'!V61</f>
        <v>0.9</v>
      </c>
      <c r="AC241" s="0" t="n">
        <f aca="false">'[1]Nutrient content per 100 grams'!W61</f>
        <v>0.021</v>
      </c>
      <c r="AD241" s="0" t="n">
        <f aca="false">'[1]Nutrient content per 100 grams'!X61</f>
        <v>0.073</v>
      </c>
      <c r="AE241" s="0" t="n">
        <f aca="false">'[1]Nutrient content per 100 grams'!Y61</f>
        <v>0.049</v>
      </c>
      <c r="AF241" s="0" t="n">
        <f aca="false">'[1]Nutrient content per 100 grams'!Z61</f>
        <v>0.018</v>
      </c>
      <c r="AG241" s="0" t="n">
        <f aca="false">'[1]Nutrient content per 100 grams'!AA61</f>
        <v>0.039</v>
      </c>
    </row>
    <row r="242" customFormat="false" ht="14.25" hidden="false" customHeight="false" outlineLevel="0" collapsed="false">
      <c r="A242" s="0" t="n">
        <v>519</v>
      </c>
      <c r="B242" s="0" t="s">
        <v>566</v>
      </c>
      <c r="C242" s="0" t="s">
        <v>552</v>
      </c>
      <c r="E242" s="0" t="n">
        <v>200979</v>
      </c>
      <c r="F242" s="0" t="n">
        <v>200979</v>
      </c>
      <c r="G242" s="0" t="n">
        <v>21435.02</v>
      </c>
      <c r="I242" s="0" t="n">
        <f aca="false">VLOOKUP($A242,content_factors_backup!$A$2:$Q$468,I$525,FALSE())</f>
        <v>20</v>
      </c>
      <c r="J242" s="0" t="n">
        <f aca="false">'[1]Nutrient content per 100 grams'!D62</f>
        <v>166</v>
      </c>
      <c r="K242" s="0" t="n">
        <f aca="false">'[1]Nutrient content per 100 grams'!E62</f>
        <v>0.51</v>
      </c>
      <c r="L242" s="0" t="n">
        <f aca="false">'[1]Nutrient content per 100 grams'!F62</f>
        <v>0.4</v>
      </c>
      <c r="M242" s="0" t="n">
        <f aca="false">'[1]Nutrient content per 100 grams'!G62</f>
        <v>0.13</v>
      </c>
      <c r="N242" s="0" t="n">
        <f aca="false">'[1]Nutrient content per 100 grams'!H62</f>
        <v>0.91</v>
      </c>
      <c r="O242" s="0" t="n">
        <f aca="false">'[1]Nutrient content per 100 grams'!I62</f>
        <v>20</v>
      </c>
      <c r="P242" s="0" t="n">
        <f aca="false">'[1]Nutrient content per 100 grams'!J62</f>
        <v>1</v>
      </c>
      <c r="Q242" s="0" t="n">
        <f aca="false">'[1]Nutrient content per 100 grams'!K62</f>
        <v>0.054</v>
      </c>
      <c r="R242" s="0" t="n">
        <f aca="false">'[1]Nutrient content per 100 grams'!L62</f>
        <v>6.5</v>
      </c>
      <c r="S242" s="0" t="n">
        <f aca="false">'[1]Nutrient content per 100 grams'!M62</f>
        <v>448</v>
      </c>
      <c r="T242" s="0" t="n">
        <f aca="false">'[1]Nutrient content per 100 grams'!N62</f>
        <v>0.04</v>
      </c>
      <c r="U242" s="0" t="n">
        <f aca="false">'[1]Nutrient content per 100 grams'!O62</f>
        <v>0</v>
      </c>
      <c r="V242" s="0" t="n">
        <f aca="false">'[1]Nutrient content per 100 grams'!P62</f>
        <v>0</v>
      </c>
      <c r="W242" s="0" t="n">
        <f aca="false">'[1]Nutrient content per 100 grams'!Q62</f>
        <v>17</v>
      </c>
      <c r="X242" s="0" t="n">
        <f aca="false">'[1]Nutrient content per 100 grams'!R62</f>
        <v>25</v>
      </c>
      <c r="Y242" s="0" t="n">
        <f aca="false">'[1]Nutrient content per 100 grams'!S62</f>
        <v>0.05</v>
      </c>
      <c r="Z242" s="0" t="n">
        <f aca="false">'[1]Nutrient content per 100 grams'!T62</f>
        <v>0.225</v>
      </c>
      <c r="AA242" s="0" t="n">
        <f aca="false">'[1]Nutrient content per 100 grams'!U62</f>
        <v>0.4</v>
      </c>
      <c r="AB242" s="0" t="n">
        <f aca="false">'[1]Nutrient content per 100 grams'!V62</f>
        <v>2.1</v>
      </c>
      <c r="AC242" s="0" t="n">
        <f aca="false">'[1]Nutrient content per 100 grams'!W62</f>
        <v>0.011</v>
      </c>
      <c r="AD242" s="0" t="n">
        <f aca="false">'[1]Nutrient content per 100 grams'!X62</f>
        <v>0.135</v>
      </c>
      <c r="AE242" s="0" t="n">
        <f aca="false">'[1]Nutrient content per 100 grams'!Y62</f>
        <v>0.223</v>
      </c>
      <c r="AF242" s="0" t="n">
        <f aca="false">'[1]Nutrient content per 100 grams'!Z62</f>
        <v>0.116</v>
      </c>
      <c r="AG242" s="0" t="n">
        <f aca="false">'[1]Nutrient content per 100 grams'!AA62</f>
        <v>0.108</v>
      </c>
    </row>
    <row r="243" customFormat="false" ht="14.25" hidden="false" customHeight="false" outlineLevel="0" collapsed="false">
      <c r="A243" s="0" t="n">
        <v>521</v>
      </c>
      <c r="B243" s="0" t="s">
        <v>567</v>
      </c>
      <c r="C243" s="0" t="s">
        <v>568</v>
      </c>
      <c r="E243" s="0" t="n">
        <v>80820</v>
      </c>
      <c r="F243" s="0" t="n">
        <v>80830</v>
      </c>
      <c r="G243" s="0" t="n">
        <v>1342.01</v>
      </c>
      <c r="I243" s="0" t="n">
        <f aca="false">VLOOKUP($A243,content_factors_backup!$A$2:$Q$468,I$525,FALSE())</f>
        <v>17</v>
      </c>
      <c r="J243" s="0" t="n">
        <f aca="false">'[1]Nutrient content per 100 grams'!D63</f>
        <v>57</v>
      </c>
      <c r="K243" s="0" t="n">
        <f aca="false">'[1]Nutrient content per 100 grams'!E63</f>
        <v>0.36</v>
      </c>
      <c r="L243" s="0" t="n">
        <f aca="false">'[1]Nutrient content per 100 grams'!F63</f>
        <v>3.1</v>
      </c>
      <c r="M243" s="0" t="n">
        <f aca="false">'[1]Nutrient content per 100 grams'!G63</f>
        <v>0.1</v>
      </c>
      <c r="N243" s="0" t="n">
        <f aca="false">'[1]Nutrient content per 100 grams'!H63</f>
        <v>0.18</v>
      </c>
      <c r="O243" s="0" t="n">
        <f aca="false">'[1]Nutrient content per 100 grams'!I63</f>
        <v>9</v>
      </c>
      <c r="P243" s="0" t="n">
        <f aca="false">'[1]Nutrient content per 100 grams'!J63</f>
        <v>7</v>
      </c>
      <c r="Q243" s="0" t="n">
        <f aca="false">'[1]Nutrient content per 100 grams'!K63</f>
        <v>0.026</v>
      </c>
      <c r="R243" s="0" t="n">
        <f aca="false">'[1]Nutrient content per 100 grams'!L63</f>
        <v>5.1</v>
      </c>
      <c r="S243" s="0" t="n">
        <f aca="false">'[1]Nutrient content per 100 grams'!M63</f>
        <v>116</v>
      </c>
      <c r="T243" s="0" t="n">
        <f aca="false">'[1]Nutrient content per 100 grams'!N63</f>
        <v>0.12</v>
      </c>
      <c r="U243" s="0" t="n">
        <f aca="false">'[1]Nutrient content per 100 grams'!O63</f>
        <v>4.4</v>
      </c>
      <c r="V243" s="0" t="n">
        <f aca="false">'[1]Nutrient content per 100 grams'!P63</f>
        <v>1</v>
      </c>
      <c r="W243" s="0" t="n">
        <f aca="false">'[1]Nutrient content per 100 grams'!Q63</f>
        <v>7</v>
      </c>
      <c r="X243" s="0" t="n">
        <f aca="false">'[1]Nutrient content per 100 grams'!R63</f>
        <v>12</v>
      </c>
      <c r="Y243" s="0" t="n">
        <f aca="false">'[1]Nutrient content per 100 grams'!S63</f>
        <v>0.082</v>
      </c>
      <c r="Z243" s="0" t="n">
        <f aca="false">'[1]Nutrient content per 100 grams'!T63</f>
        <v>0.048</v>
      </c>
      <c r="AA243" s="0" t="n">
        <f aca="false">'[1]Nutrient content per 100 grams'!U63</f>
        <v>0.1</v>
      </c>
      <c r="AB243" s="0" t="n">
        <f aca="false">'[1]Nutrient content per 100 grams'!V63</f>
        <v>4.3</v>
      </c>
      <c r="AC243" s="0" t="n">
        <f aca="false">'[1]Nutrient content per 100 grams'!W63</f>
        <v>0.012</v>
      </c>
      <c r="AD243" s="0" t="n">
        <f aca="false">'[1]Nutrient content per 100 grams'!X63</f>
        <v>0.161</v>
      </c>
      <c r="AE243" s="0" t="n">
        <f aca="false">'[1]Nutrient content per 100 grams'!Y63</f>
        <v>0.049</v>
      </c>
      <c r="AF243" s="0" t="n">
        <f aca="false">'[1]Nutrient content per 100 grams'!Z63</f>
        <v>0.029</v>
      </c>
      <c r="AG243" s="0" t="n">
        <f aca="false">'[1]Nutrient content per 100 grams'!AA63</f>
        <v>0.094</v>
      </c>
    </row>
    <row r="244" customFormat="false" ht="14.25" hidden="false" customHeight="false" outlineLevel="0" collapsed="false">
      <c r="A244" s="0" t="n">
        <v>523</v>
      </c>
      <c r="B244" s="0" t="s">
        <v>569</v>
      </c>
      <c r="C244" s="0" t="s">
        <v>570</v>
      </c>
      <c r="E244" s="0" t="n">
        <v>80820</v>
      </c>
      <c r="F244" s="0" t="n">
        <v>80840</v>
      </c>
      <c r="G244" s="0" t="n">
        <v>1342.02</v>
      </c>
      <c r="I244" s="0" t="n">
        <f aca="false">VLOOKUP($A244,content_factors_backup!$A$2:$Q$468,I$525,FALSE())</f>
        <v>16</v>
      </c>
      <c r="J244" s="0" t="n">
        <f aca="false">'[1]Nutrient content per 100 grams'!D64</f>
        <v>57</v>
      </c>
      <c r="K244" s="0" t="n">
        <f aca="false">'[1]Nutrient content per 100 grams'!E64</f>
        <v>0.4</v>
      </c>
      <c r="L244" s="0" t="n">
        <f aca="false">'[1]Nutrient content per 100 grams'!F64</f>
        <v>1.9</v>
      </c>
      <c r="M244" s="0" t="n">
        <f aca="false">'[1]Nutrient content per 100 grams'!G64</f>
        <v>0.04</v>
      </c>
      <c r="N244" s="0" t="n">
        <f aca="false">'[1]Nutrient content per 100 grams'!H64</f>
        <v>0.7</v>
      </c>
      <c r="O244" s="0" t="n">
        <f aca="false">'[1]Nutrient content per 100 grams'!I64</f>
        <v>11</v>
      </c>
      <c r="P244" s="0" t="n">
        <f aca="false">'[1]Nutrient content per 100 grams'!J64</f>
        <v>3</v>
      </c>
      <c r="Q244" s="0" t="n">
        <f aca="false">'[1]Nutrient content per 100 grams'!K64</f>
        <v>0.03</v>
      </c>
      <c r="R244" s="0" t="str">
        <f aca="false">'[1]Nutrient content per 100 grams'!L64</f>
        <v>NA</v>
      </c>
      <c r="S244" s="0" t="n">
        <f aca="false">'[1]Nutrient content per 100 grams'!M64</f>
        <v>197</v>
      </c>
      <c r="T244" s="0" t="str">
        <f aca="false">'[1]Nutrient content per 100 grams'!N64</f>
        <v>NA</v>
      </c>
      <c r="U244" s="0" t="str">
        <f aca="false">'[1]Nutrient content per 100 grams'!O64</f>
        <v>NA</v>
      </c>
      <c r="V244" s="0" t="n">
        <f aca="false">'[1]Nutrient content per 100 grams'!P64</f>
        <v>2</v>
      </c>
      <c r="W244" s="0" t="n">
        <f aca="false">'[1]Nutrient content per 100 grams'!Q64</f>
        <v>8</v>
      </c>
      <c r="X244" s="0" t="n">
        <f aca="false">'[1]Nutrient content per 100 grams'!R64</f>
        <v>17</v>
      </c>
      <c r="Y244" s="0" t="n">
        <f aca="false">'[1]Nutrient content per 100 grams'!S64</f>
        <v>0.13</v>
      </c>
      <c r="Z244" s="0" t="str">
        <f aca="false">'[1]Nutrient content per 100 grams'!T64</f>
        <v>NA</v>
      </c>
      <c r="AA244" s="0" t="n">
        <f aca="false">'[1]Nutrient content per 100 grams'!U64</f>
        <v>0.6</v>
      </c>
      <c r="AB244" s="0" t="n">
        <f aca="false">'[1]Nutrient content per 100 grams'!V64</f>
        <v>15</v>
      </c>
      <c r="AC244" s="0" t="n">
        <f aca="false">'[1]Nutrient content per 100 grams'!W64</f>
        <v>0.02</v>
      </c>
      <c r="AD244" s="0" t="n">
        <f aca="false">'[1]Nutrient content per 100 grams'!X64</f>
        <v>0.2</v>
      </c>
      <c r="AE244" s="0" t="n">
        <f aca="false">'[1]Nutrient content per 100 grams'!Y64</f>
        <v>0.081</v>
      </c>
      <c r="AF244" s="0" t="n">
        <f aca="false">'[1]Nutrient content per 100 grams'!Z64</f>
        <v>0.04</v>
      </c>
      <c r="AG244" s="0" t="n">
        <f aca="false">'[1]Nutrient content per 100 grams'!AA64</f>
        <v>0.05</v>
      </c>
    </row>
    <row r="245" customFormat="false" ht="14.25" hidden="false" customHeight="false" outlineLevel="0" collapsed="false">
      <c r="A245" s="0" t="n">
        <v>526</v>
      </c>
      <c r="B245" s="0" t="s">
        <v>571</v>
      </c>
      <c r="C245" s="0" t="s">
        <v>572</v>
      </c>
      <c r="E245" s="0" t="n">
        <v>80910</v>
      </c>
      <c r="F245" s="0" t="n">
        <v>80910</v>
      </c>
      <c r="G245" s="0" t="n">
        <v>1343</v>
      </c>
      <c r="I245" s="0" t="n">
        <f aca="false">VLOOKUP($A245,content_factors_backup!$A$2:$Q$468,I$525,FALSE())</f>
        <v>15</v>
      </c>
      <c r="J245" s="0" t="n">
        <f aca="false">'[1]Nutrient content per 100 grams'!D65</f>
        <v>48</v>
      </c>
      <c r="K245" s="0" t="n">
        <f aca="false">'[1]Nutrient content per 100 grams'!E65</f>
        <v>1.4</v>
      </c>
      <c r="L245" s="0" t="n">
        <f aca="false">'[1]Nutrient content per 100 grams'!F65</f>
        <v>2</v>
      </c>
      <c r="M245" s="0" t="n">
        <f aca="false">'[1]Nutrient content per 100 grams'!G65</f>
        <v>0.2</v>
      </c>
      <c r="N245" s="0" t="n">
        <f aca="false">'[1]Nutrient content per 100 grams'!H65</f>
        <v>0.39</v>
      </c>
      <c r="O245" s="0" t="n">
        <f aca="false">'[1]Nutrient content per 100 grams'!I65</f>
        <v>13</v>
      </c>
      <c r="P245" s="0" t="n">
        <f aca="false">'[1]Nutrient content per 100 grams'!J65</f>
        <v>9</v>
      </c>
      <c r="Q245" s="0" t="n">
        <f aca="false">'[1]Nutrient content per 100 grams'!K65</f>
        <v>0.04</v>
      </c>
      <c r="R245" s="0" t="n">
        <f aca="false">'[1]Nutrient content per 100 grams'!L65</f>
        <v>2.8</v>
      </c>
      <c r="S245" s="0" t="n">
        <f aca="false">'[1]Nutrient content per 100 grams'!M65</f>
        <v>259</v>
      </c>
      <c r="T245" s="0" t="n">
        <f aca="false">'[1]Nutrient content per 100 grams'!N65</f>
        <v>0.89</v>
      </c>
      <c r="U245" s="0" t="n">
        <f aca="false">'[1]Nutrient content per 100 grams'!O65</f>
        <v>3.3</v>
      </c>
      <c r="V245" s="0" t="n">
        <f aca="false">'[1]Nutrient content per 100 grams'!P65</f>
        <v>96</v>
      </c>
      <c r="W245" s="0" t="n">
        <f aca="false">'[1]Nutrient content per 100 grams'!Q65</f>
        <v>10</v>
      </c>
      <c r="X245" s="0" t="n">
        <f aca="false">'[1]Nutrient content per 100 grams'!R65</f>
        <v>23</v>
      </c>
      <c r="Y245" s="0" t="n">
        <f aca="false">'[1]Nutrient content per 100 grams'!S65</f>
        <v>0.078</v>
      </c>
      <c r="Z245" s="0" t="n">
        <f aca="false">'[1]Nutrient content per 100 grams'!T65</f>
        <v>0.077</v>
      </c>
      <c r="AA245" s="0" t="n">
        <f aca="false">'[1]Nutrient content per 100 grams'!U65</f>
        <v>0.1</v>
      </c>
      <c r="AB245" s="0" t="n">
        <f aca="false">'[1]Nutrient content per 100 grams'!V65</f>
        <v>10</v>
      </c>
      <c r="AC245" s="0" t="n">
        <f aca="false">'[1]Nutrient content per 100 grams'!W65</f>
        <v>0.03</v>
      </c>
      <c r="AD245" s="0" t="n">
        <f aca="false">'[1]Nutrient content per 100 grams'!X65</f>
        <v>0.6</v>
      </c>
      <c r="AE245" s="0" t="n">
        <f aca="false">'[1]Nutrient content per 100 grams'!Y65</f>
        <v>0.24</v>
      </c>
      <c r="AF245" s="0" t="n">
        <f aca="false">'[1]Nutrient content per 100 grams'!Z65</f>
        <v>0.054</v>
      </c>
      <c r="AG245" s="0" t="n">
        <f aca="false">'[1]Nutrient content per 100 grams'!AA65</f>
        <v>0.077</v>
      </c>
    </row>
    <row r="246" customFormat="false" ht="14.25" hidden="false" customHeight="false" outlineLevel="0" collapsed="false">
      <c r="A246" s="0" t="n">
        <v>527</v>
      </c>
      <c r="B246" s="0" t="s">
        <v>573</v>
      </c>
      <c r="C246" s="0" t="s">
        <v>574</v>
      </c>
      <c r="E246" s="0" t="n">
        <v>81310</v>
      </c>
      <c r="F246" s="0" t="n">
        <v>81310</v>
      </c>
      <c r="G246" s="0" t="n">
        <v>21419.01</v>
      </c>
      <c r="I246" s="0" t="n">
        <f aca="false">VLOOKUP($A246,content_factors_backup!$A$2:$Q$468,I$525,FALSE())</f>
        <v>85</v>
      </c>
      <c r="J246" s="0" t="n">
        <f aca="false">'[1]Nutrient content per 100 grams'!D66</f>
        <v>241</v>
      </c>
      <c r="K246" s="0" t="n">
        <f aca="false">'[1]Nutrient content per 100 grams'!E66</f>
        <v>3.39</v>
      </c>
      <c r="L246" s="0" t="n">
        <f aca="false">'[1]Nutrient content per 100 grams'!F66</f>
        <v>7.3</v>
      </c>
      <c r="M246" s="0" t="n">
        <f aca="false">'[1]Nutrient content per 100 grams'!G66</f>
        <v>0.39</v>
      </c>
      <c r="N246" s="0" t="n">
        <f aca="false">'[1]Nutrient content per 100 grams'!H66</f>
        <v>2.66</v>
      </c>
      <c r="O246" s="0" t="n">
        <f aca="false">'[1]Nutrient content per 100 grams'!I66</f>
        <v>55</v>
      </c>
      <c r="P246" s="0" t="n">
        <f aca="false">'[1]Nutrient content per 100 grams'!J66</f>
        <v>10</v>
      </c>
      <c r="Q246" s="0" t="n">
        <f aca="false">'[1]Nutrient content per 100 grams'!K66</f>
        <v>0.074</v>
      </c>
      <c r="R246" s="0" t="n">
        <f aca="false">'[1]Nutrient content per 100 grams'!L66</f>
        <v>13.9</v>
      </c>
      <c r="S246" s="0" t="n">
        <f aca="false">'[1]Nutrient content per 100 grams'!M66</f>
        <v>1162</v>
      </c>
      <c r="T246" s="0" t="n">
        <f aca="false">'[1]Nutrient content per 100 grams'!N66</f>
        <v>4.33</v>
      </c>
      <c r="U246" s="0" t="n">
        <f aca="false">'[1]Nutrient content per 100 grams'!O66</f>
        <v>3.1</v>
      </c>
      <c r="V246" s="0" t="n">
        <f aca="false">'[1]Nutrient content per 100 grams'!P66</f>
        <v>180</v>
      </c>
      <c r="W246" s="0" t="n">
        <f aca="false">'[1]Nutrient content per 100 grams'!Q66</f>
        <v>32</v>
      </c>
      <c r="X246" s="0" t="n">
        <f aca="false">'[1]Nutrient content per 100 grams'!R66</f>
        <v>71</v>
      </c>
      <c r="Y246" s="0" t="n">
        <f aca="false">'[1]Nutrient content per 100 grams'!S66</f>
        <v>0.343</v>
      </c>
      <c r="Z246" s="0" t="n">
        <f aca="false">'[1]Nutrient content per 100 grams'!T66</f>
        <v>0.235</v>
      </c>
      <c r="AA246" s="0" t="n">
        <f aca="false">'[1]Nutrient content per 100 grams'!U66</f>
        <v>2.2</v>
      </c>
      <c r="AB246" s="0" t="n">
        <f aca="false">'[1]Nutrient content per 100 grams'!V66</f>
        <v>1</v>
      </c>
      <c r="AC246" s="0" t="n">
        <f aca="false">'[1]Nutrient content per 100 grams'!W66</f>
        <v>0.015</v>
      </c>
      <c r="AD246" s="0" t="n">
        <f aca="false">'[1]Nutrient content per 100 grams'!X66</f>
        <v>2.589</v>
      </c>
      <c r="AE246" s="0" t="n">
        <f aca="false">'[1]Nutrient content per 100 grams'!Y66</f>
        <v>0.516</v>
      </c>
      <c r="AF246" s="0" t="n">
        <f aca="false">'[1]Nutrient content per 100 grams'!Z66</f>
        <v>0.143</v>
      </c>
      <c r="AG246" s="0" t="n">
        <f aca="false">'[1]Nutrient content per 100 grams'!AA66</f>
        <v>0.074</v>
      </c>
    </row>
    <row r="247" customFormat="false" ht="14.25" hidden="false" customHeight="false" outlineLevel="0" collapsed="false">
      <c r="A247" s="0" t="n">
        <v>530</v>
      </c>
      <c r="B247" s="0" t="s">
        <v>575</v>
      </c>
      <c r="C247" s="0" t="s">
        <v>576</v>
      </c>
      <c r="E247" s="0" t="n">
        <v>80920</v>
      </c>
      <c r="F247" s="0" t="n">
        <v>80921</v>
      </c>
      <c r="G247" s="0" t="n">
        <v>1344.01</v>
      </c>
      <c r="I247" s="0" t="n">
        <f aca="false">VLOOKUP($A247,content_factors_backup!$A$2:$Q$468,I$525,FALSE())</f>
        <v>10</v>
      </c>
      <c r="J247" s="0" t="n">
        <f aca="false">'[1]Nutrient content per 100 grams'!D67</f>
        <v>50</v>
      </c>
      <c r="K247" s="0" t="n">
        <f aca="false">'[1]Nutrient content per 100 grams'!E67</f>
        <v>1</v>
      </c>
      <c r="L247" s="0" t="n">
        <f aca="false">'[1]Nutrient content per 100 grams'!F67</f>
        <v>1.6</v>
      </c>
      <c r="M247" s="0" t="n">
        <f aca="false">'[1]Nutrient content per 100 grams'!G67</f>
        <v>0.1</v>
      </c>
      <c r="N247" s="0" t="n">
        <f aca="false">'[1]Nutrient content per 100 grams'!H67</f>
        <v>0.32</v>
      </c>
      <c r="O247" s="0" t="n">
        <f aca="false">'[1]Nutrient content per 100 grams'!I67</f>
        <v>16</v>
      </c>
      <c r="P247" s="0" t="n">
        <f aca="false">'[1]Nutrient content per 100 grams'!J67</f>
        <v>8</v>
      </c>
      <c r="Q247" s="0" t="n">
        <f aca="false">'[1]Nutrient content per 100 grams'!K67</f>
        <v>0.04</v>
      </c>
      <c r="R247" s="0" t="n">
        <f aca="false">'[1]Nutrient content per 100 grams'!L67</f>
        <v>6.1</v>
      </c>
      <c r="S247" s="0" t="n">
        <f aca="false">'[1]Nutrient content per 100 grams'!M67</f>
        <v>173</v>
      </c>
      <c r="T247" s="0" t="n">
        <f aca="false">'[1]Nutrient content per 100 grams'!N67</f>
        <v>0.07</v>
      </c>
      <c r="U247" s="0" t="n">
        <f aca="false">'[1]Nutrient content per 100 grams'!O67</f>
        <v>2.1</v>
      </c>
      <c r="V247" s="0" t="n">
        <f aca="false">'[1]Nutrient content per 100 grams'!P67</f>
        <v>64</v>
      </c>
      <c r="W247" s="0" t="n">
        <f aca="false">'[1]Nutrient content per 100 grams'!Q67</f>
        <v>9</v>
      </c>
      <c r="X247" s="0" t="n">
        <f aca="false">'[1]Nutrient content per 100 grams'!R67</f>
        <v>15</v>
      </c>
      <c r="Y247" s="0" t="n">
        <f aca="false">'[1]Nutrient content per 100 grams'!S67</f>
        <v>0.104</v>
      </c>
      <c r="Z247" s="0" t="n">
        <f aca="false">'[1]Nutrient content per 100 grams'!T67</f>
        <v>0.112</v>
      </c>
      <c r="AA247" s="0" t="n">
        <f aca="false">'[1]Nutrient content per 100 grams'!U67</f>
        <v>0</v>
      </c>
      <c r="AB247" s="0" t="n">
        <f aca="false">'[1]Nutrient content per 100 grams'!V67</f>
        <v>10</v>
      </c>
      <c r="AC247" s="0" t="n">
        <f aca="false">'[1]Nutrient content per 100 grams'!W67</f>
        <v>0.03</v>
      </c>
      <c r="AD247" s="0" t="n">
        <f aca="false">'[1]Nutrient content per 100 grams'!X67</f>
        <v>0.4</v>
      </c>
      <c r="AE247" s="0" t="n">
        <f aca="false">'[1]Nutrient content per 100 grams'!Y67</f>
        <v>0.143</v>
      </c>
      <c r="AF247" s="0" t="n">
        <f aca="false">'[1]Nutrient content per 100 grams'!Z67</f>
        <v>0.044</v>
      </c>
      <c r="AG247" s="0" t="n">
        <f aca="false">'[1]Nutrient content per 100 grams'!AA67</f>
        <v>0.09</v>
      </c>
    </row>
    <row r="248" customFormat="false" ht="14.25" hidden="false" customHeight="false" outlineLevel="0" collapsed="false">
      <c r="A248" s="0" t="n">
        <v>531</v>
      </c>
      <c r="B248" s="0" t="s">
        <v>577</v>
      </c>
      <c r="C248" s="0" t="s">
        <v>578</v>
      </c>
      <c r="E248" s="0" t="n">
        <v>80920</v>
      </c>
      <c r="F248" s="0" t="n">
        <v>80929</v>
      </c>
      <c r="G248" s="0" t="n">
        <v>1344.02</v>
      </c>
      <c r="I248" s="0" t="n">
        <f aca="false">VLOOKUP($A248,content_factors_backup!$A$2:$Q$468,I$525,FALSE())</f>
        <v>20</v>
      </c>
      <c r="J248" s="0" t="n">
        <f aca="false">'[1]Nutrient content per 100 grams'!D68</f>
        <v>63</v>
      </c>
      <c r="K248" s="0" t="n">
        <f aca="false">'[1]Nutrient content per 100 grams'!E68</f>
        <v>1.06</v>
      </c>
      <c r="L248" s="0" t="n">
        <f aca="false">'[1]Nutrient content per 100 grams'!F68</f>
        <v>2.1</v>
      </c>
      <c r="M248" s="0" t="n">
        <f aca="false">'[1]Nutrient content per 100 grams'!G68</f>
        <v>0.07</v>
      </c>
      <c r="N248" s="0" t="n">
        <f aca="false">'[1]Nutrient content per 100 grams'!H68</f>
        <v>0.36</v>
      </c>
      <c r="O248" s="0" t="n">
        <f aca="false">'[1]Nutrient content per 100 grams'!I68</f>
        <v>13</v>
      </c>
      <c r="P248" s="0" t="n">
        <f aca="false">'[1]Nutrient content per 100 grams'!J68</f>
        <v>4</v>
      </c>
      <c r="Q248" s="0" t="n">
        <f aca="false">'[1]Nutrient content per 100 grams'!K68</f>
        <v>0.033</v>
      </c>
      <c r="R248" s="0" t="n">
        <f aca="false">'[1]Nutrient content per 100 grams'!L68</f>
        <v>6.1</v>
      </c>
      <c r="S248" s="0" t="n">
        <f aca="false">'[1]Nutrient content per 100 grams'!M68</f>
        <v>222</v>
      </c>
      <c r="T248" s="0" t="n">
        <f aca="false">'[1]Nutrient content per 100 grams'!N68</f>
        <v>0.07</v>
      </c>
      <c r="U248" s="0" t="n">
        <f aca="false">'[1]Nutrient content per 100 grams'!O68</f>
        <v>2.1</v>
      </c>
      <c r="V248" s="0" t="n">
        <f aca="false">'[1]Nutrient content per 100 grams'!P68</f>
        <v>3</v>
      </c>
      <c r="W248" s="0" t="n">
        <f aca="false">'[1]Nutrient content per 100 grams'!Q68</f>
        <v>11</v>
      </c>
      <c r="X248" s="0" t="n">
        <f aca="false">'[1]Nutrient content per 100 grams'!R68</f>
        <v>21</v>
      </c>
      <c r="Y248" s="0" t="n">
        <f aca="false">'[1]Nutrient content per 100 grams'!S68</f>
        <v>0.06</v>
      </c>
      <c r="Z248" s="0" t="n">
        <f aca="false">'[1]Nutrient content per 100 grams'!T68</f>
        <v>0.07</v>
      </c>
      <c r="AA248" s="0" t="n">
        <f aca="false">'[1]Nutrient content per 100 grams'!U68</f>
        <v>0</v>
      </c>
      <c r="AB248" s="0" t="n">
        <f aca="false">'[1]Nutrient content per 100 grams'!V68</f>
        <v>7</v>
      </c>
      <c r="AC248" s="0" t="n">
        <f aca="false">'[1]Nutrient content per 100 grams'!W68</f>
        <v>0.027</v>
      </c>
      <c r="AD248" s="0" t="n">
        <f aca="false">'[1]Nutrient content per 100 grams'!X68</f>
        <v>0.154</v>
      </c>
      <c r="AE248" s="0" t="n">
        <f aca="false">'[1]Nutrient content per 100 grams'!Y68</f>
        <v>0.199</v>
      </c>
      <c r="AF248" s="0" t="n">
        <f aca="false">'[1]Nutrient content per 100 grams'!Z68</f>
        <v>0.049</v>
      </c>
      <c r="AG248" s="0" t="n">
        <f aca="false">'[1]Nutrient content per 100 grams'!AA68</f>
        <v>0.052</v>
      </c>
    </row>
    <row r="249" customFormat="false" ht="14.25" hidden="false" customHeight="false" outlineLevel="0" collapsed="false">
      <c r="A249" s="0" t="n">
        <v>534</v>
      </c>
      <c r="B249" s="0" t="s">
        <v>579</v>
      </c>
      <c r="C249" s="0" t="s">
        <v>580</v>
      </c>
      <c r="E249" s="0" t="n">
        <v>80930</v>
      </c>
      <c r="F249" s="0" t="n">
        <v>80930</v>
      </c>
      <c r="G249" s="0" t="n">
        <v>1345</v>
      </c>
      <c r="I249" s="0" t="n">
        <f aca="false">VLOOKUP($A249,content_factors_backup!$A$2:$Q$468,I$525,FALSE())</f>
        <v>11</v>
      </c>
      <c r="J249" s="0" t="n">
        <f aca="false">'[1]Nutrient content per 100 grams'!D69</f>
        <v>41.5</v>
      </c>
      <c r="K249" s="0" t="n">
        <f aca="false">'[1]Nutrient content per 100 grams'!E69</f>
        <v>0.985</v>
      </c>
      <c r="L249" s="0" t="n">
        <f aca="false">'[1]Nutrient content per 100 grams'!F69</f>
        <v>1.6</v>
      </c>
      <c r="M249" s="0" t="n">
        <f aca="false">'[1]Nutrient content per 100 grams'!G69</f>
        <v>0.17</v>
      </c>
      <c r="N249" s="0" t="n">
        <f aca="false">'[1]Nutrient content per 100 grams'!H69</f>
        <v>0.265</v>
      </c>
      <c r="O249" s="0" t="n">
        <f aca="false">'[1]Nutrient content per 100 grams'!I69</f>
        <v>6</v>
      </c>
      <c r="P249" s="0" t="n">
        <f aca="false">'[1]Nutrient content per 100 grams'!J69</f>
        <v>4.5</v>
      </c>
      <c r="Q249" s="0" t="n">
        <f aca="false">'[1]Nutrient content per 100 grams'!K69</f>
        <v>0.029</v>
      </c>
      <c r="R249" s="0" t="n">
        <f aca="false">'[1]Nutrient content per 100 grams'!L69</f>
        <v>6.15</v>
      </c>
      <c r="S249" s="0" t="n">
        <f aca="false">'[1]Nutrient content per 100 grams'!M69</f>
        <v>195.5</v>
      </c>
      <c r="T249" s="0" t="n">
        <f aca="false">'[1]Nutrient content per 100 grams'!N69</f>
        <v>0.75</v>
      </c>
      <c r="U249" s="0" t="n">
        <f aca="false">'[1]Nutrient content per 100 grams'!O69</f>
        <v>2.4</v>
      </c>
      <c r="V249" s="0" t="n">
        <f aca="false">'[1]Nutrient content per 100 grams'!P69</f>
        <v>16.5</v>
      </c>
      <c r="W249" s="0" t="n">
        <f aca="false">'[1]Nutrient content per 100 grams'!Q69</f>
        <v>9</v>
      </c>
      <c r="X249" s="0" t="n">
        <f aca="false">'[1]Nutrient content per 100 grams'!R69</f>
        <v>23</v>
      </c>
      <c r="Y249" s="0" t="n">
        <f aca="false">'[1]Nutrient content per 100 grams'!S69</f>
        <v>0.077</v>
      </c>
      <c r="Z249" s="0" t="n">
        <f aca="false">'[1]Nutrient content per 100 grams'!T69</f>
        <v>0.0575</v>
      </c>
      <c r="AA249" s="0" t="n">
        <f aca="false">'[1]Nutrient content per 100 grams'!U69</f>
        <v>0.05</v>
      </c>
      <c r="AB249" s="0" t="n">
        <f aca="false">'[1]Nutrient content per 100 grams'!V69</f>
        <v>6</v>
      </c>
      <c r="AC249" s="0" t="n">
        <f aca="false">'[1]Nutrient content per 100 grams'!W69</f>
        <v>0.029</v>
      </c>
      <c r="AD249" s="0" t="n">
        <f aca="false">'[1]Nutrient content per 100 grams'!X69</f>
        <v>0.9655</v>
      </c>
      <c r="AE249" s="0" t="n">
        <f aca="false">'[1]Nutrient content per 100 grams'!Y69</f>
        <v>0.169</v>
      </c>
      <c r="AF249" s="0" t="n">
        <f aca="false">'[1]Nutrient content per 100 grams'!Z69</f>
        <v>0.025</v>
      </c>
      <c r="AG249" s="0" t="n">
        <f aca="false">'[1]Nutrient content per 100 grams'!AA69</f>
        <v>0.0995</v>
      </c>
    </row>
    <row r="250" customFormat="false" ht="14.25" hidden="false" customHeight="false" outlineLevel="0" collapsed="false">
      <c r="A250" s="0" t="n">
        <v>536</v>
      </c>
      <c r="B250" s="0" t="s">
        <v>581</v>
      </c>
      <c r="C250" s="0" t="s">
        <v>582</v>
      </c>
      <c r="E250" s="0" t="n">
        <v>80940</v>
      </c>
      <c r="F250" s="0" t="n">
        <v>80940</v>
      </c>
      <c r="G250" s="0" t="n">
        <v>1346</v>
      </c>
      <c r="I250" s="0" t="n">
        <f aca="false">VLOOKUP($A250,content_factors_backup!$A$2:$Q$468,I$525,FALSE())</f>
        <v>19</v>
      </c>
      <c r="J250" s="0" t="n">
        <f aca="false">'[1]Nutrient content per 100 grams'!D70</f>
        <v>46</v>
      </c>
      <c r="K250" s="0" t="n">
        <f aca="false">'[1]Nutrient content per 100 grams'!E70</f>
        <v>0.7</v>
      </c>
      <c r="L250" s="0" t="n">
        <f aca="false">'[1]Nutrient content per 100 grams'!F70</f>
        <v>1.4</v>
      </c>
      <c r="M250" s="0" t="n">
        <f aca="false">'[1]Nutrient content per 100 grams'!G70</f>
        <v>0.1</v>
      </c>
      <c r="N250" s="0" t="n">
        <f aca="false">'[1]Nutrient content per 100 grams'!H70</f>
        <v>0.17</v>
      </c>
      <c r="O250" s="0" t="n">
        <f aca="false">'[1]Nutrient content per 100 grams'!I70</f>
        <v>6</v>
      </c>
      <c r="P250" s="0" t="n">
        <f aca="false">'[1]Nutrient content per 100 grams'!J70</f>
        <v>5</v>
      </c>
      <c r="Q250" s="0" t="n">
        <f aca="false">'[1]Nutrient content per 100 grams'!K70</f>
        <v>0.026</v>
      </c>
      <c r="R250" s="0" t="n">
        <f aca="false">'[1]Nutrient content per 100 grams'!L70</f>
        <v>1.9</v>
      </c>
      <c r="S250" s="0" t="n">
        <f aca="false">'[1]Nutrient content per 100 grams'!M70</f>
        <v>157</v>
      </c>
      <c r="T250" s="0" t="n">
        <f aca="false">'[1]Nutrient content per 100 grams'!N70</f>
        <v>0.26</v>
      </c>
      <c r="U250" s="0" t="n">
        <f aca="false">'[1]Nutrient content per 100 grams'!O70</f>
        <v>6.4</v>
      </c>
      <c r="V250" s="0" t="n">
        <f aca="false">'[1]Nutrient content per 100 grams'!P70</f>
        <v>17</v>
      </c>
      <c r="W250" s="0" t="n">
        <f aca="false">'[1]Nutrient content per 100 grams'!Q70</f>
        <v>7</v>
      </c>
      <c r="X250" s="0" t="n">
        <f aca="false">'[1]Nutrient content per 100 grams'!R70</f>
        <v>16</v>
      </c>
      <c r="Y250" s="0" t="n">
        <f aca="false">'[1]Nutrient content per 100 grams'!S70</f>
        <v>0.057</v>
      </c>
      <c r="Z250" s="0" t="n">
        <f aca="false">'[1]Nutrient content per 100 grams'!T70</f>
        <v>0.052</v>
      </c>
      <c r="AA250" s="0" t="n">
        <f aca="false">'[1]Nutrient content per 100 grams'!U70</f>
        <v>0</v>
      </c>
      <c r="AB250" s="0" t="n">
        <f aca="false">'[1]Nutrient content per 100 grams'!V70</f>
        <v>9.5</v>
      </c>
      <c r="AC250" s="0" t="n">
        <f aca="false">'[1]Nutrient content per 100 grams'!W70</f>
        <v>0.028</v>
      </c>
      <c r="AD250" s="0" t="n">
        <f aca="false">'[1]Nutrient content per 100 grams'!X70</f>
        <v>0.417</v>
      </c>
      <c r="AE250" s="0" t="n">
        <f aca="false">'[1]Nutrient content per 100 grams'!Y70</f>
        <v>0.135</v>
      </c>
      <c r="AF250" s="0" t="n">
        <f aca="false">'[1]Nutrient content per 100 grams'!Z70</f>
        <v>0.029</v>
      </c>
      <c r="AG250" s="0" t="n">
        <f aca="false">'[1]Nutrient content per 100 grams'!AA70</f>
        <v>0.044</v>
      </c>
    </row>
    <row r="251" customFormat="false" ht="14.25" hidden="false" customHeight="false" outlineLevel="0" collapsed="false">
      <c r="A251" s="0" t="n">
        <v>537</v>
      </c>
      <c r="B251" s="0" t="s">
        <v>583</v>
      </c>
      <c r="C251" s="0" t="s">
        <v>584</v>
      </c>
      <c r="E251" s="0" t="n">
        <v>81320</v>
      </c>
      <c r="F251" s="0" t="n">
        <v>81320</v>
      </c>
      <c r="G251" s="0" t="n">
        <v>21412</v>
      </c>
      <c r="I251" s="0" t="n">
        <f aca="false">VLOOKUP($A251,content_factors_backup!$A$2:$Q$468,I$525,FALSE())</f>
        <v>85</v>
      </c>
      <c r="J251" s="0" t="n">
        <f aca="false">'[1]Nutrient content per 100 grams'!D71</f>
        <v>240</v>
      </c>
      <c r="K251" s="0" t="n">
        <f aca="false">'[1]Nutrient content per 100 grams'!E71</f>
        <v>2.18</v>
      </c>
      <c r="L251" s="0" t="n">
        <f aca="false">'[1]Nutrient content per 100 grams'!F71</f>
        <v>7.1</v>
      </c>
      <c r="M251" s="0" t="n">
        <f aca="false">'[1]Nutrient content per 100 grams'!G71</f>
        <v>0.44</v>
      </c>
      <c r="N251" s="0" t="n">
        <f aca="false">'[1]Nutrient content per 100 grams'!H71</f>
        <v>0.93</v>
      </c>
      <c r="O251" s="0" t="n">
        <f aca="false">'[1]Nutrient content per 100 grams'!I71</f>
        <v>43</v>
      </c>
      <c r="P251" s="0" t="n">
        <f aca="false">'[1]Nutrient content per 100 grams'!J71</f>
        <v>4</v>
      </c>
      <c r="Q251" s="0" t="n">
        <f aca="false">'[1]Nutrient content per 100 grams'!K71</f>
        <v>0.186</v>
      </c>
      <c r="R251" s="0" t="n">
        <f aca="false">'[1]Nutrient content per 100 grams'!L71</f>
        <v>10.1</v>
      </c>
      <c r="S251" s="0" t="n">
        <f aca="false">'[1]Nutrient content per 100 grams'!M71</f>
        <v>732</v>
      </c>
      <c r="T251" s="0" t="n">
        <f aca="false">'[1]Nutrient content per 100 grams'!N71</f>
        <v>0.43</v>
      </c>
      <c r="U251" s="0" t="n">
        <f aca="false">'[1]Nutrient content per 100 grams'!O71</f>
        <v>59.5</v>
      </c>
      <c r="V251" s="0" t="n">
        <f aca="false">'[1]Nutrient content per 100 grams'!P71</f>
        <v>39</v>
      </c>
      <c r="W251" s="0" t="n">
        <f aca="false">'[1]Nutrient content per 100 grams'!Q71</f>
        <v>41</v>
      </c>
      <c r="X251" s="0" t="n">
        <f aca="false">'[1]Nutrient content per 100 grams'!R71</f>
        <v>69</v>
      </c>
      <c r="Y251" s="0" t="n">
        <f aca="false">'[1]Nutrient content per 100 grams'!S71</f>
        <v>0.281</v>
      </c>
      <c r="Z251" s="0" t="n">
        <f aca="false">'[1]Nutrient content per 100 grams'!T71</f>
        <v>0.299</v>
      </c>
      <c r="AA251" s="0" t="n">
        <f aca="false">'[1]Nutrient content per 100 grams'!U71</f>
        <v>0.3</v>
      </c>
      <c r="AB251" s="0" t="n">
        <f aca="false">'[1]Nutrient content per 100 grams'!V71</f>
        <v>0.6</v>
      </c>
      <c r="AC251" s="0" t="n">
        <f aca="false">'[1]Nutrient content per 100 grams'!W71</f>
        <v>0.051</v>
      </c>
      <c r="AD251" s="0" t="n">
        <f aca="false">'[1]Nutrient content per 100 grams'!X71</f>
        <v>1.882</v>
      </c>
      <c r="AE251" s="0" t="n">
        <f aca="false">'[1]Nutrient content per 100 grams'!Y71</f>
        <v>0.422</v>
      </c>
      <c r="AF251" s="0" t="n">
        <f aca="false">'[1]Nutrient content per 100 grams'!Z71</f>
        <v>0.205</v>
      </c>
      <c r="AG251" s="0" t="n">
        <f aca="false">'[1]Nutrient content per 100 grams'!AA71</f>
        <v>0.062</v>
      </c>
    </row>
    <row r="252" customFormat="false" ht="14.25" hidden="false" customHeight="false" outlineLevel="0" collapsed="false">
      <c r="A252" s="0" t="n">
        <v>538</v>
      </c>
      <c r="B252" s="0" t="s">
        <v>585</v>
      </c>
      <c r="C252" s="0" t="s">
        <v>550</v>
      </c>
      <c r="E252" s="0" t="n">
        <v>200980</v>
      </c>
      <c r="F252" s="0" t="n">
        <v>200989</v>
      </c>
      <c r="G252" s="0" t="n">
        <v>21439.06</v>
      </c>
      <c r="I252" s="0" t="e">
        <f aca="false">VLOOKUP($A252,content_factors_backup!$A$2:$Q$468,I$525,FALSE())</f>
        <v>#N/A</v>
      </c>
      <c r="J252" s="0" t="n">
        <f aca="false">'[1]Nutrient content per 100 grams'!D72</f>
        <v>71</v>
      </c>
      <c r="K252" s="0" t="n">
        <f aca="false">'[1]Nutrient content per 100 grams'!E72</f>
        <v>0.61</v>
      </c>
      <c r="L252" s="0" t="n">
        <f aca="false">'[1]Nutrient content per 100 grams'!F72</f>
        <v>1</v>
      </c>
      <c r="M252" s="0" t="n">
        <f aca="false">'[1]Nutrient content per 100 grams'!G72</f>
        <v>0.21</v>
      </c>
      <c r="N252" s="0" t="n">
        <f aca="false">'[1]Nutrient content per 100 grams'!H72</f>
        <v>1.18</v>
      </c>
      <c r="O252" s="0" t="n">
        <f aca="false">'[1]Nutrient content per 100 grams'!I72</f>
        <v>12</v>
      </c>
      <c r="P252" s="0" t="n">
        <f aca="false">'[1]Nutrient content per 100 grams'!J72</f>
        <v>0</v>
      </c>
      <c r="Q252" s="0" t="n">
        <f aca="false">'[1]Nutrient content per 100 grams'!K72</f>
        <v>0.07</v>
      </c>
      <c r="R252" s="0" t="n">
        <f aca="false">'[1]Nutrient content per 100 grams'!L72</f>
        <v>2.7</v>
      </c>
      <c r="S252" s="0" t="n">
        <f aca="false">'[1]Nutrient content per 100 grams'!M72</f>
        <v>276</v>
      </c>
      <c r="T252" s="0" t="n">
        <f aca="false">'[1]Nutrient content per 100 grams'!N72</f>
        <v>0.12</v>
      </c>
      <c r="U252" s="0" t="n">
        <f aca="false">'[1]Nutrient content per 100 grams'!O72</f>
        <v>3.4</v>
      </c>
      <c r="V252" s="0" t="n">
        <f aca="false">'[1]Nutrient content per 100 grams'!P72</f>
        <v>0</v>
      </c>
      <c r="W252" s="0" t="n">
        <f aca="false">'[1]Nutrient content per 100 grams'!Q72</f>
        <v>14</v>
      </c>
      <c r="X252" s="0" t="n">
        <f aca="false">'[1]Nutrient content per 100 grams'!R72</f>
        <v>25</v>
      </c>
      <c r="Y252" s="0" t="n">
        <f aca="false">'[1]Nutrient content per 100 grams'!S72</f>
        <v>0.068</v>
      </c>
      <c r="Z252" s="0" t="n">
        <f aca="false">'[1]Nutrient content per 100 grams'!T72</f>
        <v>0.151</v>
      </c>
      <c r="AA252" s="0" t="n">
        <f aca="false">'[1]Nutrient content per 100 grams'!U72</f>
        <v>0.6</v>
      </c>
      <c r="AB252" s="0" t="n">
        <f aca="false">'[1]Nutrient content per 100 grams'!V72</f>
        <v>4.1</v>
      </c>
      <c r="AC252" s="0" t="n">
        <f aca="false">'[1]Nutrient content per 100 grams'!W72</f>
        <v>0.016</v>
      </c>
      <c r="AD252" s="0" t="n">
        <f aca="false">'[1]Nutrient content per 100 grams'!X72</f>
        <v>0.785</v>
      </c>
      <c r="AE252" s="0" t="n">
        <f aca="false">'[1]Nutrient content per 100 grams'!Y72</f>
        <v>0.107</v>
      </c>
      <c r="AF252" s="0" t="n">
        <f aca="false">'[1]Nutrient content per 100 grams'!Z72</f>
        <v>0.218</v>
      </c>
      <c r="AG252" s="0" t="n">
        <f aca="false">'[1]Nutrient content per 100 grams'!AA72</f>
        <v>0.007</v>
      </c>
    </row>
    <row r="253" customFormat="false" ht="14.25" hidden="false" customHeight="false" outlineLevel="0" collapsed="false">
      <c r="A253" s="0" t="n">
        <v>539</v>
      </c>
      <c r="B253" s="0" t="s">
        <v>586</v>
      </c>
      <c r="C253" s="0" t="s">
        <v>552</v>
      </c>
      <c r="E253" s="0" t="n">
        <v>200980</v>
      </c>
      <c r="F253" s="0" t="n">
        <v>200989</v>
      </c>
      <c r="G253" s="0" t="n">
        <v>21439.07</v>
      </c>
      <c r="I253" s="0" t="n">
        <f aca="false">VLOOKUP($A253,content_factors_backup!$A$2:$Q$468,I$525,FALSE())</f>
        <v>10</v>
      </c>
      <c r="J253" s="0" t="n">
        <f aca="false">'[1]Nutrient content per 100 grams'!D73</f>
        <v>71</v>
      </c>
      <c r="K253" s="0" t="n">
        <f aca="false">'[1]Nutrient content per 100 grams'!E73</f>
        <v>0.61</v>
      </c>
      <c r="L253" s="0" t="n">
        <f aca="false">'[1]Nutrient content per 100 grams'!F73</f>
        <v>1</v>
      </c>
      <c r="M253" s="0" t="n">
        <f aca="false">'[1]Nutrient content per 100 grams'!G73</f>
        <v>0.21</v>
      </c>
      <c r="N253" s="0" t="n">
        <f aca="false">'[1]Nutrient content per 100 grams'!H73</f>
        <v>1.18</v>
      </c>
      <c r="O253" s="0" t="n">
        <f aca="false">'[1]Nutrient content per 100 grams'!I73</f>
        <v>12</v>
      </c>
      <c r="P253" s="0" t="n">
        <f aca="false">'[1]Nutrient content per 100 grams'!J73</f>
        <v>0</v>
      </c>
      <c r="Q253" s="0" t="n">
        <f aca="false">'[1]Nutrient content per 100 grams'!K73</f>
        <v>0.07</v>
      </c>
      <c r="R253" s="0" t="n">
        <f aca="false">'[1]Nutrient content per 100 grams'!L73</f>
        <v>2.7</v>
      </c>
      <c r="S253" s="0" t="n">
        <f aca="false">'[1]Nutrient content per 100 grams'!M73</f>
        <v>276</v>
      </c>
      <c r="T253" s="0" t="n">
        <f aca="false">'[1]Nutrient content per 100 grams'!N73</f>
        <v>0.12</v>
      </c>
      <c r="U253" s="0" t="n">
        <f aca="false">'[1]Nutrient content per 100 grams'!O73</f>
        <v>3.4</v>
      </c>
      <c r="V253" s="0" t="n">
        <f aca="false">'[1]Nutrient content per 100 grams'!P73</f>
        <v>0</v>
      </c>
      <c r="W253" s="0" t="n">
        <f aca="false">'[1]Nutrient content per 100 grams'!Q73</f>
        <v>14</v>
      </c>
      <c r="X253" s="0" t="n">
        <f aca="false">'[1]Nutrient content per 100 grams'!R73</f>
        <v>25</v>
      </c>
      <c r="Y253" s="0" t="n">
        <f aca="false">'[1]Nutrient content per 100 grams'!S73</f>
        <v>0.068</v>
      </c>
      <c r="Z253" s="0" t="n">
        <f aca="false">'[1]Nutrient content per 100 grams'!T73</f>
        <v>0.151</v>
      </c>
      <c r="AA253" s="0" t="n">
        <f aca="false">'[1]Nutrient content per 100 grams'!U73</f>
        <v>0.6</v>
      </c>
      <c r="AB253" s="0" t="n">
        <f aca="false">'[1]Nutrient content per 100 grams'!V73</f>
        <v>4.1</v>
      </c>
      <c r="AC253" s="0" t="n">
        <f aca="false">'[1]Nutrient content per 100 grams'!W73</f>
        <v>0.016</v>
      </c>
      <c r="AD253" s="0" t="n">
        <f aca="false">'[1]Nutrient content per 100 grams'!X73</f>
        <v>0.785</v>
      </c>
      <c r="AE253" s="0" t="n">
        <f aca="false">'[1]Nutrient content per 100 grams'!Y73</f>
        <v>0.107</v>
      </c>
      <c r="AF253" s="0" t="n">
        <f aca="false">'[1]Nutrient content per 100 grams'!Z73</f>
        <v>0.218</v>
      </c>
      <c r="AG253" s="0" t="n">
        <f aca="false">'[1]Nutrient content per 100 grams'!AA73</f>
        <v>0.007</v>
      </c>
    </row>
    <row r="254" customFormat="false" ht="14.25" hidden="false" customHeight="false" outlineLevel="0" collapsed="false">
      <c r="A254" s="0" t="n">
        <v>541</v>
      </c>
      <c r="B254" s="0" t="s">
        <v>587</v>
      </c>
      <c r="C254" s="0" t="s">
        <v>588</v>
      </c>
      <c r="E254" s="0" t="n">
        <v>81090</v>
      </c>
      <c r="F254" s="0" t="n">
        <v>81090</v>
      </c>
      <c r="G254" s="0" t="n">
        <v>1349.2</v>
      </c>
      <c r="I254" s="0" t="n">
        <f aca="false">VLOOKUP($A254,content_factors_backup!$A$2:$Q$468,I$525,FALSE())</f>
        <v>50</v>
      </c>
      <c r="J254" s="0" t="n">
        <f aca="false">'[1]Nutrient content per 100 grams'!D74</f>
        <v>48.3333333333333</v>
      </c>
      <c r="K254" s="0" t="n">
        <f aca="false">'[1]Nutrient content per 100 grams'!E74</f>
        <v>1.02166666666667</v>
      </c>
      <c r="L254" s="0" t="n">
        <f aca="false">'[1]Nutrient content per 100 grams'!F74</f>
        <v>1.71666666666667</v>
      </c>
      <c r="M254" s="0" t="n">
        <f aca="false">'[1]Nutrient content per 100 grams'!G74</f>
        <v>0.135</v>
      </c>
      <c r="N254" s="0" t="n">
        <f aca="false">'[1]Nutrient content per 100 grams'!H74</f>
        <v>0.295</v>
      </c>
      <c r="O254" s="0" t="n">
        <f aca="false">'[1]Nutrient content per 100 grams'!I74</f>
        <v>10</v>
      </c>
      <c r="P254" s="0" t="n">
        <f aca="false">'[1]Nutrient content per 100 grams'!J74</f>
        <v>5.83333333333333</v>
      </c>
      <c r="Q254" s="0" t="n">
        <f aca="false">'[1]Nutrient content per 100 grams'!K74</f>
        <v>0.0328333333333333</v>
      </c>
      <c r="R254" s="0" t="n">
        <f aca="false">'[1]Nutrient content per 100 grams'!L74</f>
        <v>4.86666666666667</v>
      </c>
      <c r="S254" s="0" t="n">
        <f aca="false">'[1]Nutrient content per 100 grams'!M74</f>
        <v>200.333333333333</v>
      </c>
      <c r="T254" s="0" t="n">
        <f aca="false">'[1]Nutrient content per 100 grams'!N74</f>
        <v>0.465</v>
      </c>
      <c r="U254" s="0" t="n">
        <f aca="false">'[1]Nutrient content per 100 grams'!O74</f>
        <v>3.11666666666667</v>
      </c>
      <c r="V254" s="0" t="n">
        <f aca="false">'[1]Nutrient content per 100 grams'!P74</f>
        <v>35.5</v>
      </c>
      <c r="W254" s="0" t="n">
        <f aca="false">'[1]Nutrient content per 100 grams'!Q74</f>
        <v>9.16666666666667</v>
      </c>
      <c r="X254" s="0" t="n">
        <f aca="false">'[1]Nutrient content per 100 grams'!R74</f>
        <v>20.1666666666667</v>
      </c>
      <c r="Y254" s="0" t="n">
        <f aca="false">'[1]Nutrient content per 100 grams'!S74</f>
        <v>0.0755</v>
      </c>
      <c r="Z254" s="0" t="n">
        <f aca="false">'[1]Nutrient content per 100 grams'!T74</f>
        <v>0.071</v>
      </c>
      <c r="AA254" s="0" t="n">
        <f aca="false">'[1]Nutrient content per 100 grams'!U74</f>
        <v>0.0333333333333333</v>
      </c>
      <c r="AB254" s="0" t="n">
        <f aca="false">'[1]Nutrient content per 100 grams'!V74</f>
        <v>8.08333333333333</v>
      </c>
      <c r="AC254" s="0" t="n">
        <f aca="false">'[1]Nutrient content per 100 grams'!W74</f>
        <v>0.0288333333333333</v>
      </c>
      <c r="AD254" s="0" t="n">
        <f aca="false">'[1]Nutrient content per 100 grams'!X74</f>
        <v>0.583666666666667</v>
      </c>
      <c r="AE254" s="0" t="n">
        <f aca="false">'[1]Nutrient content per 100 grams'!Y74</f>
        <v>0.175833333333333</v>
      </c>
      <c r="AF254" s="0" t="n">
        <f aca="false">'[1]Nutrient content per 100 grams'!Z74</f>
        <v>0.0376666666666667</v>
      </c>
      <c r="AG254" s="0" t="n">
        <f aca="false">'[1]Nutrient content per 100 grams'!AA74</f>
        <v>0.077</v>
      </c>
    </row>
    <row r="255" customFormat="false" ht="14.25" hidden="false" customHeight="false" outlineLevel="0" collapsed="false">
      <c r="A255" s="0" t="n">
        <v>542</v>
      </c>
      <c r="B255" s="0" t="s">
        <v>589</v>
      </c>
      <c r="C255" s="0" t="s">
        <v>590</v>
      </c>
      <c r="E255" s="0" t="n">
        <v>81090</v>
      </c>
      <c r="F255" s="0" t="n">
        <v>81090</v>
      </c>
      <c r="G255" s="0" t="n">
        <v>1349.1</v>
      </c>
      <c r="I255" s="0" t="n">
        <f aca="false">VLOOKUP($A255,content_factors_backup!$A$2:$Q$468,I$525,FALSE())</f>
        <v>50</v>
      </c>
      <c r="J255" s="0" t="n">
        <f aca="false">'[1]Nutrient content per 100 grams'!D75</f>
        <v>46.6</v>
      </c>
      <c r="K255" s="0" t="n">
        <f aca="false">'[1]Nutrient content per 100 grams'!E75</f>
        <v>0.424</v>
      </c>
      <c r="L255" s="0" t="n">
        <f aca="false">'[1]Nutrient content per 100 grams'!F75</f>
        <v>2.75</v>
      </c>
      <c r="M255" s="0" t="n">
        <f aca="false">'[1]Nutrient content per 100 grams'!G75</f>
        <v>0.052</v>
      </c>
      <c r="N255" s="0" t="n">
        <f aca="false">'[1]Nutrient content per 100 grams'!H75</f>
        <v>0.214</v>
      </c>
      <c r="O255" s="0" t="n">
        <f aca="false">'[1]Nutrient content per 100 grams'!I75</f>
        <v>11.8</v>
      </c>
      <c r="P255" s="0" t="n">
        <f aca="false">'[1]Nutrient content per 100 grams'!J75</f>
        <v>5.25</v>
      </c>
      <c r="Q255" s="0" t="n">
        <f aca="false">'[1]Nutrient content per 100 grams'!K75</f>
        <v>0.0244</v>
      </c>
      <c r="R255" s="0" t="n">
        <f aca="false">'[1]Nutrient content per 100 grams'!L75</f>
        <v>4.53333333333333</v>
      </c>
      <c r="S255" s="0" t="n">
        <f aca="false">'[1]Nutrient content per 100 grams'!M75</f>
        <v>132.8</v>
      </c>
      <c r="T255" s="0" t="n">
        <f aca="false">'[1]Nutrient content per 100 grams'!N75</f>
        <v>0.14</v>
      </c>
      <c r="U255" s="0" t="n">
        <f aca="false">'[1]Nutrient content per 100 grams'!O75</f>
        <v>3.7</v>
      </c>
      <c r="V255" s="0" t="n">
        <f aca="false">'[1]Nutrient content per 100 grams'!P75</f>
        <v>4.6</v>
      </c>
      <c r="W255" s="0" t="n">
        <f aca="false">'[1]Nutrient content per 100 grams'!Q75</f>
        <v>6.6</v>
      </c>
      <c r="X255" s="0" t="n">
        <f aca="false">'[1]Nutrient content per 100 grams'!R75</f>
        <v>11.8</v>
      </c>
      <c r="Y255" s="0" t="n">
        <f aca="false">'[1]Nutrient content per 100 grams'!S75</f>
        <v>0.061</v>
      </c>
      <c r="Z255" s="0" t="n">
        <f aca="false">'[1]Nutrient content per 100 grams'!T75</f>
        <v>0.043</v>
      </c>
      <c r="AA255" s="0" t="n">
        <f aca="false">'[1]Nutrient content per 100 grams'!U75</f>
        <v>0.2</v>
      </c>
      <c r="AB255" s="0" t="n">
        <f aca="false">'[1]Nutrient content per 100 grams'!V75</f>
        <v>10</v>
      </c>
      <c r="AC255" s="0" t="n">
        <f aca="false">'[1]Nutrient content per 100 grams'!W75</f>
        <v>0.0156</v>
      </c>
      <c r="AD255" s="0" t="n">
        <f aca="false">'[1]Nutrient content per 100 grams'!X75</f>
        <v>0.2942</v>
      </c>
      <c r="AE255" s="0" t="n">
        <f aca="false">'[1]Nutrient content per 100 grams'!Y75</f>
        <v>0.06525</v>
      </c>
      <c r="AF255" s="0" t="n">
        <f aca="false">'[1]Nutrient content per 100 grams'!Z75</f>
        <v>0.033</v>
      </c>
      <c r="AG255" s="0" t="n">
        <f aca="false">'[1]Nutrient content per 100 grams'!AA75</f>
        <v>0.0625</v>
      </c>
    </row>
    <row r="256" customFormat="false" ht="14.25" hidden="false" customHeight="false" outlineLevel="0" collapsed="false">
      <c r="A256" s="0" t="n">
        <v>544</v>
      </c>
      <c r="B256" s="0" t="s">
        <v>591</v>
      </c>
      <c r="C256" s="0" t="s">
        <v>592</v>
      </c>
      <c r="E256" s="0" t="n">
        <v>81010</v>
      </c>
      <c r="F256" s="0" t="n">
        <v>81010</v>
      </c>
      <c r="G256" s="0" t="n">
        <v>1354</v>
      </c>
      <c r="I256" s="0" t="n">
        <f aca="false">VLOOKUP($A256,content_factors_backup!$A$2:$Q$468,I$525,FALSE())</f>
        <v>10</v>
      </c>
      <c r="J256" s="0" t="n">
        <f aca="false">'[1]Nutrient content per 100 grams'!D76</f>
        <v>32</v>
      </c>
      <c r="K256" s="0" t="n">
        <f aca="false">'[1]Nutrient content per 100 grams'!E76</f>
        <v>0.67</v>
      </c>
      <c r="L256" s="0" t="n">
        <f aca="false">'[1]Nutrient content per 100 grams'!F76</f>
        <v>2</v>
      </c>
      <c r="M256" s="0" t="n">
        <f aca="false">'[1]Nutrient content per 100 grams'!G76</f>
        <v>0.14</v>
      </c>
      <c r="N256" s="0" t="n">
        <f aca="false">'[1]Nutrient content per 100 grams'!H76</f>
        <v>0.41</v>
      </c>
      <c r="O256" s="0" t="n">
        <f aca="false">'[1]Nutrient content per 100 grams'!I76</f>
        <v>16</v>
      </c>
      <c r="P256" s="0" t="n">
        <f aca="false">'[1]Nutrient content per 100 grams'!J76</f>
        <v>24</v>
      </c>
      <c r="Q256" s="0" t="n">
        <f aca="false">'[1]Nutrient content per 100 grams'!K76</f>
        <v>0.022</v>
      </c>
      <c r="R256" s="0" t="n">
        <f aca="false">'[1]Nutrient content per 100 grams'!L76</f>
        <v>5.7</v>
      </c>
      <c r="S256" s="0" t="n">
        <f aca="false">'[1]Nutrient content per 100 grams'!M76</f>
        <v>153</v>
      </c>
      <c r="T256" s="0" t="n">
        <f aca="false">'[1]Nutrient content per 100 grams'!N76</f>
        <v>0.29</v>
      </c>
      <c r="U256" s="0" t="n">
        <f aca="false">'[1]Nutrient content per 100 grams'!O76</f>
        <v>2.2</v>
      </c>
      <c r="V256" s="0" t="n">
        <f aca="false">'[1]Nutrient content per 100 grams'!P76</f>
        <v>1</v>
      </c>
      <c r="W256" s="0" t="n">
        <f aca="false">'[1]Nutrient content per 100 grams'!Q76</f>
        <v>13</v>
      </c>
      <c r="X256" s="0" t="n">
        <f aca="false">'[1]Nutrient content per 100 grams'!R76</f>
        <v>24</v>
      </c>
      <c r="Y256" s="0" t="n">
        <f aca="false">'[1]Nutrient content per 100 grams'!S76</f>
        <v>0.048</v>
      </c>
      <c r="Z256" s="0" t="n">
        <f aca="false">'[1]Nutrient content per 100 grams'!T76</f>
        <v>0.386</v>
      </c>
      <c r="AA256" s="0" t="n">
        <f aca="false">'[1]Nutrient content per 100 grams'!U76</f>
        <v>0.4</v>
      </c>
      <c r="AB256" s="0" t="n">
        <f aca="false">'[1]Nutrient content per 100 grams'!V76</f>
        <v>58.8</v>
      </c>
      <c r="AC256" s="0" t="n">
        <f aca="false">'[1]Nutrient content per 100 grams'!W76</f>
        <v>0.024</v>
      </c>
      <c r="AD256" s="0" t="n">
        <f aca="false">'[1]Nutrient content per 100 grams'!X76</f>
        <v>0.386</v>
      </c>
      <c r="AE256" s="0" t="n">
        <f aca="false">'[1]Nutrient content per 100 grams'!Y76</f>
        <v>0.125</v>
      </c>
      <c r="AF256" s="0" t="n">
        <f aca="false">'[1]Nutrient content per 100 grams'!Z76</f>
        <v>0.047</v>
      </c>
      <c r="AG256" s="0" t="n">
        <f aca="false">'[1]Nutrient content per 100 grams'!AA76</f>
        <v>0.155</v>
      </c>
    </row>
    <row r="257" customFormat="false" ht="14.25" hidden="false" customHeight="false" outlineLevel="0" collapsed="false">
      <c r="A257" s="0" t="n">
        <v>547</v>
      </c>
      <c r="B257" s="0" t="s">
        <v>593</v>
      </c>
      <c r="C257" s="0" t="s">
        <v>594</v>
      </c>
      <c r="E257" s="0" t="n">
        <v>81020</v>
      </c>
      <c r="F257" s="0" t="n">
        <v>81020</v>
      </c>
      <c r="G257" s="0" t="n">
        <v>1353.01</v>
      </c>
      <c r="I257" s="0" t="n">
        <f aca="false">VLOOKUP($A257,content_factors_backup!$A$2:$Q$468,I$525,FALSE())</f>
        <v>50</v>
      </c>
      <c r="J257" s="0" t="n">
        <f aca="false">'[1]Nutrient content per 100 grams'!D77</f>
        <v>52</v>
      </c>
      <c r="K257" s="0" t="n">
        <f aca="false">'[1]Nutrient content per 100 grams'!E77</f>
        <v>1.2</v>
      </c>
      <c r="L257" s="0" t="n">
        <f aca="false">'[1]Nutrient content per 100 grams'!F77</f>
        <v>6.5</v>
      </c>
      <c r="M257" s="0" t="n">
        <f aca="false">'[1]Nutrient content per 100 grams'!G77</f>
        <v>0.42</v>
      </c>
      <c r="N257" s="0" t="n">
        <f aca="false">'[1]Nutrient content per 100 grams'!H77</f>
        <v>0.69</v>
      </c>
      <c r="O257" s="0" t="n">
        <f aca="false">'[1]Nutrient content per 100 grams'!I77</f>
        <v>25</v>
      </c>
      <c r="P257" s="0" t="n">
        <f aca="false">'[1]Nutrient content per 100 grams'!J77</f>
        <v>21</v>
      </c>
      <c r="Q257" s="0" t="n">
        <f aca="false">'[1]Nutrient content per 100 grams'!K77</f>
        <v>0.038</v>
      </c>
      <c r="R257" s="0" t="n">
        <f aca="false">'[1]Nutrient content per 100 grams'!L77</f>
        <v>12.3</v>
      </c>
      <c r="S257" s="0" t="n">
        <f aca="false">'[1]Nutrient content per 100 grams'!M77</f>
        <v>151</v>
      </c>
      <c r="T257" s="0" t="n">
        <f aca="false">'[1]Nutrient content per 100 grams'!N77</f>
        <v>0.87</v>
      </c>
      <c r="U257" s="0" t="n">
        <f aca="false">'[1]Nutrient content per 100 grams'!O77</f>
        <v>7.8</v>
      </c>
      <c r="V257" s="0" t="n">
        <f aca="false">'[1]Nutrient content per 100 grams'!P77</f>
        <v>2</v>
      </c>
      <c r="W257" s="0" t="n">
        <f aca="false">'[1]Nutrient content per 100 grams'!Q77</f>
        <v>22</v>
      </c>
      <c r="X257" s="0" t="n">
        <f aca="false">'[1]Nutrient content per 100 grams'!R77</f>
        <v>29</v>
      </c>
      <c r="Y257" s="0" t="n">
        <f aca="false">'[1]Nutrient content per 100 grams'!S77</f>
        <v>0.09</v>
      </c>
      <c r="Z257" s="0" t="n">
        <f aca="false">'[1]Nutrient content per 100 grams'!T77</f>
        <v>0.67</v>
      </c>
      <c r="AA257" s="0" t="n">
        <f aca="false">'[1]Nutrient content per 100 grams'!U77</f>
        <v>0.2</v>
      </c>
      <c r="AB257" s="0" t="n">
        <f aca="false">'[1]Nutrient content per 100 grams'!V77</f>
        <v>26.2</v>
      </c>
      <c r="AC257" s="0" t="n">
        <f aca="false">'[1]Nutrient content per 100 grams'!W77</f>
        <v>0.032</v>
      </c>
      <c r="AD257" s="0" t="n">
        <f aca="false">'[1]Nutrient content per 100 grams'!X77</f>
        <v>0.598</v>
      </c>
      <c r="AE257" s="0" t="n">
        <f aca="false">'[1]Nutrient content per 100 grams'!Y77</f>
        <v>0.329</v>
      </c>
      <c r="AF257" s="0" t="n">
        <f aca="false">'[1]Nutrient content per 100 grams'!Z77</f>
        <v>0.055</v>
      </c>
      <c r="AG257" s="0" t="n">
        <f aca="false">'[1]Nutrient content per 100 grams'!AA77</f>
        <v>0.375</v>
      </c>
    </row>
    <row r="258" customFormat="false" ht="14.25" hidden="false" customHeight="false" outlineLevel="0" collapsed="false">
      <c r="A258" s="0" t="n">
        <v>549</v>
      </c>
      <c r="B258" s="0" t="s">
        <v>595</v>
      </c>
      <c r="C258" s="0" t="s">
        <v>596</v>
      </c>
      <c r="E258" s="0" t="n">
        <v>81090</v>
      </c>
      <c r="F258" s="0" t="n">
        <v>81030</v>
      </c>
      <c r="G258" s="0" t="n">
        <v>1351.02</v>
      </c>
      <c r="I258" s="0" t="n">
        <f aca="false">VLOOKUP($A258,content_factors_backup!$A$2:$Q$468,I$525,FALSE())</f>
        <v>11</v>
      </c>
      <c r="J258" s="0" t="n">
        <f aca="false">'[1]Nutrient content per 100 grams'!D78</f>
        <v>44</v>
      </c>
      <c r="K258" s="0" t="n">
        <f aca="false">'[1]Nutrient content per 100 grams'!E78</f>
        <v>0.88</v>
      </c>
      <c r="L258" s="0" t="n">
        <f aca="false">'[1]Nutrient content per 100 grams'!F78</f>
        <v>4.3</v>
      </c>
      <c r="M258" s="0" t="n">
        <f aca="false">'[1]Nutrient content per 100 grams'!G78</f>
        <v>0.12</v>
      </c>
      <c r="N258" s="0" t="n">
        <f aca="false">'[1]Nutrient content per 100 grams'!H78</f>
        <v>0.31</v>
      </c>
      <c r="O258" s="0" t="n">
        <f aca="false">'[1]Nutrient content per 100 grams'!I78</f>
        <v>25</v>
      </c>
      <c r="P258" s="0" t="n">
        <f aca="false">'[1]Nutrient content per 100 grams'!J78</f>
        <v>6</v>
      </c>
      <c r="Q258" s="0" t="n">
        <f aca="false">'[1]Nutrient content per 100 grams'!K78</f>
        <v>0.03</v>
      </c>
      <c r="R258" s="0" t="str">
        <f aca="false">'[1]Nutrient content per 100 grams'!L78</f>
        <v>NA</v>
      </c>
      <c r="S258" s="0" t="n">
        <f aca="false">'[1]Nutrient content per 100 grams'!M78</f>
        <v>198</v>
      </c>
      <c r="T258" s="0" t="n">
        <f aca="false">'[1]Nutrient content per 100 grams'!N78</f>
        <v>0.37</v>
      </c>
      <c r="U258" s="0" t="str">
        <f aca="false">'[1]Nutrient content per 100 grams'!O78</f>
        <v>NA</v>
      </c>
      <c r="V258" s="0" t="n">
        <f aca="false">'[1]Nutrient content per 100 grams'!P78</f>
        <v>15</v>
      </c>
      <c r="W258" s="0" t="n">
        <f aca="false">'[1]Nutrient content per 100 grams'!Q78</f>
        <v>10</v>
      </c>
      <c r="X258" s="0" t="n">
        <f aca="false">'[1]Nutrient content per 100 grams'!R78</f>
        <v>27</v>
      </c>
      <c r="Y258" s="0" t="n">
        <f aca="false">'[1]Nutrient content per 100 grams'!S78</f>
        <v>0.07</v>
      </c>
      <c r="Z258" s="0" t="n">
        <f aca="false">'[1]Nutrient content per 100 grams'!T78</f>
        <v>0.144</v>
      </c>
      <c r="AA258" s="0" t="n">
        <f aca="false">'[1]Nutrient content per 100 grams'!U78</f>
        <v>0.6</v>
      </c>
      <c r="AB258" s="0" t="n">
        <f aca="false">'[1]Nutrient content per 100 grams'!V78</f>
        <v>27.7</v>
      </c>
      <c r="AC258" s="0" t="n">
        <f aca="false">'[1]Nutrient content per 100 grams'!W78</f>
        <v>0.04</v>
      </c>
      <c r="AD258" s="0" t="n">
        <f aca="false">'[1]Nutrient content per 100 grams'!X78</f>
        <v>0.3</v>
      </c>
      <c r="AE258" s="0" t="n">
        <f aca="false">'[1]Nutrient content per 100 grams'!Y78</f>
        <v>0.286</v>
      </c>
      <c r="AF258" s="0" t="n">
        <f aca="false">'[1]Nutrient content per 100 grams'!Z78</f>
        <v>0.08</v>
      </c>
      <c r="AG258" s="0" t="n">
        <f aca="false">'[1]Nutrient content per 100 grams'!AA78</f>
        <v>0.317</v>
      </c>
    </row>
    <row r="259" customFormat="false" ht="14.25" hidden="false" customHeight="false" outlineLevel="0" collapsed="false">
      <c r="A259" s="0" t="n">
        <v>550</v>
      </c>
      <c r="B259" s="0" t="s">
        <v>597</v>
      </c>
      <c r="C259" s="0" t="s">
        <v>598</v>
      </c>
      <c r="E259" s="0" t="n">
        <v>81090</v>
      </c>
      <c r="F259" s="0" t="n">
        <v>81030</v>
      </c>
      <c r="G259" s="0" t="n">
        <v>1351.01</v>
      </c>
      <c r="I259" s="0" t="n">
        <f aca="false">VLOOKUP($A259,content_factors_backup!$A$2:$Q$468,I$525,FALSE())</f>
        <v>16</v>
      </c>
      <c r="J259" s="0" t="n">
        <f aca="false">'[1]Nutrient content per 100 grams'!D79</f>
        <v>59.5</v>
      </c>
      <c r="K259" s="0" t="n">
        <f aca="false">'[1]Nutrient content per 100 grams'!E79</f>
        <v>1.4</v>
      </c>
      <c r="L259" s="0" t="n">
        <f aca="false">'[1]Nutrient content per 100 grams'!F79</f>
        <v>4.3</v>
      </c>
      <c r="M259" s="0" t="n">
        <f aca="false">'[1]Nutrient content per 100 grams'!G79</f>
        <v>0.25</v>
      </c>
      <c r="N259" s="0" t="n">
        <f aca="false">'[1]Nutrient content per 100 grams'!H79</f>
        <v>1.27</v>
      </c>
      <c r="O259" s="0" t="n">
        <f aca="false">'[1]Nutrient content per 100 grams'!I79</f>
        <v>44</v>
      </c>
      <c r="P259" s="0" t="n">
        <f aca="false">'[1]Nutrient content per 100 grams'!J79</f>
        <v>8</v>
      </c>
      <c r="Q259" s="0" t="n">
        <f aca="false">'[1]Nutrient content per 100 grams'!K79</f>
        <v>0.05</v>
      </c>
      <c r="R259" s="0" t="n">
        <f aca="false">'[1]Nutrient content per 100 grams'!L79</f>
        <v>7.6</v>
      </c>
      <c r="S259" s="0" t="n">
        <f aca="false">'[1]Nutrient content per 100 grams'!M79</f>
        <v>298.5</v>
      </c>
      <c r="T259" s="0" t="n">
        <f aca="false">'[1]Nutrient content per 100 grams'!N79</f>
        <v>0.55</v>
      </c>
      <c r="U259" s="0" t="n">
        <f aca="false">'[1]Nutrient content per 100 grams'!O79</f>
        <v>11</v>
      </c>
      <c r="V259" s="0" t="n">
        <f aca="false">'[1]Nutrient content per 100 grams'!P79</f>
        <v>7</v>
      </c>
      <c r="W259" s="0" t="n">
        <f aca="false">'[1]Nutrient content per 100 grams'!Q79</f>
        <v>18.5</v>
      </c>
      <c r="X259" s="0" t="n">
        <f aca="false">'[1]Nutrient content per 100 grams'!R79</f>
        <v>51.5</v>
      </c>
      <c r="Y259" s="0" t="n">
        <f aca="false">'[1]Nutrient content per 100 grams'!S79</f>
        <v>0.0965</v>
      </c>
      <c r="Z259" s="0" t="n">
        <f aca="false">'[1]Nutrient content per 100 grams'!T79</f>
        <v>0.221</v>
      </c>
      <c r="AA259" s="0" t="n">
        <f aca="false">'[1]Nutrient content per 100 grams'!U79</f>
        <v>0.6</v>
      </c>
      <c r="AB259" s="0" t="n">
        <f aca="false">'[1]Nutrient content per 100 grams'!V79</f>
        <v>111</v>
      </c>
      <c r="AC259" s="0" t="n">
        <f aca="false">'[1]Nutrient content per 100 grams'!W79</f>
        <v>0.045</v>
      </c>
      <c r="AD259" s="0" t="n">
        <f aca="false">'[1]Nutrient content per 100 grams'!X79</f>
        <v>0.2</v>
      </c>
      <c r="AE259" s="0" t="n">
        <f aca="false">'[1]Nutrient content per 100 grams'!Y79</f>
        <v>0.231</v>
      </c>
      <c r="AF259" s="0" t="n">
        <f aca="false">'[1]Nutrient content per 100 grams'!Z79</f>
        <v>0.068</v>
      </c>
      <c r="AG259" s="0" t="n">
        <f aca="false">'[1]Nutrient content per 100 grams'!AA79</f>
        <v>0.1335</v>
      </c>
    </row>
    <row r="260" customFormat="false" ht="14.25" hidden="false" customHeight="false" outlineLevel="0" collapsed="false">
      <c r="A260" s="0" t="n">
        <v>552</v>
      </c>
      <c r="B260" s="0" t="s">
        <v>599</v>
      </c>
      <c r="C260" s="0" t="s">
        <v>600</v>
      </c>
      <c r="E260" s="0" t="n">
        <v>81040</v>
      </c>
      <c r="F260" s="0" t="n">
        <v>81040</v>
      </c>
      <c r="G260" s="0" t="n">
        <v>1355.01</v>
      </c>
      <c r="I260" s="0" t="n">
        <f aca="false">VLOOKUP($A260,content_factors_backup!$A$2:$Q$468,I$525,FALSE())</f>
        <v>17</v>
      </c>
      <c r="J260" s="0" t="n">
        <f aca="false">'[1]Nutrient content per 100 grams'!D80</f>
        <v>57</v>
      </c>
      <c r="K260" s="0" t="n">
        <f aca="false">'[1]Nutrient content per 100 grams'!E80</f>
        <v>0.74</v>
      </c>
      <c r="L260" s="0" t="n">
        <f aca="false">'[1]Nutrient content per 100 grams'!F80</f>
        <v>2.4</v>
      </c>
      <c r="M260" s="0" t="n">
        <f aca="false">'[1]Nutrient content per 100 grams'!G80</f>
        <v>0.16</v>
      </c>
      <c r="N260" s="0" t="n">
        <f aca="false">'[1]Nutrient content per 100 grams'!H80</f>
        <v>0.28</v>
      </c>
      <c r="O260" s="0" t="n">
        <f aca="false">'[1]Nutrient content per 100 grams'!I80</f>
        <v>6</v>
      </c>
      <c r="P260" s="0" t="n">
        <f aca="false">'[1]Nutrient content per 100 grams'!J80</f>
        <v>6</v>
      </c>
      <c r="Q260" s="0" t="n">
        <f aca="false">'[1]Nutrient content per 100 grams'!K80</f>
        <v>0.041</v>
      </c>
      <c r="R260" s="0" t="n">
        <f aca="false">'[1]Nutrient content per 100 grams'!L80</f>
        <v>6</v>
      </c>
      <c r="S260" s="0" t="n">
        <f aca="false">'[1]Nutrient content per 100 grams'!M80</f>
        <v>77</v>
      </c>
      <c r="T260" s="0" t="n">
        <f aca="false">'[1]Nutrient content per 100 grams'!N80</f>
        <v>0.57</v>
      </c>
      <c r="U260" s="0" t="n">
        <f aca="false">'[1]Nutrient content per 100 grams'!O80</f>
        <v>19.3</v>
      </c>
      <c r="V260" s="0" t="n">
        <f aca="false">'[1]Nutrient content per 100 grams'!P80</f>
        <v>3</v>
      </c>
      <c r="W260" s="0" t="n">
        <f aca="false">'[1]Nutrient content per 100 grams'!Q80</f>
        <v>6</v>
      </c>
      <c r="X260" s="0" t="n">
        <f aca="false">'[1]Nutrient content per 100 grams'!R80</f>
        <v>12</v>
      </c>
      <c r="Y260" s="0" t="n">
        <f aca="false">'[1]Nutrient content per 100 grams'!S80</f>
        <v>0.057</v>
      </c>
      <c r="Z260" s="0" t="n">
        <f aca="false">'[1]Nutrient content per 100 grams'!T80</f>
        <v>0.336</v>
      </c>
      <c r="AA260" s="0" t="n">
        <f aca="false">'[1]Nutrient content per 100 grams'!U80</f>
        <v>0.1</v>
      </c>
      <c r="AB260" s="0" t="n">
        <f aca="false">'[1]Nutrient content per 100 grams'!V80</f>
        <v>9.7</v>
      </c>
      <c r="AC260" s="0" t="n">
        <f aca="false">'[1]Nutrient content per 100 grams'!W80</f>
        <v>0.037</v>
      </c>
      <c r="AD260" s="0" t="n">
        <f aca="false">'[1]Nutrient content per 100 grams'!X80</f>
        <v>0.418</v>
      </c>
      <c r="AE260" s="0" t="n">
        <f aca="false">'[1]Nutrient content per 100 grams'!Y80</f>
        <v>0.124</v>
      </c>
      <c r="AF260" s="0" t="n">
        <f aca="false">'[1]Nutrient content per 100 grams'!Z80</f>
        <v>0.052</v>
      </c>
      <c r="AG260" s="0" t="n">
        <f aca="false">'[1]Nutrient content per 100 grams'!AA80</f>
        <v>0.146</v>
      </c>
    </row>
    <row r="261" customFormat="false" ht="14.25" hidden="false" customHeight="false" outlineLevel="0" collapsed="false">
      <c r="A261" s="0" t="n">
        <v>554</v>
      </c>
      <c r="B261" s="0" t="s">
        <v>601</v>
      </c>
      <c r="C261" s="0" t="s">
        <v>602</v>
      </c>
      <c r="E261" s="0" t="n">
        <v>81040</v>
      </c>
      <c r="F261" s="0" t="n">
        <v>81040</v>
      </c>
      <c r="G261" s="0" t="n">
        <v>1355.02</v>
      </c>
      <c r="I261" s="0" t="n">
        <f aca="false">VLOOKUP($A261,content_factors_backup!$A$2:$Q$468,I$525,FALSE())</f>
        <v>12</v>
      </c>
      <c r="J261" s="0" t="n">
        <f aca="false">'[1]Nutrient content per 100 grams'!D81</f>
        <v>46</v>
      </c>
      <c r="K261" s="0" t="n">
        <f aca="false">'[1]Nutrient content per 100 grams'!E81</f>
        <v>0.46</v>
      </c>
      <c r="L261" s="0" t="n">
        <f aca="false">'[1]Nutrient content per 100 grams'!F81</f>
        <v>3.6</v>
      </c>
      <c r="M261" s="0" t="n">
        <f aca="false">'[1]Nutrient content per 100 grams'!G81</f>
        <v>0.09</v>
      </c>
      <c r="N261" s="0" t="n">
        <f aca="false">'[1]Nutrient content per 100 grams'!H81</f>
        <v>0.23</v>
      </c>
      <c r="O261" s="0" t="n">
        <f aca="false">'[1]Nutrient content per 100 grams'!I81</f>
        <v>8</v>
      </c>
      <c r="P261" s="0" t="n">
        <f aca="false">'[1]Nutrient content per 100 grams'!J81</f>
        <v>1</v>
      </c>
      <c r="Q261" s="0" t="n">
        <f aca="false">'[1]Nutrient content per 100 grams'!K81</f>
        <v>0.02</v>
      </c>
      <c r="R261" s="0" t="n">
        <f aca="false">'[1]Nutrient content per 100 grams'!L81</f>
        <v>5.5</v>
      </c>
      <c r="S261" s="0" t="n">
        <f aca="false">'[1]Nutrient content per 100 grams'!M81</f>
        <v>80</v>
      </c>
      <c r="T261" s="0" t="n">
        <f aca="false">'[1]Nutrient content per 100 grams'!N81</f>
        <v>1.32</v>
      </c>
      <c r="U261" s="0" t="n">
        <f aca="false">'[1]Nutrient content per 100 grams'!O81</f>
        <v>5</v>
      </c>
      <c r="V261" s="0" t="n">
        <f aca="false">'[1]Nutrient content per 100 grams'!P81</f>
        <v>3</v>
      </c>
      <c r="W261" s="0" t="n">
        <f aca="false">'[1]Nutrient content per 100 grams'!Q81</f>
        <v>6</v>
      </c>
      <c r="X261" s="0" t="n">
        <f aca="false">'[1]Nutrient content per 100 grams'!R81</f>
        <v>11</v>
      </c>
      <c r="Y261" s="0" t="n">
        <f aca="false">'[1]Nutrient content per 100 grams'!S81</f>
        <v>0.056</v>
      </c>
      <c r="Z261" s="0" t="n">
        <f aca="false">'[1]Nutrient content per 100 grams'!T81</f>
        <v>0.267</v>
      </c>
      <c r="AA261" s="0" t="n">
        <f aca="false">'[1]Nutrient content per 100 grams'!U81</f>
        <v>0.1</v>
      </c>
      <c r="AB261" s="0" t="n">
        <f aca="false">'[1]Nutrient content per 100 grams'!V81</f>
        <v>14</v>
      </c>
      <c r="AC261" s="0" t="n">
        <f aca="false">'[1]Nutrient content per 100 grams'!W81</f>
        <v>0.012</v>
      </c>
      <c r="AD261" s="0" t="n">
        <f aca="false">'[1]Nutrient content per 100 grams'!X81</f>
        <v>0.101</v>
      </c>
      <c r="AE261" s="0" t="n">
        <f aca="false">'[1]Nutrient content per 100 grams'!Y81</f>
        <v>0.295</v>
      </c>
      <c r="AF261" s="0" t="n">
        <f aca="false">'[1]Nutrient content per 100 grams'!Z81</f>
        <v>0.057</v>
      </c>
      <c r="AG261" s="0" t="n">
        <f aca="false">'[1]Nutrient content per 100 grams'!AA81</f>
        <v>0.055</v>
      </c>
    </row>
    <row r="262" customFormat="false" ht="14.25" hidden="false" customHeight="false" outlineLevel="0" collapsed="false">
      <c r="A262" s="0" t="n">
        <v>558</v>
      </c>
      <c r="B262" s="0" t="s">
        <v>603</v>
      </c>
      <c r="C262" s="0" t="s">
        <v>604</v>
      </c>
      <c r="E262" s="0" t="s">
        <v>605</v>
      </c>
      <c r="F262" s="0" t="s">
        <v>605</v>
      </c>
      <c r="G262" s="0" t="n">
        <v>1355.9</v>
      </c>
      <c r="I262" s="0" t="n">
        <f aca="false">VLOOKUP($A262,content_factors_backup!$A$2:$Q$468,I$525,FALSE())</f>
        <v>50</v>
      </c>
      <c r="J262" s="0" t="n">
        <f aca="false">'[1]Nutrient content per 100 grams'!D82</f>
        <v>47.7777777777778</v>
      </c>
      <c r="K262" s="0" t="n">
        <f aca="false">'[1]Nutrient content per 100 grams'!E82</f>
        <v>0.851111111111111</v>
      </c>
      <c r="L262" s="0" t="n">
        <f aca="false">'[1]Nutrient content per 100 grams'!F82</f>
        <v>4.475</v>
      </c>
      <c r="M262" s="0" t="n">
        <f aca="false">'[1]Nutrient content per 100 grams'!G82</f>
        <v>0.218571428571429</v>
      </c>
      <c r="N262" s="0" t="n">
        <f aca="false">'[1]Nutrient content per 100 grams'!H82</f>
        <v>0.668888888888889</v>
      </c>
      <c r="O262" s="0" t="n">
        <f aca="false">'[1]Nutrient content per 100 grams'!I82</f>
        <v>23.1111111111111</v>
      </c>
      <c r="P262" s="0" t="n">
        <f aca="false">'[1]Nutrient content per 100 grams'!J82</f>
        <v>12.7142857142857</v>
      </c>
      <c r="Q262" s="0" t="n">
        <f aca="false">'[1]Nutrient content per 100 grams'!K82</f>
        <v>0.0403333333333333</v>
      </c>
      <c r="R262" s="0" t="n">
        <f aca="false">'[1]Nutrient content per 100 grams'!L82</f>
        <v>8.86</v>
      </c>
      <c r="S262" s="0" t="n">
        <f aca="false">'[1]Nutrient content per 100 grams'!M82</f>
        <v>172</v>
      </c>
      <c r="T262" s="0" t="n">
        <f aca="false">'[1]Nutrient content per 100 grams'!N82</f>
        <v>0.815</v>
      </c>
      <c r="U262" s="0" t="n">
        <f aca="false">'[1]Nutrient content per 100 grams'!O82</f>
        <v>8.52</v>
      </c>
      <c r="V262" s="0" t="n">
        <f aca="false">'[1]Nutrient content per 100 grams'!P82</f>
        <v>12.2222222222222</v>
      </c>
      <c r="W262" s="0" t="n">
        <f aca="false">'[1]Nutrient content per 100 grams'!Q82</f>
        <v>13</v>
      </c>
      <c r="X262" s="0" t="n">
        <f aca="false">'[1]Nutrient content per 100 grams'!R82</f>
        <v>25.2222222222222</v>
      </c>
      <c r="Y262" s="0" t="n">
        <f aca="false">'[1]Nutrient content per 100 grams'!S82</f>
        <v>0.0785714285714286</v>
      </c>
      <c r="Z262" s="0" t="n">
        <f aca="false">'[1]Nutrient content per 100 grams'!T82</f>
        <v>0.4226</v>
      </c>
      <c r="AA262" s="0" t="n">
        <f aca="false">'[1]Nutrient content per 100 grams'!U82</f>
        <v>0.414285714285714</v>
      </c>
      <c r="AB262" s="0" t="n">
        <f aca="false">'[1]Nutrient content per 100 grams'!V82</f>
        <v>29.2333333333333</v>
      </c>
      <c r="AC262" s="0" t="n">
        <f aca="false">'[1]Nutrient content per 100 grams'!W82</f>
        <v>0.0304444444444444</v>
      </c>
      <c r="AD262" s="0" t="n">
        <f aca="false">'[1]Nutrient content per 100 grams'!X82</f>
        <v>0.446777777777778</v>
      </c>
      <c r="AE262" s="0" t="n">
        <f aca="false">'[1]Nutrient content per 100 grams'!Y82</f>
        <v>0.241833333333333</v>
      </c>
      <c r="AF262" s="0" t="n">
        <f aca="false">'[1]Nutrient content per 100 grams'!Z82</f>
        <v>0.0784285714285714</v>
      </c>
      <c r="AG262" s="0" t="n">
        <f aca="false">'[1]Nutrient content per 100 grams'!AA82</f>
        <v>0.236125</v>
      </c>
    </row>
    <row r="263" customFormat="false" ht="14.25" hidden="false" customHeight="false" outlineLevel="0" collapsed="false">
      <c r="A263" s="0" t="n">
        <v>560</v>
      </c>
      <c r="B263" s="0" t="s">
        <v>606</v>
      </c>
      <c r="C263" s="0" t="s">
        <v>607</v>
      </c>
      <c r="E263" s="0" t="n">
        <v>80610</v>
      </c>
      <c r="F263" s="0" t="n">
        <v>80610</v>
      </c>
      <c r="G263" s="0" t="n">
        <v>1330</v>
      </c>
      <c r="I263" s="0" t="n">
        <f aca="false">VLOOKUP($A263,content_factors_backup!$A$2:$Q$468,I$525,FALSE())</f>
        <v>19</v>
      </c>
      <c r="J263" s="0" t="n">
        <f aca="false">'[1]Nutrient content per 100 grams'!D83</f>
        <v>63</v>
      </c>
      <c r="K263" s="0" t="n">
        <f aca="false">'[1]Nutrient content per 100 grams'!E83</f>
        <v>0.765</v>
      </c>
      <c r="L263" s="0" t="n">
        <f aca="false">'[1]Nutrient content per 100 grams'!F83</f>
        <v>2.4</v>
      </c>
      <c r="M263" s="0" t="n">
        <f aca="false">'[1]Nutrient content per 100 grams'!G83</f>
        <v>0.09</v>
      </c>
      <c r="N263" s="0" t="n">
        <f aca="false">'[1]Nutrient content per 100 grams'!H83</f>
        <v>0.31</v>
      </c>
      <c r="O263" s="0" t="n">
        <f aca="false">'[1]Nutrient content per 100 grams'!I83</f>
        <v>23.5</v>
      </c>
      <c r="P263" s="0" t="n">
        <f aca="false">'[1]Nutrient content per 100 grams'!J83</f>
        <v>2</v>
      </c>
      <c r="Q263" s="0" t="n">
        <f aca="false">'[1]Nutrient content per 100 grams'!K83</f>
        <v>0.785</v>
      </c>
      <c r="R263" s="0" t="n">
        <f aca="false">'[1]Nutrient content per 100 grams'!L83</f>
        <v>5.6</v>
      </c>
      <c r="S263" s="0" t="n">
        <f aca="false">'[1]Nutrient content per 100 grams'!M83</f>
        <v>197</v>
      </c>
      <c r="T263" s="0" t="n">
        <f aca="false">'[1]Nutrient content per 100 grams'!N83</f>
        <v>0.19</v>
      </c>
      <c r="U263" s="0" t="n">
        <f aca="false">'[1]Nutrient content per 100 grams'!O83</f>
        <v>14.6</v>
      </c>
      <c r="V263" s="0" t="n">
        <f aca="false">'[1]Nutrient content per 100 grams'!P83</f>
        <v>3</v>
      </c>
      <c r="W263" s="0" t="n">
        <f aca="false">'[1]Nutrient content per 100 grams'!Q83</f>
        <v>10.5</v>
      </c>
      <c r="X263" s="0" t="n">
        <f aca="false">'[1]Nutrient content per 100 grams'!R83</f>
        <v>22</v>
      </c>
      <c r="Y263" s="0" t="n">
        <f aca="false">'[1]Nutrient content per 100 grams'!S83</f>
        <v>0.123</v>
      </c>
      <c r="Z263" s="0" t="n">
        <f aca="false">'[1]Nutrient content per 100 grams'!T83</f>
        <v>1.022</v>
      </c>
      <c r="AA263" s="0" t="n">
        <f aca="false">'[1]Nutrient content per 100 grams'!U83</f>
        <v>0.1</v>
      </c>
      <c r="AB263" s="0" t="n">
        <f aca="false">'[1]Nutrient content per 100 grams'!V83</f>
        <v>4.85</v>
      </c>
      <c r="AC263" s="0" t="n">
        <f aca="false">'[1]Nutrient content per 100 grams'!W83</f>
        <v>0.069</v>
      </c>
      <c r="AD263" s="0" t="n">
        <f aca="false">'[1]Nutrient content per 100 grams'!X83</f>
        <v>0.188</v>
      </c>
      <c r="AE263" s="0" t="n">
        <f aca="false">'[1]Nutrient content per 100 grams'!Y83</f>
        <v>0.05</v>
      </c>
      <c r="AF263" s="0" t="n">
        <f aca="false">'[1]Nutrient content per 100 grams'!Z83</f>
        <v>0.086</v>
      </c>
      <c r="AG263" s="0" t="n">
        <f aca="false">'[1]Nutrient content per 100 grams'!AA83</f>
        <v>0.048</v>
      </c>
    </row>
    <row r="264" customFormat="false" ht="14.25" hidden="false" customHeight="false" outlineLevel="0" collapsed="false">
      <c r="A264" s="0" t="n">
        <v>561</v>
      </c>
      <c r="B264" s="0" t="s">
        <v>608</v>
      </c>
      <c r="C264" s="0" t="s">
        <v>609</v>
      </c>
      <c r="E264" s="0" t="n">
        <v>80620</v>
      </c>
      <c r="F264" s="0" t="n">
        <v>80620</v>
      </c>
      <c r="G264" s="0" t="n">
        <v>21411</v>
      </c>
      <c r="I264" s="0" t="n">
        <f aca="false">VLOOKUP($A264,content_factors_backup!$A$2:$Q$468,I$525,FALSE())</f>
        <v>82</v>
      </c>
      <c r="J264" s="0" t="n">
        <f aca="false">'[1]Nutrient content per 100 grams'!D84</f>
        <v>216.5</v>
      </c>
      <c r="K264" s="0" t="n">
        <f aca="false">'[1]Nutrient content per 100 grams'!E84</f>
        <v>2.64333333333333</v>
      </c>
      <c r="L264" s="0" t="n">
        <f aca="false">'[1]Nutrient content per 100 grams'!F84</f>
        <v>5.12</v>
      </c>
      <c r="M264" s="0" t="n">
        <f aca="false">'[1]Nutrient content per 100 grams'!G84</f>
        <v>0.313333333333333</v>
      </c>
      <c r="N264" s="0" t="n">
        <f aca="false">'[1]Nutrient content per 100 grams'!H84</f>
        <v>2.01</v>
      </c>
      <c r="O264" s="0" t="n">
        <f aca="false">'[1]Nutrient content per 100 grams'!I84</f>
        <v>50.8333333333333</v>
      </c>
      <c r="P264" s="0" t="n">
        <f aca="false">'[1]Nutrient content per 100 grams'!J84</f>
        <v>5.8</v>
      </c>
      <c r="Q264" s="0" t="n">
        <f aca="false">'[1]Nutrient content per 100 grams'!K84</f>
        <v>0.123333333333333</v>
      </c>
      <c r="R264" s="0" t="n">
        <f aca="false">'[1]Nutrient content per 100 grams'!L84</f>
        <v>10.1</v>
      </c>
      <c r="S264" s="0" t="n">
        <f aca="false">'[1]Nutrient content per 100 grams'!M84</f>
        <v>634.833333333333</v>
      </c>
      <c r="T264" s="0" t="n">
        <f aca="false">'[1]Nutrient content per 100 grams'!N84</f>
        <v>0.29</v>
      </c>
      <c r="U264" s="0" t="n">
        <f aca="false">'[1]Nutrient content per 100 grams'!O84</f>
        <v>5.325</v>
      </c>
      <c r="V264" s="0" t="n">
        <f aca="false">'[1]Nutrient content per 100 grams'!P84</f>
        <v>3</v>
      </c>
      <c r="W264" s="0" t="n">
        <f aca="false">'[1]Nutrient content per 100 grams'!Q84</f>
        <v>29.1666666666667</v>
      </c>
      <c r="X264" s="0" t="n">
        <f aca="false">'[1]Nutrient content per 100 grams'!R84</f>
        <v>86.5</v>
      </c>
      <c r="Y264" s="0" t="n">
        <f aca="false">'[1]Nutrient content per 100 grams'!S84</f>
        <v>0.274</v>
      </c>
      <c r="Z264" s="0" t="n">
        <f aca="false">'[1]Nutrient content per 100 grams'!T84</f>
        <v>0.2975</v>
      </c>
      <c r="AA264" s="0" t="n">
        <f aca="false">'[1]Nutrient content per 100 grams'!U84</f>
        <v>0.64</v>
      </c>
      <c r="AB264" s="0" t="n">
        <f aca="false">'[1]Nutrient content per 100 grams'!V84</f>
        <v>39.6</v>
      </c>
      <c r="AC264" s="0" t="n">
        <f aca="false">'[1]Nutrient content per 100 grams'!W84</f>
        <v>0.0793333333333333</v>
      </c>
      <c r="AD264" s="0" t="n">
        <f aca="false">'[1]Nutrient content per 100 grams'!X84</f>
        <v>0.8395</v>
      </c>
      <c r="AE264" s="0" t="n">
        <f aca="false">'[1]Nutrient content per 100 grams'!Y84</f>
        <v>0.131166666666667</v>
      </c>
      <c r="AF264" s="0" t="n">
        <f aca="false">'[1]Nutrient content per 100 grams'!Z84</f>
        <v>0.186166666666667</v>
      </c>
      <c r="AG264" s="0" t="n">
        <f aca="false">'[1]Nutrient content per 100 grams'!AA84</f>
        <v>0.129666666666667</v>
      </c>
    </row>
    <row r="265" customFormat="false" ht="14.25" hidden="false" customHeight="false" outlineLevel="0" collapsed="false">
      <c r="A265" s="0" t="n">
        <v>562</v>
      </c>
      <c r="B265" s="0" t="s">
        <v>610</v>
      </c>
      <c r="C265" s="0" t="s">
        <v>611</v>
      </c>
      <c r="E265" s="0" t="s">
        <v>612</v>
      </c>
      <c r="F265" s="0" t="s">
        <v>612</v>
      </c>
      <c r="G265" s="0" t="n">
        <v>21434</v>
      </c>
      <c r="I265" s="0" t="n">
        <f aca="false">VLOOKUP($A265,content_factors_backup!$A$2:$Q$468,I$525,FALSE())</f>
        <v>10</v>
      </c>
      <c r="J265" s="0" t="n">
        <f aca="false">'[1]Nutrient content per 100 grams'!D85</f>
        <v>60</v>
      </c>
      <c r="K265" s="0" t="n">
        <f aca="false">'[1]Nutrient content per 100 grams'!E85</f>
        <v>0.37</v>
      </c>
      <c r="L265" s="0" t="n">
        <f aca="false">'[1]Nutrient content per 100 grams'!F85</f>
        <v>0.2</v>
      </c>
      <c r="M265" s="0" t="n">
        <f aca="false">'[1]Nutrient content per 100 grams'!G85</f>
        <v>0.07</v>
      </c>
      <c r="N265" s="0" t="n">
        <f aca="false">'[1]Nutrient content per 100 grams'!H85</f>
        <v>0.25</v>
      </c>
      <c r="O265" s="0" t="n">
        <f aca="false">'[1]Nutrient content per 100 grams'!I85</f>
        <v>11</v>
      </c>
      <c r="P265" s="0" t="n">
        <f aca="false">'[1]Nutrient content per 100 grams'!J85</f>
        <v>0</v>
      </c>
      <c r="Q265" s="0" t="n">
        <f aca="false">'[1]Nutrient content per 100 grams'!K85</f>
        <v>0.015</v>
      </c>
      <c r="R265" s="0" t="n">
        <f aca="false">'[1]Nutrient content per 100 grams'!L85</f>
        <v>3.2</v>
      </c>
      <c r="S265" s="0" t="n">
        <f aca="false">'[1]Nutrient content per 100 grams'!M85</f>
        <v>104</v>
      </c>
      <c r="T265" s="0" t="n">
        <f aca="false">'[1]Nutrient content per 100 grams'!N85</f>
        <v>0</v>
      </c>
      <c r="U265" s="0" t="n">
        <f aca="false">'[1]Nutrient content per 100 grams'!O85</f>
        <v>0.4</v>
      </c>
      <c r="V265" s="0" t="n">
        <f aca="false">'[1]Nutrient content per 100 grams'!P85</f>
        <v>0</v>
      </c>
      <c r="W265" s="0" t="n">
        <f aca="false">'[1]Nutrient content per 100 grams'!Q85</f>
        <v>10</v>
      </c>
      <c r="X265" s="0" t="n">
        <f aca="false">'[1]Nutrient content per 100 grams'!R85</f>
        <v>14</v>
      </c>
      <c r="Y265" s="0" t="n">
        <f aca="false">'[1]Nutrient content per 100 grams'!S85</f>
        <v>0.018</v>
      </c>
      <c r="Z265" s="0" t="n">
        <f aca="false">'[1]Nutrient content per 100 grams'!T85</f>
        <v>0.239</v>
      </c>
      <c r="AA265" s="0" t="n">
        <f aca="false">'[1]Nutrient content per 100 grams'!U85</f>
        <v>0</v>
      </c>
      <c r="AB265" s="0" t="n">
        <f aca="false">'[1]Nutrient content per 100 grams'!V85</f>
        <v>25</v>
      </c>
      <c r="AC265" s="0" t="n">
        <f aca="false">'[1]Nutrient content per 100 grams'!W85</f>
        <v>0.017</v>
      </c>
      <c r="AD265" s="0" t="n">
        <f aca="false">'[1]Nutrient content per 100 grams'!X85</f>
        <v>0.133</v>
      </c>
      <c r="AE265" s="0" t="n">
        <f aca="false">'[1]Nutrient content per 100 grams'!Y85</f>
        <v>0.048</v>
      </c>
      <c r="AF265" s="0" t="n">
        <f aca="false">'[1]Nutrient content per 100 grams'!Z85</f>
        <v>0.032</v>
      </c>
      <c r="AG265" s="0" t="n">
        <f aca="false">'[1]Nutrient content per 100 grams'!AA85</f>
        <v>0.022</v>
      </c>
    </row>
    <row r="266" customFormat="false" ht="14.25" hidden="false" customHeight="false" outlineLevel="0" collapsed="false">
      <c r="A266" s="0" t="n">
        <v>564</v>
      </c>
      <c r="B266" s="0" t="s">
        <v>613</v>
      </c>
      <c r="C266" s="0" t="s">
        <v>614</v>
      </c>
      <c r="E266" s="0" t="s">
        <v>615</v>
      </c>
      <c r="F266" s="0" t="s">
        <v>615</v>
      </c>
      <c r="G266" s="0" t="n">
        <v>24212.02</v>
      </c>
      <c r="I266" s="0" t="n">
        <f aca="false">VLOOKUP($A266,content_factors_backup!$A$2:$Q$468,I$525,FALSE())</f>
        <v>15</v>
      </c>
      <c r="J266" s="0" t="n">
        <f aca="false">'[1]Nutrient content per 100 grams'!D86</f>
        <v>83</v>
      </c>
      <c r="K266" s="0" t="n">
        <f aca="false">'[1]Nutrient content per 100 grams'!E86</f>
        <v>0.07</v>
      </c>
      <c r="L266" s="0" t="n">
        <f aca="false">'[1]Nutrient content per 100 grams'!F86</f>
        <v>0</v>
      </c>
      <c r="M266" s="0" t="n">
        <f aca="false">'[1]Nutrient content per 100 grams'!G86</f>
        <v>0.13</v>
      </c>
      <c r="N266" s="0" t="n">
        <f aca="false">'[1]Nutrient content per 100 grams'!H86</f>
        <v>0.37</v>
      </c>
      <c r="O266" s="0" t="n">
        <f aca="false">'[1]Nutrient content per 100 grams'!I86</f>
        <v>8</v>
      </c>
      <c r="P266" s="0" t="n">
        <f aca="false">'[1]Nutrient content per 100 grams'!J86</f>
        <v>1</v>
      </c>
      <c r="Q266" s="0" t="n">
        <f aca="false">'[1]Nutrient content per 100 grams'!K86</f>
        <v>0.023</v>
      </c>
      <c r="R266" s="0" t="n">
        <f aca="false">'[1]Nutrient content per 100 grams'!L86</f>
        <v>5</v>
      </c>
      <c r="S266" s="0" t="n">
        <f aca="false">'[1]Nutrient content per 100 grams'!M86</f>
        <v>99</v>
      </c>
      <c r="T266" s="0" t="n">
        <f aca="false">'[1]Nutrient content per 100 grams'!N86</f>
        <v>0</v>
      </c>
      <c r="U266" s="0" t="n">
        <f aca="false">'[1]Nutrient content per 100 grams'!O86</f>
        <v>0</v>
      </c>
      <c r="V266" s="0" t="n">
        <f aca="false">'[1]Nutrient content per 100 grams'!P86</f>
        <v>0</v>
      </c>
      <c r="W266" s="0" t="n">
        <f aca="false">'[1]Nutrient content per 100 grams'!Q86</f>
        <v>11</v>
      </c>
      <c r="X266" s="0" t="n">
        <f aca="false">'[1]Nutrient content per 100 grams'!R86</f>
        <v>20</v>
      </c>
      <c r="Y266" s="0" t="n">
        <f aca="false">'[1]Nutrient content per 100 grams'!S86</f>
        <v>0.007</v>
      </c>
      <c r="Z266" s="0" t="n">
        <f aca="false">'[1]Nutrient content per 100 grams'!T86</f>
        <v>0.124</v>
      </c>
      <c r="AA266" s="0" t="n">
        <f aca="false">'[1]Nutrient content per 100 grams'!U86</f>
        <v>0.2</v>
      </c>
      <c r="AB266" s="0" t="n">
        <f aca="false">'[1]Nutrient content per 100 grams'!V86</f>
        <v>0</v>
      </c>
      <c r="AC266" s="0" t="n">
        <f aca="false">'[1]Nutrient content per 100 grams'!W86</f>
        <v>0.005</v>
      </c>
      <c r="AD266" s="0" t="n">
        <f aca="false">'[1]Nutrient content per 100 grams'!X86</f>
        <v>0.166</v>
      </c>
      <c r="AE266" s="0" t="n">
        <f aca="false">'[1]Nutrient content per 100 grams'!Y86</f>
        <v>0.037</v>
      </c>
      <c r="AF266" s="0" t="n">
        <f aca="false">'[1]Nutrient content per 100 grams'!Z86</f>
        <v>0.054</v>
      </c>
      <c r="AG266" s="0" t="n">
        <f aca="false">'[1]Nutrient content per 100 grams'!AA86</f>
        <v>0</v>
      </c>
    </row>
    <row r="267" customFormat="false" ht="14.25" hidden="false" customHeight="false" outlineLevel="0" collapsed="false">
      <c r="A267" s="0" t="n">
        <v>565</v>
      </c>
      <c r="B267" s="0" t="s">
        <v>616</v>
      </c>
      <c r="C267" s="0" t="s">
        <v>617</v>
      </c>
      <c r="E267" s="0" t="s">
        <v>618</v>
      </c>
      <c r="F267" s="0" t="s">
        <v>618</v>
      </c>
      <c r="G267" s="0" t="n">
        <v>24220</v>
      </c>
      <c r="I267" s="0" t="n">
        <f aca="false">VLOOKUP($A267,content_factors_backup!$A$2:$Q$468,I$525,FALSE())</f>
        <v>25</v>
      </c>
      <c r="J267" s="0" t="n">
        <f aca="false">'[1]Nutrient content per 100 grams'!D87</f>
        <v>121.5</v>
      </c>
      <c r="K267" s="0" t="n">
        <f aca="false">'[1]Nutrient content per 100 grams'!E87</f>
        <v>0.28</v>
      </c>
      <c r="L267" s="0" t="n">
        <f aca="false">'[1]Nutrient content per 100 grams'!F87</f>
        <v>0</v>
      </c>
      <c r="M267" s="0" t="n">
        <f aca="false">'[1]Nutrient content per 100 grams'!G87</f>
        <v>0.09</v>
      </c>
      <c r="N267" s="0" t="n">
        <f aca="false">'[1]Nutrient content per 100 grams'!H87</f>
        <v>0.22</v>
      </c>
      <c r="O267" s="0" t="n">
        <f aca="false">'[1]Nutrient content per 100 grams'!I87</f>
        <v>9</v>
      </c>
      <c r="P267" s="0" t="n">
        <f aca="false">'[1]Nutrient content per 100 grams'!J87</f>
        <v>0.5</v>
      </c>
      <c r="Q267" s="0" t="n">
        <f aca="false">'[1]Nutrient content per 100 grams'!K87</f>
        <v>0.0165</v>
      </c>
      <c r="R267" s="0" t="n">
        <f aca="false">'[1]Nutrient content per 100 grams'!L87</f>
        <v>2.5</v>
      </c>
      <c r="S267" s="0" t="n">
        <f aca="false">'[1]Nutrient content per 100 grams'!M87</f>
        <v>75.5</v>
      </c>
      <c r="T267" s="0" t="n">
        <f aca="false">'[1]Nutrient content per 100 grams'!N87</f>
        <v>0</v>
      </c>
      <c r="U267" s="0" t="n">
        <f aca="false">'[1]Nutrient content per 100 grams'!O87</f>
        <v>0</v>
      </c>
      <c r="V267" s="0" t="n">
        <f aca="false">'[1]Nutrient content per 100 grams'!P87</f>
        <v>0</v>
      </c>
      <c r="W267" s="0" t="n">
        <f aca="false">'[1]Nutrient content per 100 grams'!Q87</f>
        <v>9.5</v>
      </c>
      <c r="X267" s="0" t="n">
        <f aca="false">'[1]Nutrient content per 100 grams'!R87</f>
        <v>13.5</v>
      </c>
      <c r="Y267" s="0" t="n">
        <f aca="false">'[1]Nutrient content per 100 grams'!S87</f>
        <v>0.025</v>
      </c>
      <c r="Z267" s="0" t="n">
        <f aca="false">'[1]Nutrient content per 100 grams'!T87</f>
        <v>0.125</v>
      </c>
      <c r="AA267" s="0" t="n">
        <f aca="false">'[1]Nutrient content per 100 grams'!U87</f>
        <v>0.35</v>
      </c>
      <c r="AB267" s="0" t="n">
        <f aca="false">'[1]Nutrient content per 100 grams'!V87</f>
        <v>0</v>
      </c>
      <c r="AC267" s="0" t="n">
        <f aca="false">'[1]Nutrient content per 100 grams'!W87</f>
        <v>0.019</v>
      </c>
      <c r="AD267" s="0" t="n">
        <f aca="false">'[1]Nutrient content per 100 grams'!X87</f>
        <v>0.1515</v>
      </c>
      <c r="AE267" s="0" t="n">
        <f aca="false">'[1]Nutrient content per 100 grams'!Y87</f>
        <v>0.09</v>
      </c>
      <c r="AF267" s="0" t="n">
        <f aca="false">'[1]Nutrient content per 100 grams'!Z87</f>
        <v>0.0185</v>
      </c>
      <c r="AG267" s="0" t="n">
        <f aca="false">'[1]Nutrient content per 100 grams'!AA87</f>
        <v>0</v>
      </c>
    </row>
    <row r="268" customFormat="false" ht="14.25" hidden="false" customHeight="false" outlineLevel="0" collapsed="false">
      <c r="A268" s="0" t="n">
        <v>567</v>
      </c>
      <c r="B268" s="0" t="s">
        <v>619</v>
      </c>
      <c r="C268" s="0" t="s">
        <v>620</v>
      </c>
      <c r="E268" s="0" t="n">
        <v>80711</v>
      </c>
      <c r="F268" s="0" t="n">
        <v>80711</v>
      </c>
      <c r="G268" s="0" t="n">
        <v>1221</v>
      </c>
      <c r="I268" s="0" t="n">
        <f aca="false">VLOOKUP($A268,content_factors_backup!$A$2:$Q$468,I$525,FALSE())</f>
        <v>7</v>
      </c>
      <c r="J268" s="0" t="n">
        <f aca="false">'[1]Nutrient content per 100 grams'!D88</f>
        <v>30</v>
      </c>
      <c r="K268" s="0" t="n">
        <f aca="false">'[1]Nutrient content per 100 grams'!E88</f>
        <v>0.61</v>
      </c>
      <c r="L268" s="0" t="n">
        <f aca="false">'[1]Nutrient content per 100 grams'!F88</f>
        <v>0.4</v>
      </c>
      <c r="M268" s="0" t="n">
        <f aca="false">'[1]Nutrient content per 100 grams'!G88</f>
        <v>0.1</v>
      </c>
      <c r="N268" s="0" t="n">
        <f aca="false">'[1]Nutrient content per 100 grams'!H88</f>
        <v>0.24</v>
      </c>
      <c r="O268" s="0" t="n">
        <f aca="false">'[1]Nutrient content per 100 grams'!I88</f>
        <v>7</v>
      </c>
      <c r="P268" s="0" t="n">
        <f aca="false">'[1]Nutrient content per 100 grams'!J88</f>
        <v>3</v>
      </c>
      <c r="Q268" s="0" t="n">
        <f aca="false">'[1]Nutrient content per 100 grams'!K88</f>
        <v>0.021</v>
      </c>
      <c r="R268" s="0" t="n">
        <f aca="false">'[1]Nutrient content per 100 grams'!L88</f>
        <v>4.1</v>
      </c>
      <c r="S268" s="0" t="n">
        <f aca="false">'[1]Nutrient content per 100 grams'!M88</f>
        <v>112</v>
      </c>
      <c r="T268" s="0" t="n">
        <f aca="false">'[1]Nutrient content per 100 grams'!N88</f>
        <v>0.05</v>
      </c>
      <c r="U268" s="0" t="n">
        <f aca="false">'[1]Nutrient content per 100 grams'!O88</f>
        <v>0.1</v>
      </c>
      <c r="V268" s="0" t="n">
        <f aca="false">'[1]Nutrient content per 100 grams'!P88</f>
        <v>28</v>
      </c>
      <c r="W268" s="0" t="n">
        <f aca="false">'[1]Nutrient content per 100 grams'!Q88</f>
        <v>10</v>
      </c>
      <c r="X268" s="0" t="n">
        <f aca="false">'[1]Nutrient content per 100 grams'!R88</f>
        <v>11</v>
      </c>
      <c r="Y268" s="0" t="n">
        <f aca="false">'[1]Nutrient content per 100 grams'!S88</f>
        <v>0.042</v>
      </c>
      <c r="Z268" s="0" t="n">
        <f aca="false">'[1]Nutrient content per 100 grams'!T88</f>
        <v>0.038</v>
      </c>
      <c r="AA268" s="0" t="n">
        <f aca="false">'[1]Nutrient content per 100 grams'!U88</f>
        <v>0.4</v>
      </c>
      <c r="AB268" s="0" t="n">
        <f aca="false">'[1]Nutrient content per 100 grams'!V88</f>
        <v>8.1</v>
      </c>
      <c r="AC268" s="0" t="n">
        <f aca="false">'[1]Nutrient content per 100 grams'!W88</f>
        <v>0.033</v>
      </c>
      <c r="AD268" s="0" t="n">
        <f aca="false">'[1]Nutrient content per 100 grams'!X88</f>
        <v>0.178</v>
      </c>
      <c r="AE268" s="0" t="n">
        <f aca="false">'[1]Nutrient content per 100 grams'!Y88</f>
        <v>0.221</v>
      </c>
      <c r="AF268" s="0" t="n">
        <f aca="false">'[1]Nutrient content per 100 grams'!Z88</f>
        <v>0.045</v>
      </c>
      <c r="AG268" s="0" t="n">
        <f aca="false">'[1]Nutrient content per 100 grams'!AA88</f>
        <v>0.05</v>
      </c>
    </row>
    <row r="269" customFormat="false" ht="14.25" hidden="false" customHeight="false" outlineLevel="0" collapsed="false">
      <c r="A269" s="0" t="n">
        <v>568</v>
      </c>
      <c r="B269" s="0" t="s">
        <v>621</v>
      </c>
      <c r="C269" s="0" t="s">
        <v>622</v>
      </c>
      <c r="E269" s="0" t="n">
        <v>80719</v>
      </c>
      <c r="F269" s="0" t="n">
        <v>80719</v>
      </c>
      <c r="G269" s="0" t="n">
        <v>1229</v>
      </c>
      <c r="I269" s="0" t="n">
        <f aca="false">VLOOKUP($A269,content_factors_backup!$A$2:$Q$468,I$525,FALSE())</f>
        <v>10</v>
      </c>
      <c r="J269" s="0" t="n">
        <f aca="false">'[1]Nutrient content per 100 grams'!D89</f>
        <v>32.6666666666667</v>
      </c>
      <c r="K269" s="0" t="n">
        <f aca="false">'[1]Nutrient content per 100 grams'!E89</f>
        <v>0.83</v>
      </c>
      <c r="L269" s="0" t="n">
        <f aca="false">'[1]Nutrient content per 100 grams'!F89</f>
        <v>0.866666666666667</v>
      </c>
      <c r="M269" s="0" t="n">
        <f aca="false">'[1]Nutrient content per 100 grams'!G89</f>
        <v>0.113333333333333</v>
      </c>
      <c r="N269" s="0" t="n">
        <f aca="false">'[1]Nutrient content per 100 grams'!H89</f>
        <v>0.24</v>
      </c>
      <c r="O269" s="0" t="n">
        <f aca="false">'[1]Nutrient content per 100 grams'!I89</f>
        <v>8.66666666666667</v>
      </c>
      <c r="P269" s="0" t="n">
        <f aca="false">'[1]Nutrient content per 100 grams'!J89</f>
        <v>16</v>
      </c>
      <c r="Q269" s="0" t="n">
        <f aca="false">'[1]Nutrient content per 100 grams'!K89</f>
        <v>0.0206666666666667</v>
      </c>
      <c r="R269" s="0" t="n">
        <f aca="false">'[1]Nutrient content per 100 grams'!L89</f>
        <v>7.6</v>
      </c>
      <c r="S269" s="0" t="n">
        <f aca="false">'[1]Nutrient content per 100 grams'!M89</f>
        <v>225.666666666667</v>
      </c>
      <c r="T269" s="0" t="n">
        <f aca="false">'[1]Nutrient content per 100 grams'!N89</f>
        <v>0.04</v>
      </c>
      <c r="U269" s="0" t="n">
        <f aca="false">'[1]Nutrient content per 100 grams'!O89</f>
        <v>2.63333333333333</v>
      </c>
      <c r="V269" s="0" t="n">
        <f aca="false">'[1]Nutrient content per 100 grams'!P89</f>
        <v>57.3333333333333</v>
      </c>
      <c r="W269" s="0" t="n">
        <f aca="false">'[1]Nutrient content per 100 grams'!Q89</f>
        <v>11</v>
      </c>
      <c r="X269" s="0" t="n">
        <f aca="false">'[1]Nutrient content per 100 grams'!R89</f>
        <v>10.3333333333333</v>
      </c>
      <c r="Y269" s="0" t="n">
        <f aca="false">'[1]Nutrient content per 100 grams'!S89</f>
        <v>0.0416666666666667</v>
      </c>
      <c r="Z269" s="0" t="n">
        <f aca="false">'[1]Nutrient content per 100 grams'!T89</f>
        <v>0.0343333333333333</v>
      </c>
      <c r="AA269" s="0" t="n">
        <f aca="false">'[1]Nutrient content per 100 grams'!U89</f>
        <v>0.5</v>
      </c>
      <c r="AB269" s="0" t="n">
        <f aca="false">'[1]Nutrient content per 100 grams'!V89</f>
        <v>25.5</v>
      </c>
      <c r="AC269" s="0" t="n">
        <f aca="false">'[1]Nutrient content per 100 grams'!W89</f>
        <v>0.0313333333333333</v>
      </c>
      <c r="AD269" s="0" t="n">
        <f aca="false">'[1]Nutrient content per 100 grams'!X89</f>
        <v>0.461333333333333</v>
      </c>
      <c r="AE269" s="0" t="n">
        <f aca="false">'[1]Nutrient content per 100 grams'!Y89</f>
        <v>0.114666666666667</v>
      </c>
      <c r="AF269" s="0" t="n">
        <f aca="false">'[1]Nutrient content per 100 grams'!Z89</f>
        <v>0.107666666666667</v>
      </c>
      <c r="AG269" s="0" t="n">
        <f aca="false">'[1]Nutrient content per 100 grams'!AA89</f>
        <v>0.0596666666666667</v>
      </c>
    </row>
    <row r="270" customFormat="false" ht="14.25" hidden="false" customHeight="false" outlineLevel="0" collapsed="false">
      <c r="A270" s="0" t="n">
        <v>569</v>
      </c>
      <c r="B270" s="0" t="s">
        <v>623</v>
      </c>
      <c r="C270" s="0" t="s">
        <v>624</v>
      </c>
      <c r="E270" s="0" t="n">
        <v>80420</v>
      </c>
      <c r="F270" s="0" t="n">
        <v>80420</v>
      </c>
      <c r="G270" s="0" t="n">
        <v>1315</v>
      </c>
      <c r="I270" s="0" t="n">
        <f aca="false">VLOOKUP($A270,content_factors_backup!$A$2:$Q$468,I$525,FALSE())</f>
        <v>23</v>
      </c>
      <c r="J270" s="0" t="n">
        <f aca="false">'[1]Nutrient content per 100 grams'!D90</f>
        <v>74</v>
      </c>
      <c r="K270" s="0" t="n">
        <f aca="false">'[1]Nutrient content per 100 grams'!E90</f>
        <v>0.75</v>
      </c>
      <c r="L270" s="0" t="n">
        <f aca="false">'[1]Nutrient content per 100 grams'!F90</f>
        <v>2.9</v>
      </c>
      <c r="M270" s="0" t="n">
        <f aca="false">'[1]Nutrient content per 100 grams'!G90</f>
        <v>0.15</v>
      </c>
      <c r="N270" s="0" t="n">
        <f aca="false">'[1]Nutrient content per 100 grams'!H90</f>
        <v>0.37</v>
      </c>
      <c r="O270" s="0" t="n">
        <f aca="false">'[1]Nutrient content per 100 grams'!I90</f>
        <v>35</v>
      </c>
      <c r="P270" s="0" t="n">
        <f aca="false">'[1]Nutrient content per 100 grams'!J90</f>
        <v>6</v>
      </c>
      <c r="Q270" s="0" t="n">
        <f aca="false">'[1]Nutrient content per 100 grams'!K90</f>
        <v>0.05</v>
      </c>
      <c r="R270" s="0" t="n">
        <f aca="false">'[1]Nutrient content per 100 grams'!L90</f>
        <v>4.7</v>
      </c>
      <c r="S270" s="0" t="n">
        <f aca="false">'[1]Nutrient content per 100 grams'!M90</f>
        <v>232</v>
      </c>
      <c r="T270" s="0" t="n">
        <f aca="false">'[1]Nutrient content per 100 grams'!N90</f>
        <v>0.11</v>
      </c>
      <c r="U270" s="0" t="n">
        <f aca="false">'[1]Nutrient content per 100 grams'!O90</f>
        <v>4.7</v>
      </c>
      <c r="V270" s="0" t="n">
        <f aca="false">'[1]Nutrient content per 100 grams'!P90</f>
        <v>7</v>
      </c>
      <c r="W270" s="0" t="n">
        <f aca="false">'[1]Nutrient content per 100 grams'!Q90</f>
        <v>17</v>
      </c>
      <c r="X270" s="0" t="n">
        <f aca="false">'[1]Nutrient content per 100 grams'!R90</f>
        <v>14</v>
      </c>
      <c r="Y270" s="0" t="n">
        <f aca="false">'[1]Nutrient content per 100 grams'!S90</f>
        <v>0.07</v>
      </c>
      <c r="Z270" s="0" t="n">
        <f aca="false">'[1]Nutrient content per 100 grams'!T90</f>
        <v>0.128</v>
      </c>
      <c r="AA270" s="0" t="n">
        <f aca="false">'[1]Nutrient content per 100 grams'!U90</f>
        <v>0.2</v>
      </c>
      <c r="AB270" s="0" t="n">
        <f aca="false">'[1]Nutrient content per 100 grams'!V90</f>
        <v>2</v>
      </c>
      <c r="AC270" s="0" t="n">
        <f aca="false">'[1]Nutrient content per 100 grams'!W90</f>
        <v>0.06</v>
      </c>
      <c r="AD270" s="0" t="n">
        <f aca="false">'[1]Nutrient content per 100 grams'!X90</f>
        <v>0.4</v>
      </c>
      <c r="AE270" s="0" t="n">
        <f aca="false">'[1]Nutrient content per 100 grams'!Y90</f>
        <v>0.3</v>
      </c>
      <c r="AF270" s="0" t="n">
        <f aca="false">'[1]Nutrient content per 100 grams'!Z90</f>
        <v>0.113</v>
      </c>
      <c r="AG270" s="0" t="n">
        <f aca="false">'[1]Nutrient content per 100 grams'!AA90</f>
        <v>0.144</v>
      </c>
    </row>
    <row r="271" customFormat="false" ht="14.25" hidden="false" customHeight="false" outlineLevel="0" collapsed="false">
      <c r="A271" s="0" t="n">
        <v>570</v>
      </c>
      <c r="B271" s="0" t="s">
        <v>625</v>
      </c>
      <c r="C271" s="0" t="s">
        <v>626</v>
      </c>
      <c r="E271" s="0" t="n">
        <v>80420</v>
      </c>
      <c r="F271" s="0" t="n">
        <v>80420</v>
      </c>
      <c r="G271" s="0" t="n">
        <v>21419.02</v>
      </c>
      <c r="I271" s="0" t="n">
        <f aca="false">VLOOKUP($A271,content_factors_backup!$A$2:$Q$468,I$525,FALSE())</f>
        <v>85</v>
      </c>
      <c r="J271" s="0" t="n">
        <f aca="false">'[1]Nutrient content per 100 grams'!D91</f>
        <v>249</v>
      </c>
      <c r="K271" s="0" t="n">
        <f aca="false">'[1]Nutrient content per 100 grams'!E91</f>
        <v>3.3</v>
      </c>
      <c r="L271" s="0" t="n">
        <f aca="false">'[1]Nutrient content per 100 grams'!F91</f>
        <v>9.8</v>
      </c>
      <c r="M271" s="0" t="n">
        <f aca="false">'[1]Nutrient content per 100 grams'!G91</f>
        <v>0.55</v>
      </c>
      <c r="N271" s="0" t="n">
        <f aca="false">'[1]Nutrient content per 100 grams'!H91</f>
        <v>2.03</v>
      </c>
      <c r="O271" s="0" t="n">
        <f aca="false">'[1]Nutrient content per 100 grams'!I91</f>
        <v>162</v>
      </c>
      <c r="P271" s="0" t="n">
        <f aca="false">'[1]Nutrient content per 100 grams'!J91</f>
        <v>9</v>
      </c>
      <c r="Q271" s="0" t="n">
        <f aca="false">'[1]Nutrient content per 100 grams'!K91</f>
        <v>0.082</v>
      </c>
      <c r="R271" s="0" t="n">
        <f aca="false">'[1]Nutrient content per 100 grams'!L91</f>
        <v>15.8</v>
      </c>
      <c r="S271" s="0" t="n">
        <f aca="false">'[1]Nutrient content per 100 grams'!M91</f>
        <v>680</v>
      </c>
      <c r="T271" s="0" t="n">
        <f aca="false">'[1]Nutrient content per 100 grams'!N91</f>
        <v>0.35</v>
      </c>
      <c r="U271" s="0" t="n">
        <f aca="false">'[1]Nutrient content per 100 grams'!O91</f>
        <v>15.6</v>
      </c>
      <c r="V271" s="0" t="n">
        <f aca="false">'[1]Nutrient content per 100 grams'!P91</f>
        <v>0</v>
      </c>
      <c r="W271" s="0" t="n">
        <f aca="false">'[1]Nutrient content per 100 grams'!Q91</f>
        <v>68</v>
      </c>
      <c r="X271" s="0" t="n">
        <f aca="false">'[1]Nutrient content per 100 grams'!R91</f>
        <v>67</v>
      </c>
      <c r="Y271" s="0" t="n">
        <f aca="false">'[1]Nutrient content per 100 grams'!S91</f>
        <v>0.287</v>
      </c>
      <c r="Z271" s="0" t="n">
        <f aca="false">'[1]Nutrient content per 100 grams'!T91</f>
        <v>0.51</v>
      </c>
      <c r="AA271" s="0" t="n">
        <f aca="false">'[1]Nutrient content per 100 grams'!U91</f>
        <v>0.6</v>
      </c>
      <c r="AB271" s="0" t="n">
        <f aca="false">'[1]Nutrient content per 100 grams'!V91</f>
        <v>1.2</v>
      </c>
      <c r="AC271" s="0" t="n">
        <f aca="false">'[1]Nutrient content per 100 grams'!W91</f>
        <v>0.085</v>
      </c>
      <c r="AD271" s="0" t="n">
        <f aca="false">'[1]Nutrient content per 100 grams'!X91</f>
        <v>0.619</v>
      </c>
      <c r="AE271" s="0" t="n">
        <f aca="false">'[1]Nutrient content per 100 grams'!Y91</f>
        <v>0.434</v>
      </c>
      <c r="AF271" s="0" t="n">
        <f aca="false">'[1]Nutrient content per 100 grams'!Z91</f>
        <v>0.106</v>
      </c>
      <c r="AG271" s="0" t="n">
        <f aca="false">'[1]Nutrient content per 100 grams'!AA91</f>
        <v>0.345</v>
      </c>
    </row>
    <row r="272" customFormat="false" ht="14.25" hidden="false" customHeight="false" outlineLevel="0" collapsed="false">
      <c r="A272" s="0" t="n">
        <v>571</v>
      </c>
      <c r="B272" s="0" t="s">
        <v>627</v>
      </c>
      <c r="C272" s="0" t="s">
        <v>628</v>
      </c>
      <c r="E272" s="0" t="n">
        <v>80450</v>
      </c>
      <c r="F272" s="0" t="n">
        <v>80450</v>
      </c>
      <c r="G272" s="0" t="n">
        <v>1316</v>
      </c>
      <c r="I272" s="0" t="n">
        <f aca="false">VLOOKUP($A272,content_factors_backup!$A$2:$Q$468,I$525,FALSE())</f>
        <v>18</v>
      </c>
      <c r="J272" s="0" t="n">
        <f aca="false">'[1]Nutrient content per 100 grams'!D92</f>
        <v>60</v>
      </c>
      <c r="K272" s="0" t="n">
        <f aca="false">'[1]Nutrient content per 100 grams'!E92</f>
        <v>0.82</v>
      </c>
      <c r="L272" s="0" t="n">
        <f aca="false">'[1]Nutrient content per 100 grams'!F92</f>
        <v>1.6</v>
      </c>
      <c r="M272" s="0" t="n">
        <f aca="false">'[1]Nutrient content per 100 grams'!G92</f>
        <v>0.09</v>
      </c>
      <c r="N272" s="0" t="n">
        <f aca="false">'[1]Nutrient content per 100 grams'!H92</f>
        <v>0.16</v>
      </c>
      <c r="O272" s="0" t="n">
        <f aca="false">'[1]Nutrient content per 100 grams'!I92</f>
        <v>11</v>
      </c>
      <c r="P272" s="0" t="n">
        <f aca="false">'[1]Nutrient content per 100 grams'!J92</f>
        <v>43</v>
      </c>
      <c r="Q272" s="0" t="n">
        <f aca="false">'[1]Nutrient content per 100 grams'!K92</f>
        <v>0.038</v>
      </c>
      <c r="R272" s="0" t="n">
        <f aca="false">'[1]Nutrient content per 100 grams'!L92</f>
        <v>7.6</v>
      </c>
      <c r="S272" s="0" t="n">
        <f aca="false">'[1]Nutrient content per 100 grams'!M92</f>
        <v>168</v>
      </c>
      <c r="T272" s="0" t="n">
        <f aca="false">'[1]Nutrient content per 100 grams'!N92</f>
        <v>0.9</v>
      </c>
      <c r="U272" s="0" t="n">
        <f aca="false">'[1]Nutrient content per 100 grams'!O92</f>
        <v>4.2</v>
      </c>
      <c r="V272" s="0" t="n">
        <f aca="false">'[1]Nutrient content per 100 grams'!P92</f>
        <v>54</v>
      </c>
      <c r="W272" s="0" t="n">
        <f aca="false">'[1]Nutrient content per 100 grams'!Q92</f>
        <v>10</v>
      </c>
      <c r="X272" s="0" t="n">
        <f aca="false">'[1]Nutrient content per 100 grams'!R92</f>
        <v>14</v>
      </c>
      <c r="Y272" s="0" t="n">
        <f aca="false">'[1]Nutrient content per 100 grams'!S92</f>
        <v>0.111</v>
      </c>
      <c r="Z272" s="0" t="n">
        <f aca="false">'[1]Nutrient content per 100 grams'!T92</f>
        <v>0.063</v>
      </c>
      <c r="AA272" s="0" t="n">
        <f aca="false">'[1]Nutrient content per 100 grams'!U92</f>
        <v>0.6</v>
      </c>
      <c r="AB272" s="0" t="n">
        <f aca="false">'[1]Nutrient content per 100 grams'!V92</f>
        <v>36.4</v>
      </c>
      <c r="AC272" s="0" t="n">
        <f aca="false">'[1]Nutrient content per 100 grams'!W92</f>
        <v>0.028</v>
      </c>
      <c r="AD272" s="0" t="n">
        <f aca="false">'[1]Nutrient content per 100 grams'!X92</f>
        <v>0.669</v>
      </c>
      <c r="AE272" s="0" t="n">
        <f aca="false">'[1]Nutrient content per 100 grams'!Y92</f>
        <v>0.197</v>
      </c>
      <c r="AF272" s="0" t="n">
        <f aca="false">'[1]Nutrient content per 100 grams'!Z92</f>
        <v>0.119</v>
      </c>
      <c r="AG272" s="0" t="n">
        <f aca="false">'[1]Nutrient content per 100 grams'!AA92</f>
        <v>0.071</v>
      </c>
    </row>
    <row r="273" customFormat="false" ht="14.25" hidden="false" customHeight="false" outlineLevel="0" collapsed="false">
      <c r="A273" s="0" t="n">
        <v>572</v>
      </c>
      <c r="B273" s="0" t="s">
        <v>629</v>
      </c>
      <c r="C273" s="0" t="s">
        <v>630</v>
      </c>
      <c r="E273" s="0" t="n">
        <v>80440</v>
      </c>
      <c r="F273" s="0" t="n">
        <v>80440</v>
      </c>
      <c r="G273" s="0" t="n">
        <v>1311</v>
      </c>
      <c r="I273" s="0" t="n">
        <f aca="false">VLOOKUP($A273,content_factors_backup!$A$2:$Q$468,I$525,FALSE())</f>
        <v>26</v>
      </c>
      <c r="J273" s="0" t="n">
        <f aca="false">'[1]Nutrient content per 100 grams'!D93</f>
        <v>160</v>
      </c>
      <c r="K273" s="0" t="n">
        <f aca="false">'[1]Nutrient content per 100 grams'!E93</f>
        <v>2</v>
      </c>
      <c r="L273" s="0" t="n">
        <f aca="false">'[1]Nutrient content per 100 grams'!F93</f>
        <v>6.7</v>
      </c>
      <c r="M273" s="0" t="n">
        <f aca="false">'[1]Nutrient content per 100 grams'!G93</f>
        <v>0.64</v>
      </c>
      <c r="N273" s="0" t="n">
        <f aca="false">'[1]Nutrient content per 100 grams'!H93</f>
        <v>0.55</v>
      </c>
      <c r="O273" s="0" t="n">
        <f aca="false">'[1]Nutrient content per 100 grams'!I93</f>
        <v>12</v>
      </c>
      <c r="P273" s="0" t="n">
        <f aca="false">'[1]Nutrient content per 100 grams'!J93</f>
        <v>81</v>
      </c>
      <c r="Q273" s="0" t="n">
        <f aca="false">'[1]Nutrient content per 100 grams'!K93</f>
        <v>0.13</v>
      </c>
      <c r="R273" s="0" t="n">
        <f aca="false">'[1]Nutrient content per 100 grams'!L93</f>
        <v>14.2</v>
      </c>
      <c r="S273" s="0" t="n">
        <f aca="false">'[1]Nutrient content per 100 grams'!M93</f>
        <v>485</v>
      </c>
      <c r="T273" s="0" t="n">
        <f aca="false">'[1]Nutrient content per 100 grams'!N93</f>
        <v>2.07</v>
      </c>
      <c r="U273" s="0" t="n">
        <f aca="false">'[1]Nutrient content per 100 grams'!O93</f>
        <v>21</v>
      </c>
      <c r="V273" s="0" t="n">
        <f aca="false">'[1]Nutrient content per 100 grams'!P93</f>
        <v>7</v>
      </c>
      <c r="W273" s="0" t="n">
        <f aca="false">'[1]Nutrient content per 100 grams'!Q93</f>
        <v>29</v>
      </c>
      <c r="X273" s="0" t="n">
        <f aca="false">'[1]Nutrient content per 100 grams'!R93</f>
        <v>52</v>
      </c>
      <c r="Y273" s="0" t="n">
        <f aca="false">'[1]Nutrient content per 100 grams'!S93</f>
        <v>0.19</v>
      </c>
      <c r="Z273" s="0" t="n">
        <f aca="false">'[1]Nutrient content per 100 grams'!T93</f>
        <v>0.142</v>
      </c>
      <c r="AA273" s="0" t="n">
        <f aca="false">'[1]Nutrient content per 100 grams'!U93</f>
        <v>0.4</v>
      </c>
      <c r="AB273" s="0" t="n">
        <f aca="false">'[1]Nutrient content per 100 grams'!V93</f>
        <v>10</v>
      </c>
      <c r="AC273" s="0" t="n">
        <f aca="false">'[1]Nutrient content per 100 grams'!W93</f>
        <v>0.067</v>
      </c>
      <c r="AD273" s="0" t="n">
        <f aca="false">'[1]Nutrient content per 100 grams'!X93</f>
        <v>1.738</v>
      </c>
      <c r="AE273" s="0" t="n">
        <f aca="false">'[1]Nutrient content per 100 grams'!Y93</f>
        <v>1.389</v>
      </c>
      <c r="AF273" s="0" t="n">
        <f aca="false">'[1]Nutrient content per 100 grams'!Z93</f>
        <v>0.257</v>
      </c>
      <c r="AG273" s="0" t="n">
        <f aca="false">'[1]Nutrient content per 100 grams'!AA93</f>
        <v>1.816</v>
      </c>
    </row>
    <row r="274" customFormat="false" ht="14.25" hidden="false" customHeight="false" outlineLevel="0" collapsed="false">
      <c r="A274" s="0" t="n">
        <v>574</v>
      </c>
      <c r="B274" s="0" t="s">
        <v>631</v>
      </c>
      <c r="C274" s="0" t="s">
        <v>632</v>
      </c>
      <c r="E274" s="0" t="n">
        <v>80430</v>
      </c>
      <c r="F274" s="0" t="n">
        <v>80430</v>
      </c>
      <c r="G274" s="0" t="n">
        <v>1318</v>
      </c>
      <c r="I274" s="0" t="n">
        <f aca="false">VLOOKUP($A274,content_factors_backup!$A$2:$Q$468,I$525,FALSE())</f>
        <v>15</v>
      </c>
      <c r="J274" s="0" t="n">
        <f aca="false">'[1]Nutrient content per 100 grams'!D94</f>
        <v>50</v>
      </c>
      <c r="K274" s="0" t="n">
        <f aca="false">'[1]Nutrient content per 100 grams'!E94</f>
        <v>0.54</v>
      </c>
      <c r="L274" s="0" t="n">
        <f aca="false">'[1]Nutrient content per 100 grams'!F94</f>
        <v>1.4</v>
      </c>
      <c r="M274" s="0" t="n">
        <f aca="false">'[1]Nutrient content per 100 grams'!G94</f>
        <v>0.12</v>
      </c>
      <c r="N274" s="0" t="n">
        <f aca="false">'[1]Nutrient content per 100 grams'!H94</f>
        <v>0.29</v>
      </c>
      <c r="O274" s="0" t="n">
        <f aca="false">'[1]Nutrient content per 100 grams'!I94</f>
        <v>13</v>
      </c>
      <c r="P274" s="0" t="n">
        <f aca="false">'[1]Nutrient content per 100 grams'!J94</f>
        <v>18</v>
      </c>
      <c r="Q274" s="0" t="n">
        <f aca="false">'[1]Nutrient content per 100 grams'!K94</f>
        <v>0.032</v>
      </c>
      <c r="R274" s="0" t="n">
        <f aca="false">'[1]Nutrient content per 100 grams'!L94</f>
        <v>5.5</v>
      </c>
      <c r="S274" s="0" t="n">
        <f aca="false">'[1]Nutrient content per 100 grams'!M94</f>
        <v>109</v>
      </c>
      <c r="T274" s="0" t="n">
        <f aca="false">'[1]Nutrient content per 100 grams'!N94</f>
        <v>0.02</v>
      </c>
      <c r="U274" s="0" t="n">
        <f aca="false">'[1]Nutrient content per 100 grams'!O94</f>
        <v>0.7</v>
      </c>
      <c r="V274" s="0" t="n">
        <f aca="false">'[1]Nutrient content per 100 grams'!P94</f>
        <v>3</v>
      </c>
      <c r="W274" s="0" t="n">
        <f aca="false">'[1]Nutrient content per 100 grams'!Q94</f>
        <v>12</v>
      </c>
      <c r="X274" s="0" t="n">
        <f aca="false">'[1]Nutrient content per 100 grams'!R94</f>
        <v>8</v>
      </c>
      <c r="Y274" s="0" t="n">
        <f aca="false">'[1]Nutrient content per 100 grams'!S94</f>
        <v>0.11</v>
      </c>
      <c r="Z274" s="0" t="n">
        <f aca="false">'[1]Nutrient content per 100 grams'!T94</f>
        <v>0.927</v>
      </c>
      <c r="AA274" s="0" t="n">
        <f aca="false">'[1]Nutrient content per 100 grams'!U94</f>
        <v>0.1</v>
      </c>
      <c r="AB274" s="0" t="n">
        <f aca="false">'[1]Nutrient content per 100 grams'!V94</f>
        <v>47.8</v>
      </c>
      <c r="AC274" s="0" t="n">
        <f aca="false">'[1]Nutrient content per 100 grams'!W94</f>
        <v>0.079</v>
      </c>
      <c r="AD274" s="0" t="n">
        <f aca="false">'[1]Nutrient content per 100 grams'!X94</f>
        <v>0.5</v>
      </c>
      <c r="AE274" s="0" t="n">
        <f aca="false">'[1]Nutrient content per 100 grams'!Y94</f>
        <v>0.213</v>
      </c>
      <c r="AF274" s="0" t="n">
        <f aca="false">'[1]Nutrient content per 100 grams'!Z94</f>
        <v>0.112</v>
      </c>
      <c r="AG274" s="0" t="n">
        <f aca="false">'[1]Nutrient content per 100 grams'!AA94</f>
        <v>0.04</v>
      </c>
    </row>
    <row r="275" customFormat="false" ht="14.25" hidden="false" customHeight="false" outlineLevel="0" collapsed="false">
      <c r="A275" s="0" t="n">
        <v>575</v>
      </c>
      <c r="B275" s="0" t="s">
        <v>633</v>
      </c>
      <c r="C275" s="0" t="s">
        <v>634</v>
      </c>
      <c r="E275" s="0" t="n">
        <v>200820</v>
      </c>
      <c r="F275" s="0" t="n">
        <v>200820</v>
      </c>
      <c r="G275" s="0" t="n">
        <v>21491</v>
      </c>
      <c r="I275" s="0" t="n">
        <f aca="false">VLOOKUP($A275,content_factors_backup!$A$2:$Q$468,I$525,FALSE())</f>
        <v>15</v>
      </c>
      <c r="J275" s="0" t="n">
        <f aca="false">'[1]Nutrient content per 100 grams'!D95</f>
        <v>32</v>
      </c>
      <c r="K275" s="0" t="n">
        <f aca="false">'[1]Nutrient content per 100 grams'!E95</f>
        <v>0.43</v>
      </c>
      <c r="L275" s="0" t="n">
        <f aca="false">'[1]Nutrient content per 100 grams'!F95</f>
        <v>0.8</v>
      </c>
      <c r="M275" s="0" t="n">
        <f aca="false">'[1]Nutrient content per 100 grams'!G95</f>
        <v>0.12</v>
      </c>
      <c r="N275" s="0" t="n">
        <f aca="false">'[1]Nutrient content per 100 grams'!H95</f>
        <v>0.4</v>
      </c>
      <c r="O275" s="0" t="n">
        <f aca="false">'[1]Nutrient content per 100 grams'!I95</f>
        <v>15</v>
      </c>
      <c r="P275" s="0" t="n">
        <f aca="false">'[1]Nutrient content per 100 grams'!J95</f>
        <v>5</v>
      </c>
      <c r="Q275" s="0" t="n">
        <f aca="false">'[1]Nutrient content per 100 grams'!K95</f>
        <v>0.026</v>
      </c>
      <c r="R275" s="0" t="n">
        <f aca="false">'[1]Nutrient content per 100 grams'!L95</f>
        <v>3.8</v>
      </c>
      <c r="S275" s="0" t="n">
        <f aca="false">'[1]Nutrient content per 100 grams'!M95</f>
        <v>127</v>
      </c>
      <c r="T275" s="0" t="n">
        <f aca="false">'[1]Nutrient content per 100 grams'!N95</f>
        <v>0.01</v>
      </c>
      <c r="U275" s="0" t="n">
        <f aca="false">'[1]Nutrient content per 100 grams'!O95</f>
        <v>0.3</v>
      </c>
      <c r="V275" s="0" t="n">
        <f aca="false">'[1]Nutrient content per 100 grams'!P95</f>
        <v>2</v>
      </c>
      <c r="W275" s="0" t="n">
        <f aca="false">'[1]Nutrient content per 100 grams'!Q95</f>
        <v>18</v>
      </c>
      <c r="X275" s="0" t="n">
        <f aca="false">'[1]Nutrient content per 100 grams'!R95</f>
        <v>4</v>
      </c>
      <c r="Y275" s="0" t="n">
        <f aca="false">'[1]Nutrient content per 100 grams'!S95</f>
        <v>0.105</v>
      </c>
      <c r="Z275" s="0" t="n">
        <f aca="false">'[1]Nutrient content per 100 grams'!T95</f>
        <v>1.121</v>
      </c>
      <c r="AA275" s="0" t="n">
        <f aca="false">'[1]Nutrient content per 100 grams'!U95</f>
        <v>0.4</v>
      </c>
      <c r="AB275" s="0" t="n">
        <f aca="false">'[1]Nutrient content per 100 grams'!V95</f>
        <v>7.7</v>
      </c>
      <c r="AC275" s="0" t="n">
        <f aca="false">'[1]Nutrient content per 100 grams'!W95</f>
        <v>0.093</v>
      </c>
      <c r="AD275" s="0" t="n">
        <f aca="false">'[1]Nutrient content per 100 grams'!X95</f>
        <v>0.298</v>
      </c>
      <c r="AE275" s="0" t="n">
        <f aca="false">'[1]Nutrient content per 100 grams'!Y95</f>
        <v>0.1</v>
      </c>
      <c r="AF275" s="0" t="n">
        <f aca="false">'[1]Nutrient content per 100 grams'!Z95</f>
        <v>0.074</v>
      </c>
      <c r="AG275" s="0" t="n">
        <f aca="false">'[1]Nutrient content per 100 grams'!AA95</f>
        <v>0.031</v>
      </c>
    </row>
    <row r="276" customFormat="false" ht="14.25" hidden="false" customHeight="false" outlineLevel="0" collapsed="false">
      <c r="A276" s="0" t="n">
        <v>576</v>
      </c>
      <c r="B276" s="0" t="s">
        <v>635</v>
      </c>
      <c r="C276" s="0" t="s">
        <v>550</v>
      </c>
      <c r="E276" s="0" t="n">
        <v>200941</v>
      </c>
      <c r="F276" s="0" t="n">
        <v>200941</v>
      </c>
      <c r="G276" s="0" t="n">
        <v>21433</v>
      </c>
      <c r="I276" s="0" t="n">
        <f aca="false">VLOOKUP($A276,content_factors_backup!$A$2:$Q$468,I$525,FALSE())</f>
        <v>10</v>
      </c>
      <c r="J276" s="0" t="n">
        <f aca="false">'[1]Nutrient content per 100 grams'!D96</f>
        <v>53</v>
      </c>
      <c r="K276" s="0" t="n">
        <f aca="false">'[1]Nutrient content per 100 grams'!E96</f>
        <v>0.36</v>
      </c>
      <c r="L276" s="0" t="n">
        <f aca="false">'[1]Nutrient content per 100 grams'!F96</f>
        <v>0.2</v>
      </c>
      <c r="M276" s="0" t="n">
        <f aca="false">'[1]Nutrient content per 100 grams'!G96</f>
        <v>0.11</v>
      </c>
      <c r="N276" s="0" t="n">
        <f aca="false">'[1]Nutrient content per 100 grams'!H96</f>
        <v>0.31</v>
      </c>
      <c r="O276" s="0" t="n">
        <f aca="false">'[1]Nutrient content per 100 grams'!I96</f>
        <v>13</v>
      </c>
      <c r="P276" s="0" t="n">
        <f aca="false">'[1]Nutrient content per 100 grams'!J96</f>
        <v>18</v>
      </c>
      <c r="Q276" s="0" t="n">
        <f aca="false">'[1]Nutrient content per 100 grams'!K96</f>
        <v>0.021</v>
      </c>
      <c r="R276" s="0" t="n">
        <f aca="false">'[1]Nutrient content per 100 grams'!L96</f>
        <v>3.3</v>
      </c>
      <c r="S276" s="0" t="n">
        <f aca="false">'[1]Nutrient content per 100 grams'!M96</f>
        <v>130</v>
      </c>
      <c r="T276" s="0" t="n">
        <f aca="false">'[1]Nutrient content per 100 grams'!N96</f>
        <v>0.02</v>
      </c>
      <c r="U276" s="0" t="n">
        <f aca="false">'[1]Nutrient content per 100 grams'!O96</f>
        <v>0.3</v>
      </c>
      <c r="V276" s="0" t="n">
        <f aca="false">'[1]Nutrient content per 100 grams'!P96</f>
        <v>0</v>
      </c>
      <c r="W276" s="0" t="n">
        <f aca="false">'[1]Nutrient content per 100 grams'!Q96</f>
        <v>12</v>
      </c>
      <c r="X276" s="0" t="n">
        <f aca="false">'[1]Nutrient content per 100 grams'!R96</f>
        <v>8</v>
      </c>
      <c r="Y276" s="0" t="n">
        <f aca="false">'[1]Nutrient content per 100 grams'!S96</f>
        <v>0.069</v>
      </c>
      <c r="Z276" s="0" t="n">
        <f aca="false">'[1]Nutrient content per 100 grams'!T96</f>
        <v>0.504</v>
      </c>
      <c r="AA276" s="0" t="n">
        <f aca="false">'[1]Nutrient content per 100 grams'!U96</f>
        <v>0.1</v>
      </c>
      <c r="AB276" s="0" t="n">
        <f aca="false">'[1]Nutrient content per 100 grams'!V96</f>
        <v>10</v>
      </c>
      <c r="AC276" s="0" t="n">
        <f aca="false">'[1]Nutrient content per 100 grams'!W96</f>
        <v>0.058</v>
      </c>
      <c r="AD276" s="0" t="n">
        <f aca="false">'[1]Nutrient content per 100 grams'!X96</f>
        <v>0.199</v>
      </c>
      <c r="AE276" s="0" t="n">
        <f aca="false">'[1]Nutrient content per 100 grams'!Y96</f>
        <v>0.056</v>
      </c>
      <c r="AF276" s="0" t="n">
        <f aca="false">'[1]Nutrient content per 100 grams'!Z96</f>
        <v>0.1</v>
      </c>
      <c r="AG276" s="0" t="n">
        <f aca="false">'[1]Nutrient content per 100 grams'!AA96</f>
        <v>0.042</v>
      </c>
    </row>
    <row r="277" customFormat="false" ht="14.25" hidden="false" customHeight="false" outlineLevel="0" collapsed="false">
      <c r="A277" s="0" t="n">
        <v>577</v>
      </c>
      <c r="B277" s="0" t="s">
        <v>636</v>
      </c>
      <c r="C277" s="0" t="s">
        <v>637</v>
      </c>
      <c r="E277" s="0" t="n">
        <v>80410</v>
      </c>
      <c r="F277" s="0" t="n">
        <v>80410</v>
      </c>
      <c r="G277" s="0" t="n">
        <v>1314</v>
      </c>
      <c r="I277" s="0" t="n">
        <f aca="false">VLOOKUP($A277,content_factors_backup!$A$2:$Q$468,I$525,FALSE())</f>
        <v>78</v>
      </c>
      <c r="J277" s="0" t="n">
        <f aca="false">'[1]Nutrient content per 100 grams'!D97</f>
        <v>279.5</v>
      </c>
      <c r="K277" s="0" t="n">
        <f aca="false">'[1]Nutrient content per 100 grams'!E97</f>
        <v>2.13</v>
      </c>
      <c r="L277" s="0" t="n">
        <f aca="false">'[1]Nutrient content per 100 grams'!F97</f>
        <v>7.35</v>
      </c>
      <c r="M277" s="0" t="n">
        <f aca="false">'[1]Nutrient content per 100 grams'!G97</f>
        <v>0.365</v>
      </c>
      <c r="N277" s="0" t="n">
        <f aca="false">'[1]Nutrient content per 100 grams'!H97</f>
        <v>0.96</v>
      </c>
      <c r="O277" s="0" t="n">
        <f aca="false">'[1]Nutrient content per 100 grams'!I97</f>
        <v>51.5</v>
      </c>
      <c r="P277" s="0" t="n">
        <f aca="false">'[1]Nutrient content per 100 grams'!J97</f>
        <v>17</v>
      </c>
      <c r="Q277" s="0" t="n">
        <f aca="false">'[1]Nutrient content per 100 grams'!K97</f>
        <v>0.063</v>
      </c>
      <c r="R277" s="0" t="n">
        <f aca="false">'[1]Nutrient content per 100 grams'!L97</f>
        <v>8.1</v>
      </c>
      <c r="S277" s="0" t="n">
        <f aca="false">'[1]Nutrient content per 100 grams'!M97</f>
        <v>676</v>
      </c>
      <c r="T277" s="0" t="n">
        <f aca="false">'[1]Nutrient content per 100 grams'!N97</f>
        <v>0.05</v>
      </c>
      <c r="U277" s="0" t="n">
        <f aca="false">'[1]Nutrient content per 100 grams'!O97</f>
        <v>2.7</v>
      </c>
      <c r="V277" s="0" t="n">
        <f aca="false">'[1]Nutrient content per 100 grams'!P97</f>
        <v>3.5</v>
      </c>
      <c r="W277" s="0" t="n">
        <f aca="false">'[1]Nutrient content per 100 grams'!Q97</f>
        <v>48.5</v>
      </c>
      <c r="X277" s="0" t="n">
        <f aca="false">'[1]Nutrient content per 100 grams'!R97</f>
        <v>62</v>
      </c>
      <c r="Y277" s="0" t="n">
        <f aca="false">'[1]Nutrient content per 100 grams'!S97</f>
        <v>0.284</v>
      </c>
      <c r="Z277" s="0" t="n">
        <f aca="false">'[1]Nutrient content per 100 grams'!T97</f>
        <v>0.279</v>
      </c>
      <c r="AA277" s="0" t="n">
        <f aca="false">'[1]Nutrient content per 100 grams'!U97</f>
        <v>3</v>
      </c>
      <c r="AB277" s="0" t="n">
        <f aca="false">'[1]Nutrient content per 100 grams'!V97</f>
        <v>0.2</v>
      </c>
      <c r="AC277" s="0" t="n">
        <f aca="false">'[1]Nutrient content per 100 grams'!W97</f>
        <v>0.051</v>
      </c>
      <c r="AD277" s="0" t="n">
        <f aca="false">'[1]Nutrient content per 100 grams'!X97</f>
        <v>1.442</v>
      </c>
      <c r="AE277" s="0" t="n">
        <f aca="false">'[1]Nutrient content per 100 grams'!Y97</f>
        <v>0.697</v>
      </c>
      <c r="AF277" s="0" t="n">
        <f aca="false">'[1]Nutrient content per 100 grams'!Z97</f>
        <v>0.207</v>
      </c>
      <c r="AG277" s="0" t="n">
        <f aca="false">'[1]Nutrient content per 100 grams'!AA97</f>
        <v>0.019</v>
      </c>
    </row>
    <row r="278" customFormat="false" ht="14.25" hidden="false" customHeight="false" outlineLevel="0" collapsed="false">
      <c r="A278" s="0" t="n">
        <v>580</v>
      </c>
      <c r="B278" s="0" t="s">
        <v>638</v>
      </c>
      <c r="C278" s="0" t="s">
        <v>639</v>
      </c>
      <c r="E278" s="0" t="n">
        <v>200949</v>
      </c>
      <c r="F278" s="0" t="n">
        <v>200949</v>
      </c>
      <c r="G278" s="0" t="n">
        <v>21433.01</v>
      </c>
      <c r="I278" s="0" t="n">
        <f aca="false">VLOOKUP($A278,content_factors_backup!$A$2:$Q$468,I$525,FALSE())</f>
        <v>20</v>
      </c>
      <c r="J278" s="0" t="n">
        <f aca="false">'[1]Nutrient content per 100 grams'!D98</f>
        <v>179</v>
      </c>
      <c r="K278" s="0" t="n">
        <f aca="false">'[1]Nutrient content per 100 grams'!E98</f>
        <v>1.3</v>
      </c>
      <c r="L278" s="0" t="n">
        <f aca="false">'[1]Nutrient content per 100 grams'!F98</f>
        <v>0.7</v>
      </c>
      <c r="M278" s="0" t="n">
        <f aca="false">'[1]Nutrient content per 100 grams'!G98</f>
        <v>0.4</v>
      </c>
      <c r="N278" s="0" t="n">
        <f aca="false">'[1]Nutrient content per 100 grams'!H98</f>
        <v>0.9</v>
      </c>
      <c r="O278" s="0" t="n">
        <f aca="false">'[1]Nutrient content per 100 grams'!I98</f>
        <v>39</v>
      </c>
      <c r="P278" s="0" t="n">
        <f aca="false">'[1]Nutrient content per 100 grams'!J98</f>
        <v>37</v>
      </c>
      <c r="Q278" s="0" t="n">
        <f aca="false">'[1]Nutrient content per 100 grams'!K98</f>
        <v>0.06</v>
      </c>
      <c r="R278" s="0" t="n">
        <f aca="false">'[1]Nutrient content per 100 grams'!L98</f>
        <v>11.6</v>
      </c>
      <c r="S278" s="0" t="n">
        <f aca="false">'[1]Nutrient content per 100 grams'!M98</f>
        <v>472</v>
      </c>
      <c r="T278" s="0" t="n">
        <f aca="false">'[1]Nutrient content per 100 grams'!N98</f>
        <v>0.03</v>
      </c>
      <c r="U278" s="0" t="n">
        <f aca="false">'[1]Nutrient content per 100 grams'!O98</f>
        <v>1</v>
      </c>
      <c r="V278" s="0" t="n">
        <f aca="false">'[1]Nutrient content per 100 grams'!P98</f>
        <v>3</v>
      </c>
      <c r="W278" s="0" t="n">
        <f aca="false">'[1]Nutrient content per 100 grams'!Q98</f>
        <v>35</v>
      </c>
      <c r="X278" s="0" t="n">
        <f aca="false">'[1]Nutrient content per 100 grams'!R98</f>
        <v>28</v>
      </c>
      <c r="Y278" s="0" t="n">
        <f aca="false">'[1]Nutrient content per 100 grams'!S98</f>
        <v>0.313</v>
      </c>
      <c r="Z278" s="0" t="n">
        <f aca="false">'[1]Nutrient content per 100 grams'!T98</f>
        <v>3.439</v>
      </c>
      <c r="AA278" s="0" t="n">
        <f aca="false">'[1]Nutrient content per 100 grams'!U98</f>
        <v>0.4</v>
      </c>
      <c r="AB278" s="0" t="n">
        <f aca="false">'[1]Nutrient content per 100 grams'!V98</f>
        <v>42</v>
      </c>
      <c r="AC278" s="0" t="n">
        <f aca="false">'[1]Nutrient content per 100 grams'!W98</f>
        <v>0.23</v>
      </c>
      <c r="AD278" s="0" t="n">
        <f aca="false">'[1]Nutrient content per 100 grams'!X98</f>
        <v>0.9</v>
      </c>
      <c r="AE278" s="0" t="n">
        <f aca="false">'[1]Nutrient content per 100 grams'!Y98</f>
        <v>0.43</v>
      </c>
      <c r="AF278" s="0" t="n">
        <f aca="false">'[1]Nutrient content per 100 grams'!Z98</f>
        <v>0.255</v>
      </c>
      <c r="AG278" s="0" t="n">
        <f aca="false">'[1]Nutrient content per 100 grams'!AA98</f>
        <v>0.035</v>
      </c>
    </row>
    <row r="279" customFormat="false" ht="14.25" hidden="false" customHeight="false" outlineLevel="0" collapsed="false">
      <c r="A279" s="0" t="n">
        <v>587</v>
      </c>
      <c r="B279" s="0" t="s">
        <v>640</v>
      </c>
      <c r="C279" s="0" t="s">
        <v>641</v>
      </c>
      <c r="E279" s="0" t="n">
        <v>81090</v>
      </c>
      <c r="F279" s="0" t="n">
        <v>81070</v>
      </c>
      <c r="G279" s="0" t="n">
        <v>1359.01</v>
      </c>
      <c r="I279" s="0" t="n">
        <f aca="false">VLOOKUP($A279,content_factors_backup!$A$2:$Q$468,I$525,FALSE())</f>
        <v>22</v>
      </c>
      <c r="J279" s="0" t="n">
        <f aca="false">'[1]Nutrient content per 100 grams'!D99</f>
        <v>98.5</v>
      </c>
      <c r="K279" s="0" t="n">
        <f aca="false">'[1]Nutrient content per 100 grams'!E99</f>
        <v>0.69</v>
      </c>
      <c r="L279" s="0" t="n">
        <f aca="false">'[1]Nutrient content per 100 grams'!F99</f>
        <v>3.6</v>
      </c>
      <c r="M279" s="0" t="n">
        <f aca="false">'[1]Nutrient content per 100 grams'!G99</f>
        <v>0.11</v>
      </c>
      <c r="N279" s="0" t="n">
        <f aca="false">'[1]Nutrient content per 100 grams'!H99</f>
        <v>1.325</v>
      </c>
      <c r="O279" s="0" t="n">
        <f aca="false">'[1]Nutrient content per 100 grams'!I99</f>
        <v>17.5</v>
      </c>
      <c r="P279" s="0" t="n">
        <f aca="false">'[1]Nutrient content per 100 grams'!J99</f>
        <v>8</v>
      </c>
      <c r="Q279" s="0" t="n">
        <f aca="false">'[1]Nutrient content per 100 grams'!K99</f>
        <v>0.02</v>
      </c>
      <c r="R279" s="0" t="n">
        <f aca="false">'[1]Nutrient content per 100 grams'!L99</f>
        <v>7.6</v>
      </c>
      <c r="S279" s="0" t="n">
        <f aca="false">'[1]Nutrient content per 100 grams'!M99</f>
        <v>235.5</v>
      </c>
      <c r="T279" s="0" t="n">
        <f aca="false">'[1]Nutrient content per 100 grams'!N99</f>
        <v>0.73</v>
      </c>
      <c r="U279" s="0" t="n">
        <f aca="false">'[1]Nutrient content per 100 grams'!O99</f>
        <v>2.6</v>
      </c>
      <c r="V279" s="0" t="n">
        <f aca="false">'[1]Nutrient content per 100 grams'!P99</f>
        <v>81</v>
      </c>
      <c r="W279" s="0" t="n">
        <f aca="false">'[1]Nutrient content per 100 grams'!Q99</f>
        <v>9</v>
      </c>
      <c r="X279" s="0" t="n">
        <f aca="false">'[1]Nutrient content per 100 grams'!R99</f>
        <v>21.5</v>
      </c>
      <c r="Y279" s="0" t="n">
        <f aca="false">'[1]Nutrient content per 100 grams'!S99</f>
        <v>0.113</v>
      </c>
      <c r="Z279" s="0" t="n">
        <f aca="false">'[1]Nutrient content per 100 grams'!T99</f>
        <v>0.355</v>
      </c>
      <c r="AA279" s="0" t="n">
        <f aca="false">'[1]Nutrient content per 100 grams'!U99</f>
        <v>0.6</v>
      </c>
      <c r="AB279" s="0" t="n">
        <f aca="false">'[1]Nutrient content per 100 grams'!V99</f>
        <v>36.75</v>
      </c>
      <c r="AC279" s="0" t="n">
        <f aca="false">'[1]Nutrient content per 100 grams'!W99</f>
        <v>0.03</v>
      </c>
      <c r="AD279" s="0" t="n">
        <f aca="false">'[1]Nutrient content per 100 grams'!X99</f>
        <v>0.1</v>
      </c>
      <c r="AE279" s="0" t="str">
        <f aca="false">'[1]Nutrient content per 100 grams'!Y99</f>
        <v>NA</v>
      </c>
      <c r="AF279" s="0" t="n">
        <f aca="false">'[1]Nutrient content per 100 grams'!Z99</f>
        <v>0.1</v>
      </c>
      <c r="AG279" s="0" t="n">
        <f aca="false">'[1]Nutrient content per 100 grams'!AA99</f>
        <v>0.043</v>
      </c>
    </row>
    <row r="280" customFormat="false" ht="14.25" hidden="false" customHeight="false" outlineLevel="0" collapsed="false">
      <c r="A280" s="0" t="n">
        <v>591</v>
      </c>
      <c r="B280" s="0" t="s">
        <v>642</v>
      </c>
      <c r="C280" s="0" t="s">
        <v>643</v>
      </c>
      <c r="E280" s="0" t="n">
        <v>81090</v>
      </c>
      <c r="F280" s="0" t="n">
        <v>81090</v>
      </c>
      <c r="G280" s="0" t="n">
        <v>1359.02</v>
      </c>
      <c r="I280" s="0" t="n">
        <f aca="false">VLOOKUP($A280,content_factors_backup!$A$2:$Q$468,I$525,FALSE())</f>
        <v>15</v>
      </c>
      <c r="J280" s="0" t="n">
        <f aca="false">'[1]Nutrient content per 100 grams'!D100</f>
        <v>553</v>
      </c>
      <c r="K280" s="0" t="n">
        <f aca="false">'[1]Nutrient content per 100 grams'!E100</f>
        <v>18.22</v>
      </c>
      <c r="L280" s="0" t="n">
        <f aca="false">'[1]Nutrient content per 100 grams'!F100</f>
        <v>3.3</v>
      </c>
      <c r="M280" s="0" t="n">
        <f aca="false">'[1]Nutrient content per 100 grams'!G100</f>
        <v>5.78</v>
      </c>
      <c r="N280" s="0" t="n">
        <f aca="false">'[1]Nutrient content per 100 grams'!H100</f>
        <v>6.68</v>
      </c>
      <c r="O280" s="0" t="n">
        <f aca="false">'[1]Nutrient content per 100 grams'!I100</f>
        <v>37</v>
      </c>
      <c r="P280" s="0" t="n">
        <f aca="false">'[1]Nutrient content per 100 grams'!J100</f>
        <v>25</v>
      </c>
      <c r="Q280" s="0" t="n">
        <f aca="false">'[1]Nutrient content per 100 grams'!K100</f>
        <v>0.058</v>
      </c>
      <c r="R280" s="0" t="str">
        <f aca="false">'[1]Nutrient content per 100 grams'!L100</f>
        <v>NA</v>
      </c>
      <c r="S280" s="0" t="n">
        <f aca="false">'[1]Nutrient content per 100 grams'!M100</f>
        <v>660</v>
      </c>
      <c r="T280" s="0" t="n">
        <f aca="false">'[1]Nutrient content per 100 grams'!N100</f>
        <v>0.9</v>
      </c>
      <c r="U280" s="0" t="n">
        <f aca="false">'[1]Nutrient content per 100 grams'!O100</f>
        <v>34.1</v>
      </c>
      <c r="V280" s="0" t="n">
        <f aca="false">'[1]Nutrient content per 100 grams'!P100</f>
        <v>0</v>
      </c>
      <c r="W280" s="0" t="n">
        <f aca="false">'[1]Nutrient content per 100 grams'!Q100</f>
        <v>292</v>
      </c>
      <c r="X280" s="0" t="n">
        <f aca="false">'[1]Nutrient content per 100 grams'!R100</f>
        <v>593</v>
      </c>
      <c r="Y280" s="0" t="n">
        <f aca="false">'[1]Nutrient content per 100 grams'!S100</f>
        <v>2.195</v>
      </c>
      <c r="Z280" s="0" t="n">
        <f aca="false">'[1]Nutrient content per 100 grams'!T100</f>
        <v>1.655</v>
      </c>
      <c r="AA280" s="0" t="n">
        <f aca="false">'[1]Nutrient content per 100 grams'!U100</f>
        <v>19.9</v>
      </c>
      <c r="AB280" s="0" t="n">
        <f aca="false">'[1]Nutrient content per 100 grams'!V100</f>
        <v>0.5</v>
      </c>
      <c r="AC280" s="0" t="n">
        <f aca="false">'[1]Nutrient content per 100 grams'!W100</f>
        <v>0.423</v>
      </c>
      <c r="AD280" s="0" t="n">
        <f aca="false">'[1]Nutrient content per 100 grams'!X100</f>
        <v>1.062</v>
      </c>
      <c r="AE280" s="0" t="n">
        <f aca="false">'[1]Nutrient content per 100 grams'!Y100</f>
        <v>0.864</v>
      </c>
      <c r="AF280" s="0" t="n">
        <f aca="false">'[1]Nutrient content per 100 grams'!Z100</f>
        <v>0.417</v>
      </c>
      <c r="AG280" s="0" t="n">
        <f aca="false">'[1]Nutrient content per 100 grams'!AA100</f>
        <v>7.845</v>
      </c>
    </row>
    <row r="281" customFormat="false" ht="14.25" hidden="false" customHeight="false" outlineLevel="0" collapsed="false">
      <c r="A281" s="0" t="n">
        <v>592</v>
      </c>
      <c r="B281" s="0" t="s">
        <v>644</v>
      </c>
      <c r="C281" s="0" t="s">
        <v>645</v>
      </c>
      <c r="E281" s="0" t="n">
        <v>81050</v>
      </c>
      <c r="F281" s="0" t="n">
        <v>81050</v>
      </c>
      <c r="G281" s="0" t="n">
        <v>1352</v>
      </c>
      <c r="I281" s="0" t="n">
        <f aca="false">VLOOKUP($A281,content_factors_backup!$A$2:$Q$468,I$525,FALSE())</f>
        <v>10</v>
      </c>
      <c r="J281" s="0" t="n">
        <f aca="false">'[1]Nutrient content per 100 grams'!D101</f>
        <v>61</v>
      </c>
      <c r="K281" s="0" t="n">
        <f aca="false">'[1]Nutrient content per 100 grams'!E101</f>
        <v>1.14</v>
      </c>
      <c r="L281" s="0" t="n">
        <f aca="false">'[1]Nutrient content per 100 grams'!F101</f>
        <v>3</v>
      </c>
      <c r="M281" s="0" t="n">
        <f aca="false">'[1]Nutrient content per 100 grams'!G101</f>
        <v>0.14</v>
      </c>
      <c r="N281" s="0" t="n">
        <f aca="false">'[1]Nutrient content per 100 grams'!H101</f>
        <v>0.31</v>
      </c>
      <c r="O281" s="0" t="n">
        <f aca="false">'[1]Nutrient content per 100 grams'!I101</f>
        <v>34</v>
      </c>
      <c r="P281" s="0" t="n">
        <f aca="false">'[1]Nutrient content per 100 grams'!J101</f>
        <v>25</v>
      </c>
      <c r="Q281" s="0" t="n">
        <f aca="false">'[1]Nutrient content per 100 grams'!K101</f>
        <v>0.025</v>
      </c>
      <c r="R281" s="0" t="n">
        <f aca="false">'[1]Nutrient content per 100 grams'!L101</f>
        <v>7.8</v>
      </c>
      <c r="S281" s="0" t="n">
        <f aca="false">'[1]Nutrient content per 100 grams'!M101</f>
        <v>312</v>
      </c>
      <c r="T281" s="0" t="n">
        <f aca="false">'[1]Nutrient content per 100 grams'!N101</f>
        <v>1.46</v>
      </c>
      <c r="U281" s="0" t="n">
        <f aca="false">'[1]Nutrient content per 100 grams'!O101</f>
        <v>40.3</v>
      </c>
      <c r="V281" s="0" t="n">
        <f aca="false">'[1]Nutrient content per 100 grams'!P101</f>
        <v>4</v>
      </c>
      <c r="W281" s="0" t="n">
        <f aca="false">'[1]Nutrient content per 100 grams'!Q101</f>
        <v>17</v>
      </c>
      <c r="X281" s="0" t="n">
        <f aca="false">'[1]Nutrient content per 100 grams'!R101</f>
        <v>34</v>
      </c>
      <c r="Y281" s="0" t="n">
        <f aca="false">'[1]Nutrient content per 100 grams'!S101</f>
        <v>0.13</v>
      </c>
      <c r="Z281" s="0" t="n">
        <f aca="false">'[1]Nutrient content per 100 grams'!T101</f>
        <v>0.098</v>
      </c>
      <c r="AA281" s="0" t="n">
        <f aca="false">'[1]Nutrient content per 100 grams'!U101</f>
        <v>0.2</v>
      </c>
      <c r="AB281" s="0" t="n">
        <f aca="false">'[1]Nutrient content per 100 grams'!V101</f>
        <v>92.7</v>
      </c>
      <c r="AC281" s="0" t="n">
        <f aca="false">'[1]Nutrient content per 100 grams'!W101</f>
        <v>0.027</v>
      </c>
      <c r="AD281" s="0" t="n">
        <f aca="false">'[1]Nutrient content per 100 grams'!X101</f>
        <v>0.341</v>
      </c>
      <c r="AE281" s="0" t="n">
        <f aca="false">'[1]Nutrient content per 100 grams'!Y101</f>
        <v>0.183</v>
      </c>
      <c r="AF281" s="0" t="n">
        <f aca="false">'[1]Nutrient content per 100 grams'!Z101</f>
        <v>0.063</v>
      </c>
      <c r="AG281" s="0" t="n">
        <f aca="false">'[1]Nutrient content per 100 grams'!AA101</f>
        <v>0.287</v>
      </c>
    </row>
    <row r="282" customFormat="false" ht="14.25" hidden="false" customHeight="false" outlineLevel="0" collapsed="false">
      <c r="A282" s="0" t="n">
        <v>600</v>
      </c>
      <c r="B282" s="0" t="s">
        <v>646</v>
      </c>
      <c r="C282" s="0" t="s">
        <v>647</v>
      </c>
      <c r="E282" s="0" t="n">
        <v>80720</v>
      </c>
      <c r="F282" s="0" t="n">
        <v>80720</v>
      </c>
      <c r="G282" s="0" t="n">
        <v>1317</v>
      </c>
      <c r="I282" s="0" t="n">
        <f aca="false">VLOOKUP($A282,content_factors_backup!$A$2:$Q$468,I$525,FALSE())</f>
        <v>11</v>
      </c>
      <c r="J282" s="0" t="n">
        <f aca="false">'[1]Nutrient content per 100 grams'!D102</f>
        <v>43</v>
      </c>
      <c r="K282" s="0" t="n">
        <f aca="false">'[1]Nutrient content per 100 grams'!E102</f>
        <v>0.47</v>
      </c>
      <c r="L282" s="0" t="n">
        <f aca="false">'[1]Nutrient content per 100 grams'!F102</f>
        <v>1.7</v>
      </c>
      <c r="M282" s="0" t="n">
        <f aca="false">'[1]Nutrient content per 100 grams'!G102</f>
        <v>0.08</v>
      </c>
      <c r="N282" s="0" t="n">
        <f aca="false">'[1]Nutrient content per 100 grams'!H102</f>
        <v>0.25</v>
      </c>
      <c r="O282" s="0" t="n">
        <f aca="false">'[1]Nutrient content per 100 grams'!I102</f>
        <v>20</v>
      </c>
      <c r="P282" s="0" t="n">
        <f aca="false">'[1]Nutrient content per 100 grams'!J102</f>
        <v>37</v>
      </c>
      <c r="Q282" s="0" t="n">
        <f aca="false">'[1]Nutrient content per 100 grams'!K102</f>
        <v>0.027</v>
      </c>
      <c r="R282" s="0" t="n">
        <f aca="false">'[1]Nutrient content per 100 grams'!L102</f>
        <v>6.1</v>
      </c>
      <c r="S282" s="0" t="n">
        <f aca="false">'[1]Nutrient content per 100 grams'!M102</f>
        <v>182</v>
      </c>
      <c r="T282" s="0" t="n">
        <f aca="false">'[1]Nutrient content per 100 grams'!N102</f>
        <v>0.3</v>
      </c>
      <c r="U282" s="0" t="n">
        <f aca="false">'[1]Nutrient content per 100 grams'!O102</f>
        <v>2.6</v>
      </c>
      <c r="V282" s="0" t="n">
        <f aca="false">'[1]Nutrient content per 100 grams'!P102</f>
        <v>47</v>
      </c>
      <c r="W282" s="0" t="n">
        <f aca="false">'[1]Nutrient content per 100 grams'!Q102</f>
        <v>21</v>
      </c>
      <c r="X282" s="0" t="n">
        <f aca="false">'[1]Nutrient content per 100 grams'!R102</f>
        <v>10</v>
      </c>
      <c r="Y282" s="0" t="n">
        <f aca="false">'[1]Nutrient content per 100 grams'!S102</f>
        <v>0.045</v>
      </c>
      <c r="Z282" s="0" t="n">
        <f aca="false">'[1]Nutrient content per 100 grams'!T102</f>
        <v>0.04</v>
      </c>
      <c r="AA282" s="0" t="n">
        <f aca="false">'[1]Nutrient content per 100 grams'!U102</f>
        <v>0.6</v>
      </c>
      <c r="AB282" s="0" t="n">
        <f aca="false">'[1]Nutrient content per 100 grams'!V102</f>
        <v>60.9</v>
      </c>
      <c r="AC282" s="0" t="n">
        <f aca="false">'[1]Nutrient content per 100 grams'!W102</f>
        <v>0.023</v>
      </c>
      <c r="AD282" s="0" t="n">
        <f aca="false">'[1]Nutrient content per 100 grams'!X102</f>
        <v>0.357</v>
      </c>
      <c r="AE282" s="0" t="n">
        <f aca="false">'[1]Nutrient content per 100 grams'!Y102</f>
        <v>0.191</v>
      </c>
      <c r="AF282" s="0" t="n">
        <f aca="false">'[1]Nutrient content per 100 grams'!Z102</f>
        <v>0.038</v>
      </c>
      <c r="AG282" s="0" t="n">
        <f aca="false">'[1]Nutrient content per 100 grams'!AA102</f>
        <v>0.058</v>
      </c>
    </row>
    <row r="283" customFormat="false" ht="14.25" hidden="false" customHeight="false" outlineLevel="0" collapsed="false">
      <c r="A283" s="0" t="n">
        <v>603</v>
      </c>
      <c r="B283" s="0" t="s">
        <v>648</v>
      </c>
      <c r="C283" s="0" t="s">
        <v>649</v>
      </c>
      <c r="E283" s="0" t="s">
        <v>650</v>
      </c>
      <c r="F283" s="0" t="s">
        <v>650</v>
      </c>
      <c r="G283" s="0" t="n">
        <v>1319</v>
      </c>
      <c r="I283" s="0" t="n">
        <f aca="false">VLOOKUP($A283,content_factors_backup!$A$2:$Q$468,I$525,FALSE())</f>
        <v>15</v>
      </c>
      <c r="J283" s="0" t="n">
        <f aca="false">'[1]Nutrient content per 100 grams'!D103</f>
        <v>80.75</v>
      </c>
      <c r="K283" s="0" t="n">
        <f aca="false">'[1]Nutrient content per 100 grams'!E103</f>
        <v>1.33083333333333</v>
      </c>
      <c r="L283" s="0" t="n">
        <f aca="false">'[1]Nutrient content per 100 grams'!F103</f>
        <v>4.25833333333333</v>
      </c>
      <c r="M283" s="0" t="n">
        <f aca="false">'[1]Nutrient content per 100 grams'!G103</f>
        <v>0.136666666666667</v>
      </c>
      <c r="N283" s="0" t="n">
        <f aca="false">'[1]Nutrient content per 100 grams'!H103</f>
        <v>0.4675</v>
      </c>
      <c r="O283" s="0" t="n">
        <f aca="false">'[1]Nutrient content per 100 grams'!I103</f>
        <v>12.9166666666667</v>
      </c>
      <c r="P283" s="0" t="n">
        <f aca="false">'[1]Nutrient content per 100 grams'!J103</f>
        <v>19.9090909090909</v>
      </c>
      <c r="Q283" s="0" t="n">
        <f aca="false">'[1]Nutrient content per 100 grams'!K103</f>
        <v>0.0746666666666667</v>
      </c>
      <c r="R283" s="0" t="n">
        <f aca="false">'[1]Nutrient content per 100 grams'!L103</f>
        <v>8.15</v>
      </c>
      <c r="S283" s="0" t="n">
        <f aca="false">'[1]Nutrient content per 100 grams'!M103</f>
        <v>320.333333333333</v>
      </c>
      <c r="T283" s="0" t="n">
        <f aca="false">'[1]Nutrient content per 100 grams'!N103</f>
        <v>0.514444444444445</v>
      </c>
      <c r="U283" s="0" t="n">
        <f aca="false">'[1]Nutrient content per 100 grams'!O103</f>
        <v>3.65</v>
      </c>
      <c r="V283" s="0" t="n">
        <f aca="false">'[1]Nutrient content per 100 grams'!P103</f>
        <v>13</v>
      </c>
      <c r="W283" s="0" t="n">
        <f aca="false">'[1]Nutrient content per 100 grams'!Q103</f>
        <v>17.9166666666667</v>
      </c>
      <c r="X283" s="0" t="n">
        <f aca="false">'[1]Nutrient content per 100 grams'!R103</f>
        <v>27.1666666666667</v>
      </c>
      <c r="Y283" s="0" t="n">
        <f aca="false">'[1]Nutrient content per 100 grams'!S103</f>
        <v>0.118416666666667</v>
      </c>
      <c r="Z283" s="0" t="n">
        <f aca="false">'[1]Nutrient content per 100 grams'!T103</f>
        <v>0.1115</v>
      </c>
      <c r="AA283" s="0" t="n">
        <f aca="false">'[1]Nutrient content per 100 grams'!U103</f>
        <v>0.566666666666667</v>
      </c>
      <c r="AB283" s="0" t="n">
        <f aca="false">'[1]Nutrient content per 100 grams'!V103</f>
        <v>43.7916666666667</v>
      </c>
      <c r="AC283" s="0" t="n">
        <f aca="false">'[1]Nutrient content per 100 grams'!W103</f>
        <v>0.0721666666666667</v>
      </c>
      <c r="AD283" s="0" t="n">
        <f aca="false">'[1]Nutrient content per 100 grams'!X103</f>
        <v>0.847166666666667</v>
      </c>
      <c r="AE283" s="0" t="n">
        <f aca="false">'[1]Nutrient content per 100 grams'!Y103</f>
        <v>0.3211</v>
      </c>
      <c r="AF283" s="0" t="n">
        <f aca="false">'[1]Nutrient content per 100 grams'!Z103</f>
        <v>0.196363636363636</v>
      </c>
      <c r="AG283" s="0" t="n">
        <f aca="false">'[1]Nutrient content per 100 grams'!AA103</f>
        <v>0.176444444444444</v>
      </c>
    </row>
    <row r="284" customFormat="false" ht="14.25" hidden="false" customHeight="false" outlineLevel="0" collapsed="false">
      <c r="A284" s="0" t="n">
        <v>619</v>
      </c>
      <c r="B284" s="0" t="s">
        <v>651</v>
      </c>
      <c r="C284" s="0" t="s">
        <v>652</v>
      </c>
      <c r="E284" s="0" t="n">
        <v>81090</v>
      </c>
      <c r="F284" s="0" t="n">
        <v>81090</v>
      </c>
      <c r="G284" s="0" t="n">
        <v>1359.9</v>
      </c>
      <c r="I284" s="0" t="n">
        <f aca="false">VLOOKUP($A284,content_factors_backup!$A$2:$Q$468,I$525,FALSE())</f>
        <v>15</v>
      </c>
      <c r="J284" s="0" t="n">
        <f aca="false">'[1]Nutrient content per 100 grams'!D104</f>
        <v>107</v>
      </c>
      <c r="K284" s="0" t="n">
        <f aca="false">'[1]Nutrient content per 100 grams'!E104</f>
        <v>1.31285714285714</v>
      </c>
      <c r="L284" s="0" t="n">
        <f aca="false">'[1]Nutrient content per 100 grams'!F104</f>
        <v>7.2</v>
      </c>
      <c r="M284" s="0" t="n">
        <f aca="false">'[1]Nutrient content per 100 grams'!G104</f>
        <v>0.14</v>
      </c>
      <c r="N284" s="0" t="n">
        <f aca="false">'[1]Nutrient content per 100 grams'!H104</f>
        <v>0.975714285714286</v>
      </c>
      <c r="O284" s="0" t="n">
        <f aca="false">'[1]Nutrient content per 100 grams'!I104</f>
        <v>47.5714285714286</v>
      </c>
      <c r="P284" s="0" t="n">
        <f aca="false">'[1]Nutrient content per 100 grams'!J104</f>
        <v>14.8333333333333</v>
      </c>
      <c r="Q284" s="0" t="n">
        <f aca="false">'[1]Nutrient content per 100 grams'!K104</f>
        <v>0.08</v>
      </c>
      <c r="R284" s="0" t="n">
        <f aca="false">'[1]Nutrient content per 100 grams'!L104</f>
        <v>8.825</v>
      </c>
      <c r="S284" s="0" t="n">
        <f aca="false">'[1]Nutrient content per 100 grams'!M104</f>
        <v>322.857142857143</v>
      </c>
      <c r="T284" s="0" t="n">
        <f aca="false">'[1]Nutrient content per 100 grams'!N104</f>
        <v>1.6525</v>
      </c>
      <c r="U284" s="0" t="n">
        <f aca="false">'[1]Nutrient content per 100 grams'!O104</f>
        <v>11.375</v>
      </c>
      <c r="V284" s="0" t="n">
        <f aca="false">'[1]Nutrient content per 100 grams'!P104</f>
        <v>46.7142857142857</v>
      </c>
      <c r="W284" s="0" t="n">
        <f aca="false">'[1]Nutrient content per 100 grams'!Q104</f>
        <v>30.1428571428571</v>
      </c>
      <c r="X284" s="0" t="n">
        <f aca="false">'[1]Nutrient content per 100 grams'!R104</f>
        <v>47.1428571428571</v>
      </c>
      <c r="Y284" s="0" t="n">
        <f aca="false">'[1]Nutrient content per 100 grams'!S104</f>
        <v>0.097</v>
      </c>
      <c r="Z284" s="0" t="n">
        <f aca="false">'[1]Nutrient content per 100 grams'!T104</f>
        <v>0.2852</v>
      </c>
      <c r="AA284" s="0" t="n">
        <f aca="false">'[1]Nutrient content per 100 grams'!U104</f>
        <v>0.72</v>
      </c>
      <c r="AB284" s="0" t="n">
        <f aca="false">'[1]Nutrient content per 100 grams'!V104</f>
        <v>88.1714285714286</v>
      </c>
      <c r="AC284" s="0" t="n">
        <f aca="false">'[1]Nutrient content per 100 grams'!W104</f>
        <v>0.0901428571428572</v>
      </c>
      <c r="AD284" s="0" t="n">
        <f aca="false">'[1]Nutrient content per 100 grams'!X104</f>
        <v>0.816285714285714</v>
      </c>
      <c r="AE284" s="0" t="n">
        <f aca="false">'[1]Nutrient content per 100 grams'!Y104</f>
        <v>0.365</v>
      </c>
      <c r="AF284" s="0" t="n">
        <f aca="false">'[1]Nutrient content per 100 grams'!Z104</f>
        <v>0.104</v>
      </c>
      <c r="AG284" s="0" t="n">
        <f aca="false">'[1]Nutrient content per 100 grams'!AA104</f>
        <v>0.1216</v>
      </c>
    </row>
    <row r="285" customFormat="false" ht="14.25" hidden="false" customHeight="false" outlineLevel="0" collapsed="false">
      <c r="A285" s="0" t="n">
        <v>620</v>
      </c>
      <c r="B285" s="0" t="s">
        <v>653</v>
      </c>
      <c r="C285" s="0" t="s">
        <v>654</v>
      </c>
      <c r="E285" s="0" t="s">
        <v>655</v>
      </c>
      <c r="F285" s="0" t="s">
        <v>655</v>
      </c>
      <c r="G285" s="0" t="n">
        <v>21419.99</v>
      </c>
      <c r="I285" s="0" t="n">
        <f aca="false">VLOOKUP($A285,content_factors_backup!$A$2:$Q$468,I$525,FALSE())</f>
        <v>85</v>
      </c>
      <c r="J285" s="0" t="n">
        <f aca="false">'[1]Nutrient content per 100 grams'!D105</f>
        <v>276.25</v>
      </c>
      <c r="K285" s="0" t="n">
        <f aca="false">'[1]Nutrient content per 100 grams'!E105</f>
        <v>3.0575</v>
      </c>
      <c r="L285" s="0" t="n">
        <f aca="false">'[1]Nutrient content per 100 grams'!F105</f>
        <v>8.6</v>
      </c>
      <c r="M285" s="0" t="n">
        <f aca="false">'[1]Nutrient content per 100 grams'!G105</f>
        <v>0.41875</v>
      </c>
      <c r="N285" s="0" t="n">
        <f aca="false">'[1]Nutrient content per 100 grams'!H105</f>
        <v>2.47625</v>
      </c>
      <c r="O285" s="0" t="n">
        <f aca="false">'[1]Nutrient content per 100 grams'!I105</f>
        <v>35.875</v>
      </c>
      <c r="P285" s="0" t="n">
        <f aca="false">'[1]Nutrient content per 100 grams'!J105</f>
        <v>6</v>
      </c>
      <c r="Q285" s="0" t="n">
        <f aca="false">'[1]Nutrient content per 100 grams'!K105</f>
        <v>0.249625</v>
      </c>
      <c r="R285" s="0" t="n">
        <f aca="false">'[1]Nutrient content per 100 grams'!L105</f>
        <v>16.0333333333333</v>
      </c>
      <c r="S285" s="0" t="n">
        <f aca="false">'[1]Nutrient content per 100 grams'!M105</f>
        <v>866.5</v>
      </c>
      <c r="T285" s="0" t="n">
        <f aca="false">'[1]Nutrient content per 100 grams'!N105</f>
        <v>0.265</v>
      </c>
      <c r="U285" s="0" t="n">
        <f aca="false">'[1]Nutrient content per 100 grams'!O105</f>
        <v>7.66666666666667</v>
      </c>
      <c r="V285" s="0" t="n">
        <f aca="false">'[1]Nutrient content per 100 grams'!P105</f>
        <v>23.1428571428571</v>
      </c>
      <c r="W285" s="0" t="n">
        <f aca="false">'[1]Nutrient content per 100 grams'!Q105</f>
        <v>44.875</v>
      </c>
      <c r="X285" s="0" t="n">
        <f aca="false">'[1]Nutrient content per 100 grams'!R105</f>
        <v>109.125</v>
      </c>
      <c r="Y285" s="0" t="n">
        <f aca="false">'[1]Nutrient content per 100 grams'!S105</f>
        <v>0.458125</v>
      </c>
      <c r="Z285" s="0" t="n">
        <f aca="false">'[1]Nutrient content per 100 grams'!T105</f>
        <v>0.454625</v>
      </c>
      <c r="AA285" s="0" t="n">
        <f aca="false">'[1]Nutrient content per 100 grams'!U105</f>
        <v>1.31666666666667</v>
      </c>
      <c r="AB285" s="0" t="n">
        <f aca="false">'[1]Nutrient content per 100 grams'!V105</f>
        <v>29.8</v>
      </c>
      <c r="AC285" s="0" t="n">
        <f aca="false">'[1]Nutrient content per 100 grams'!W105</f>
        <v>0.0571428571428571</v>
      </c>
      <c r="AD285" s="0" t="n">
        <f aca="false">'[1]Nutrient content per 100 grams'!X105</f>
        <v>1.921125</v>
      </c>
      <c r="AE285" s="0" t="n">
        <f aca="false">'[1]Nutrient content per 100 grams'!Y105</f>
        <v>0.25175</v>
      </c>
      <c r="AF285" s="0" t="n">
        <f aca="false">'[1]Nutrient content per 100 grams'!Z105</f>
        <v>0.181666666666667</v>
      </c>
      <c r="AG285" s="0" t="n">
        <f aca="false">'[1]Nutrient content per 100 grams'!AA105</f>
        <v>0.247666666666667</v>
      </c>
    </row>
    <row r="286" customFormat="false" ht="14.25" hidden="false" customHeight="false" outlineLevel="0" collapsed="false">
      <c r="A286" s="0" t="n">
        <v>622</v>
      </c>
      <c r="B286" s="0" t="s">
        <v>656</v>
      </c>
      <c r="C286" s="0" t="s">
        <v>550</v>
      </c>
      <c r="E286" s="0" t="s">
        <v>657</v>
      </c>
      <c r="F286" s="0" t="s">
        <v>658</v>
      </c>
      <c r="G286" s="0" t="n">
        <v>21439.9</v>
      </c>
      <c r="I286" s="0" t="n">
        <f aca="false">VLOOKUP($A286,content_factors_backup!$A$2:$Q$468,I$525,FALSE())</f>
        <v>12</v>
      </c>
      <c r="J286" s="0" t="n">
        <f aca="false">'[1]Nutrient content per 100 grams'!D106</f>
        <v>51.6666666666667</v>
      </c>
      <c r="K286" s="0" t="n">
        <f aca="false">'[1]Nutrient content per 100 grams'!E106</f>
        <v>0.261666666666667</v>
      </c>
      <c r="L286" s="0" t="n">
        <f aca="false">'[1]Nutrient content per 100 grams'!F106</f>
        <v>0.35</v>
      </c>
      <c r="M286" s="0" t="n">
        <f aca="false">'[1]Nutrient content per 100 grams'!G106</f>
        <v>0.0966666666666667</v>
      </c>
      <c r="N286" s="0" t="n">
        <f aca="false">'[1]Nutrient content per 100 grams'!H106</f>
        <v>0.36</v>
      </c>
      <c r="O286" s="0" t="n">
        <f aca="false">'[1]Nutrient content per 100 grams'!I106</f>
        <v>8.5</v>
      </c>
      <c r="P286" s="0" t="n">
        <f aca="false">'[1]Nutrient content per 100 grams'!J106</f>
        <v>6.83333333333333</v>
      </c>
      <c r="Q286" s="0" t="n">
        <f aca="false">'[1]Nutrient content per 100 grams'!K106</f>
        <v>0.03225</v>
      </c>
      <c r="R286" s="0" t="n">
        <f aca="false">'[1]Nutrient content per 100 grams'!L106</f>
        <v>2.89090909090909</v>
      </c>
      <c r="S286" s="0" t="n">
        <f aca="false">'[1]Nutrient content per 100 grams'!M106</f>
        <v>106.333333333333</v>
      </c>
      <c r="T286" s="0" t="n">
        <f aca="false">'[1]Nutrient content per 100 grams'!N106</f>
        <v>0.225833333333333</v>
      </c>
      <c r="U286" s="0" t="n">
        <f aca="false">'[1]Nutrient content per 100 grams'!O106</f>
        <v>2.79166666666667</v>
      </c>
      <c r="V286" s="0" t="n">
        <f aca="false">'[1]Nutrient content per 100 grams'!P106</f>
        <v>20.5</v>
      </c>
      <c r="W286" s="0" t="n">
        <f aca="false">'[1]Nutrient content per 100 grams'!Q106</f>
        <v>8.25</v>
      </c>
      <c r="X286" s="0" t="n">
        <f aca="false">'[1]Nutrient content per 100 grams'!R106</f>
        <v>7.83333333333333</v>
      </c>
      <c r="Y286" s="0" t="n">
        <f aca="false">'[1]Nutrient content per 100 grams'!S106</f>
        <v>0.04875</v>
      </c>
      <c r="Z286" s="0" t="n">
        <f aca="false">'[1]Nutrient content per 100 grams'!T106</f>
        <v>0.030875</v>
      </c>
      <c r="AA286" s="0" t="n">
        <f aca="false">'[1]Nutrient content per 100 grams'!U106</f>
        <v>0.2</v>
      </c>
      <c r="AB286" s="0" t="n">
        <f aca="false">'[1]Nutrient content per 100 grams'!V106</f>
        <v>141.9</v>
      </c>
      <c r="AC286" s="0" t="n">
        <f aca="false">'[1]Nutrient content per 100 grams'!W106</f>
        <v>0.00633333333333333</v>
      </c>
      <c r="AD286" s="0" t="n">
        <f aca="false">'[1]Nutrient content per 100 grams'!X106</f>
        <v>0.489583333333333</v>
      </c>
      <c r="AE286" s="0" t="n">
        <f aca="false">'[1]Nutrient content per 100 grams'!Y106</f>
        <v>0.100777777777778</v>
      </c>
      <c r="AF286" s="0" t="n">
        <f aca="false">'[1]Nutrient content per 100 grams'!Z106</f>
        <v>0.0213333333333333</v>
      </c>
      <c r="AG286" s="0" t="n">
        <f aca="false">'[1]Nutrient content per 100 grams'!AA106</f>
        <v>0.0668181818181818</v>
      </c>
    </row>
    <row r="287" customFormat="false" ht="14.25" hidden="false" customHeight="false" outlineLevel="0" collapsed="false">
      <c r="A287" s="0" t="n">
        <v>623</v>
      </c>
      <c r="B287" s="0" t="s">
        <v>659</v>
      </c>
      <c r="C287" s="0" t="s">
        <v>660</v>
      </c>
      <c r="E287" s="0" t="s">
        <v>661</v>
      </c>
      <c r="F287" s="0" t="s">
        <v>662</v>
      </c>
      <c r="G287" s="0" t="s">
        <v>663</v>
      </c>
      <c r="I287" s="0" t="n">
        <f aca="false">VLOOKUP($A287,content_factors_backup!$A$2:$Q$468,I$525,FALSE())</f>
        <v>12</v>
      </c>
      <c r="J287" s="0" t="n">
        <f aca="false">'[1]Nutrient content per 100 grams'!D107</f>
        <v>55.2105263157895</v>
      </c>
      <c r="K287" s="0" t="n">
        <f aca="false">'[1]Nutrient content per 100 grams'!E107</f>
        <v>0.726315789473684</v>
      </c>
      <c r="L287" s="0" t="n">
        <f aca="false">'[1]Nutrient content per 100 grams'!F107</f>
        <v>2.51944444444444</v>
      </c>
      <c r="M287" s="0" t="n">
        <f aca="false">'[1]Nutrient content per 100 grams'!G107</f>
        <v>0.152368421052632</v>
      </c>
      <c r="N287" s="0" t="n">
        <f aca="false">'[1]Nutrient content per 100 grams'!H107</f>
        <v>0.596052631578947</v>
      </c>
      <c r="O287" s="0" t="n">
        <f aca="false">'[1]Nutrient content per 100 grams'!I107</f>
        <v>14.8157894736842</v>
      </c>
      <c r="P287" s="0" t="n">
        <f aca="false">'[1]Nutrient content per 100 grams'!J107</f>
        <v>7.72222222222222</v>
      </c>
      <c r="Q287" s="0" t="n">
        <f aca="false">'[1]Nutrient content per 100 grams'!K107</f>
        <v>0.030421052631579</v>
      </c>
      <c r="R287" s="0" t="n">
        <f aca="false">'[1]Nutrient content per 100 grams'!L107</f>
        <v>5.24230769230769</v>
      </c>
      <c r="S287" s="0" t="n">
        <f aca="false">'[1]Nutrient content per 100 grams'!M107</f>
        <v>179.763157894737</v>
      </c>
      <c r="T287" s="0" t="n">
        <f aca="false">'[1]Nutrient content per 100 grams'!N107</f>
        <v>0.427931034482759</v>
      </c>
      <c r="U287" s="0" t="n">
        <f aca="false">'[1]Nutrient content per 100 grams'!O107</f>
        <v>5.02068965517241</v>
      </c>
      <c r="V287" s="0" t="n">
        <f aca="false">'[1]Nutrient content per 100 grams'!P107</f>
        <v>27.4285714285714</v>
      </c>
      <c r="W287" s="0" t="n">
        <f aca="false">'[1]Nutrient content per 100 grams'!Q107</f>
        <v>11.1315789473684</v>
      </c>
      <c r="X287" s="0" t="n">
        <f aca="false">'[1]Nutrient content per 100 grams'!R107</f>
        <v>17.9736842105263</v>
      </c>
      <c r="Y287" s="0" t="n">
        <f aca="false">'[1]Nutrient content per 100 grams'!S107</f>
        <v>0.0820277777777778</v>
      </c>
      <c r="Z287" s="0" t="n">
        <f aca="false">'[1]Nutrient content per 100 grams'!T107</f>
        <v>0.288578947368421</v>
      </c>
      <c r="AA287" s="0" t="n">
        <f aca="false">'[1]Nutrient content per 100 grams'!U107</f>
        <v>0.264516129032258</v>
      </c>
      <c r="AB287" s="0" t="n">
        <f aca="false">'[1]Nutrient content per 100 grams'!V107</f>
        <v>11.2763157894737</v>
      </c>
      <c r="AC287" s="0" t="n">
        <f aca="false">'[1]Nutrient content per 100 grams'!W107</f>
        <v>0.0268684210526316</v>
      </c>
      <c r="AD287" s="0" t="n">
        <f aca="false">'[1]Nutrient content per 100 grams'!X107</f>
        <v>0.5355</v>
      </c>
      <c r="AE287" s="0" t="n">
        <f aca="false">'[1]Nutrient content per 100 grams'!Y107</f>
        <v>0.135638888888889</v>
      </c>
      <c r="AF287" s="0" t="n">
        <f aca="false">'[1]Nutrient content per 100 grams'!Z107</f>
        <v>0.0538947368421053</v>
      </c>
      <c r="AG287" s="0" t="n">
        <f aca="false">'[1]Nutrient content per 100 grams'!AA107</f>
        <v>0.0761470588235294</v>
      </c>
    </row>
    <row r="288" customFormat="false" ht="14.25" hidden="false" customHeight="false" outlineLevel="0" collapsed="false">
      <c r="A288" s="0" t="n">
        <v>626</v>
      </c>
      <c r="B288" s="0" t="s">
        <v>664</v>
      </c>
      <c r="C288" s="0" t="s">
        <v>665</v>
      </c>
      <c r="E288" s="0" t="n">
        <v>200710</v>
      </c>
      <c r="F288" s="0" t="n">
        <v>200710</v>
      </c>
      <c r="G288" s="0" t="n">
        <v>23991.03</v>
      </c>
      <c r="I288" s="0" t="n">
        <f aca="false">VLOOKUP($A288,content_factors_backup!$A$2:$Q$468,I$525,FALSE())</f>
        <v>20</v>
      </c>
      <c r="J288" s="0" t="n">
        <f aca="false">'[1]Nutrient content per 100 grams'!D108</f>
        <v>55.44</v>
      </c>
      <c r="K288" s="0" t="n">
        <f aca="false">'[1]Nutrient content per 100 grams'!E108</f>
        <v>0.358</v>
      </c>
      <c r="L288" s="0" t="n">
        <f aca="false">'[1]Nutrient content per 100 grams'!F108</f>
        <v>1.744</v>
      </c>
      <c r="M288" s="0" t="n">
        <f aca="false">'[1]Nutrient content per 100 grams'!G108</f>
        <v>0.064</v>
      </c>
      <c r="N288" s="0" t="n">
        <f aca="false">'[1]Nutrient content per 100 grams'!H108</f>
        <v>0.2416</v>
      </c>
      <c r="O288" s="0" t="n">
        <f aca="false">'[1]Nutrient content per 100 grams'!I108</f>
        <v>6.2</v>
      </c>
      <c r="P288" s="0" t="n">
        <f aca="false">'[1]Nutrient content per 100 grams'!J108</f>
        <v>4.36</v>
      </c>
      <c r="Q288" s="0" t="n">
        <f aca="false">'[1]Nutrient content per 100 grams'!K108</f>
        <v>0.0406</v>
      </c>
      <c r="R288" s="0" t="n">
        <f aca="false">'[1]Nutrient content per 100 grams'!L108</f>
        <v>4.35652173913044</v>
      </c>
      <c r="S288" s="0" t="n">
        <f aca="false">'[1]Nutrient content per 100 grams'!M108</f>
        <v>123.76</v>
      </c>
      <c r="T288" s="0" t="n">
        <f aca="false">'[1]Nutrient content per 100 grams'!N108</f>
        <v>0.4132</v>
      </c>
      <c r="U288" s="0" t="n">
        <f aca="false">'[1]Nutrient content per 100 grams'!O108</f>
        <v>3.25217391304348</v>
      </c>
      <c r="V288" s="0" t="n">
        <f aca="false">'[1]Nutrient content per 100 grams'!P108</f>
        <v>4.8</v>
      </c>
      <c r="W288" s="0" t="n">
        <f aca="false">'[1]Nutrient content per 100 grams'!Q108</f>
        <v>7.44</v>
      </c>
      <c r="X288" s="0" t="n">
        <f aca="false">'[1]Nutrient content per 100 grams'!R108</f>
        <v>11.52</v>
      </c>
      <c r="Y288" s="0" t="n">
        <f aca="false">'[1]Nutrient content per 100 grams'!S108</f>
        <v>0.05616</v>
      </c>
      <c r="Z288" s="0" t="n">
        <f aca="false">'[1]Nutrient content per 100 grams'!T108</f>
        <v>0.0537142857142857</v>
      </c>
      <c r="AA288" s="0" t="n">
        <f aca="false">'[1]Nutrient content per 100 grams'!U108</f>
        <v>0.384</v>
      </c>
      <c r="AB288" s="0" t="n">
        <f aca="false">'[1]Nutrient content per 100 grams'!V108</f>
        <v>27.284</v>
      </c>
      <c r="AC288" s="0" t="n">
        <f aca="false">'[1]Nutrient content per 100 grams'!W108</f>
        <v>0.01472</v>
      </c>
      <c r="AD288" s="0" t="n">
        <f aca="false">'[1]Nutrient content per 100 grams'!X108</f>
        <v>0.31916</v>
      </c>
      <c r="AE288" s="0" t="n">
        <f aca="false">'[1]Nutrient content per 100 grams'!Y108</f>
        <v>0.111318181818182</v>
      </c>
      <c r="AF288" s="0" t="n">
        <f aca="false">'[1]Nutrient content per 100 grams'!Z108</f>
        <v>0.0558</v>
      </c>
      <c r="AG288" s="0" t="n">
        <f aca="false">'[1]Nutrient content per 100 grams'!AA108</f>
        <v>0.04372</v>
      </c>
    </row>
    <row r="289" customFormat="false" ht="14.25" hidden="false" customHeight="false" outlineLevel="0" collapsed="false">
      <c r="A289" s="0" t="n">
        <v>628</v>
      </c>
      <c r="B289" s="0" t="s">
        <v>666</v>
      </c>
      <c r="C289" s="0" t="s">
        <v>667</v>
      </c>
      <c r="E289" s="0" t="n">
        <v>230800</v>
      </c>
      <c r="F289" s="0" t="n">
        <v>230800</v>
      </c>
      <c r="G289" s="0" t="n">
        <v>39120.15</v>
      </c>
      <c r="I289" s="0" t="n">
        <f aca="false">VLOOKUP($A289,content_factors_backup!$A$2:$Q$468,I$525,FALSE())</f>
        <v>20</v>
      </c>
      <c r="J289" s="0" t="n">
        <f aca="false">VLOOKUP($A289,content_factors_backup!$A$2:$Q$468,J$525,FALSE())</f>
        <v>55</v>
      </c>
      <c r="K289" s="0" t="n">
        <f aca="false">VLOOKUP($A289,content_factors_backup!$A$2:$Q$468,K$525,FALSE())</f>
        <v>0.41</v>
      </c>
      <c r="L289" s="0" t="n">
        <f aca="false">VLOOKUP($A289,content_factors_backup!$A$2:$Q$468,L$525,FALSE())</f>
        <v>1.2</v>
      </c>
      <c r="M289" s="0" t="n">
        <f aca="false">VLOOKUP($A289,content_factors_backup!$A$2:$Q$468,M$525,FALSE())</f>
        <v>0.08</v>
      </c>
      <c r="N289" s="0" t="n">
        <f aca="false">VLOOKUP($A289,content_factors_backup!$A$2:$Q$468,N$525,FALSE())</f>
        <v>0.29</v>
      </c>
      <c r="O289" s="0" t="n">
        <f aca="false">VLOOKUP($A289,content_factors_backup!$A$2:$Q$468,O$525,FALSE())</f>
        <v>5</v>
      </c>
      <c r="P289" s="0" t="n">
        <f aca="false">VLOOKUP($A289,content_factors_backup!$A$2:$Q$468,P$525,FALSE())</f>
        <v>2</v>
      </c>
      <c r="Q289" s="0" t="n">
        <f aca="false">VLOOKUP($A289,content_factors_backup!$A$2:$Q$468,Q$525,FALSE())</f>
        <v>0.038</v>
      </c>
      <c r="R289" s="0" t="n">
        <f aca="false">VLOOKUP($A289,content_factors_backup!$A$2:$Q$468,R$525,FALSE())</f>
        <v>0</v>
      </c>
      <c r="S289" s="0" t="n">
        <f aca="false">VLOOKUP($A289,content_factors_backup!$A$2:$Q$468,S$525,FALSE())</f>
        <v>85</v>
      </c>
      <c r="T289" s="0" t="n">
        <f aca="false">VLOOKUP($A289,content_factors_backup!$A$2:$Q$468,T$525,FALSE())</f>
        <v>0</v>
      </c>
      <c r="U289" s="0" t="n">
        <f aca="false">VLOOKUP($A289,content_factors_backup!$A$2:$Q$468,U$525,FALSE())</f>
        <v>0</v>
      </c>
      <c r="V289" s="0" t="n">
        <f aca="false">VLOOKUP($A289,content_factors_backup!$A$2:$Q$468,V$525,FALSE())</f>
        <v>2.9</v>
      </c>
      <c r="W289" s="0" t="n">
        <f aca="false">VLOOKUP($A289,content_factors_backup!$A$2:$Q$468,W$525,FALSE())</f>
        <v>10</v>
      </c>
    </row>
    <row r="290" customFormat="false" ht="14.25" hidden="false" customHeight="false" outlineLevel="0" collapsed="false">
      <c r="A290" s="0" t="n">
        <v>630</v>
      </c>
      <c r="B290" s="0" t="s">
        <v>668</v>
      </c>
      <c r="C290" s="0" t="s">
        <v>669</v>
      </c>
      <c r="E290" s="0" t="n">
        <v>230800</v>
      </c>
      <c r="F290" s="0" t="n">
        <v>230800</v>
      </c>
      <c r="G290" s="0" t="n">
        <v>39120.17</v>
      </c>
      <c r="I290" s="0" t="n">
        <f aca="false">VLOOKUP($A290,content_factors_backup!$A$2:$Q$468,I$525,FALSE())</f>
        <v>0</v>
      </c>
      <c r="J290" s="0" t="e">
        <f aca="false">VLOOKUP($A290,content_factors_backup!$A$2:$Q$468,J$525,FALSE())</f>
        <v>#N/A</v>
      </c>
      <c r="K290" s="0" t="e">
        <f aca="false">VLOOKUP($A290,content_factors_backup!$A$2:$Q$468,K$525,FALSE())</f>
        <v>#N/A</v>
      </c>
      <c r="L290" s="0" t="e">
        <f aca="false">VLOOKUP($A290,content_factors_backup!$A$2:$Q$468,L$525,FALSE())</f>
        <v>#N/A</v>
      </c>
      <c r="M290" s="0" t="e">
        <f aca="false">VLOOKUP($A290,content_factors_backup!$A$2:$Q$468,M$525,FALSE())</f>
        <v>#N/A</v>
      </c>
      <c r="N290" s="0" t="e">
        <f aca="false">VLOOKUP($A290,content_factors_backup!$A$2:$Q$468,N$525,FALSE())</f>
        <v>#N/A</v>
      </c>
      <c r="O290" s="0" t="e">
        <f aca="false">VLOOKUP($A290,content_factors_backup!$A$2:$Q$468,O$525,FALSE())</f>
        <v>#N/A</v>
      </c>
      <c r="P290" s="0" t="e">
        <f aca="false">VLOOKUP($A290,content_factors_backup!$A$2:$Q$468,P$525,FALSE())</f>
        <v>#N/A</v>
      </c>
      <c r="Q290" s="0" t="e">
        <f aca="false">VLOOKUP($A290,content_factors_backup!$A$2:$Q$468,Q$525,FALSE())</f>
        <v>#N/A</v>
      </c>
      <c r="R290" s="0" t="e">
        <f aca="false">VLOOKUP($A290,content_factors_backup!$A$2:$Q$468,R$525,FALSE())</f>
        <v>#N/A</v>
      </c>
      <c r="S290" s="0" t="e">
        <f aca="false">VLOOKUP($A290,content_factors_backup!$A$2:$Q$468,S$525,FALSE())</f>
        <v>#N/A</v>
      </c>
      <c r="T290" s="0" t="e">
        <f aca="false">VLOOKUP($A290,content_factors_backup!$A$2:$Q$468,T$525,FALSE())</f>
        <v>#N/A</v>
      </c>
      <c r="U290" s="0" t="e">
        <f aca="false">VLOOKUP($A290,content_factors_backup!$A$2:$Q$468,U$525,FALSE())</f>
        <v>#N/A</v>
      </c>
      <c r="V290" s="0" t="e">
        <f aca="false">VLOOKUP($A290,content_factors_backup!$A$2:$Q$468,V$525,FALSE())</f>
        <v>#N/A</v>
      </c>
      <c r="W290" s="0" t="e">
        <f aca="false">VLOOKUP($A290,content_factors_backup!$A$2:$Q$468,W$525,FALSE())</f>
        <v>#N/A</v>
      </c>
    </row>
    <row r="291" customFormat="false" ht="14.25" hidden="false" customHeight="false" outlineLevel="0" collapsed="false">
      <c r="A291" s="0" t="n">
        <v>631</v>
      </c>
      <c r="B291" s="0" t="s">
        <v>670</v>
      </c>
      <c r="C291" s="0" t="s">
        <v>671</v>
      </c>
      <c r="E291" s="0" t="s">
        <v>672</v>
      </c>
      <c r="F291" s="0" t="s">
        <v>672</v>
      </c>
      <c r="G291" s="0" t="n">
        <v>17400</v>
      </c>
      <c r="I291" s="0" t="n">
        <f aca="false">VLOOKUP($A291,content_factors_backup!$A$2:$Q$468,I$525,FALSE())</f>
        <v>1</v>
      </c>
      <c r="J291" s="0" t="e">
        <f aca="false">VLOOKUP($A291,content_factors_backup!$A$2:$Q$468,J$525,FALSE())</f>
        <v>#N/A</v>
      </c>
      <c r="K291" s="0" t="e">
        <f aca="false">VLOOKUP($A291,content_factors_backup!$A$2:$Q$468,K$525,FALSE())</f>
        <v>#N/A</v>
      </c>
      <c r="L291" s="0" t="e">
        <f aca="false">VLOOKUP($A291,content_factors_backup!$A$2:$Q$468,L$525,FALSE())</f>
        <v>#N/A</v>
      </c>
      <c r="M291" s="0" t="e">
        <f aca="false">VLOOKUP($A291,content_factors_backup!$A$2:$Q$468,M$525,FALSE())</f>
        <v>#N/A</v>
      </c>
      <c r="N291" s="0" t="e">
        <f aca="false">VLOOKUP($A291,content_factors_backup!$A$2:$Q$468,N$525,FALSE())</f>
        <v>#N/A</v>
      </c>
      <c r="O291" s="0" t="e">
        <f aca="false">VLOOKUP($A291,content_factors_backup!$A$2:$Q$468,O$525,FALSE())</f>
        <v>#N/A</v>
      </c>
      <c r="P291" s="0" t="e">
        <f aca="false">VLOOKUP($A291,content_factors_backup!$A$2:$Q$468,P$525,FALSE())</f>
        <v>#N/A</v>
      </c>
      <c r="Q291" s="0" t="e">
        <f aca="false">VLOOKUP($A291,content_factors_backup!$A$2:$Q$468,Q$525,FALSE())</f>
        <v>#N/A</v>
      </c>
      <c r="R291" s="0" t="e">
        <f aca="false">VLOOKUP($A291,content_factors_backup!$A$2:$Q$468,R$525,FALSE())</f>
        <v>#N/A</v>
      </c>
      <c r="S291" s="0" t="e">
        <f aca="false">VLOOKUP($A291,content_factors_backup!$A$2:$Q$468,S$525,FALSE())</f>
        <v>#N/A</v>
      </c>
      <c r="T291" s="0" t="e">
        <f aca="false">VLOOKUP($A291,content_factors_backup!$A$2:$Q$468,T$525,FALSE())</f>
        <v>#N/A</v>
      </c>
      <c r="U291" s="0" t="e">
        <f aca="false">VLOOKUP($A291,content_factors_backup!$A$2:$Q$468,U$525,FALSE())</f>
        <v>#N/A</v>
      </c>
      <c r="V291" s="0" t="e">
        <f aca="false">VLOOKUP($A291,content_factors_backup!$A$2:$Q$468,V$525,FALSE())</f>
        <v>#N/A</v>
      </c>
      <c r="W291" s="0" t="e">
        <f aca="false">VLOOKUP($A291,content_factors_backup!$A$2:$Q$468,W$525,FALSE())</f>
        <v>#N/A</v>
      </c>
    </row>
    <row r="292" customFormat="false" ht="14.25" hidden="false" customHeight="false" outlineLevel="0" collapsed="false">
      <c r="A292" s="0" t="n">
        <v>633</v>
      </c>
      <c r="B292" s="0" t="s">
        <v>673</v>
      </c>
      <c r="C292" s="0" t="s">
        <v>674</v>
      </c>
      <c r="E292" s="0" t="s">
        <v>675</v>
      </c>
      <c r="F292" s="0" t="s">
        <v>675</v>
      </c>
      <c r="G292" s="0" t="n">
        <v>24490</v>
      </c>
      <c r="I292" s="0" t="n">
        <f aca="false">VLOOKUP($A292,content_factors_backup!$A$2:$Q$468,I$525,FALSE())</f>
        <v>8</v>
      </c>
      <c r="J292" s="0" t="n">
        <f aca="false">VLOOKUP($A292,content_factors_backup!$A$2:$Q$468,J$525,FALSE())</f>
        <v>43</v>
      </c>
      <c r="K292" s="0" t="n">
        <f aca="false">VLOOKUP($A292,content_factors_backup!$A$2:$Q$468,K$525,FALSE())</f>
        <v>0.46</v>
      </c>
      <c r="L292" s="0" t="n">
        <f aca="false">VLOOKUP($A292,content_factors_backup!$A$2:$Q$468,L$525,FALSE())</f>
        <v>0</v>
      </c>
      <c r="M292" s="0" t="n">
        <f aca="false">VLOOKUP($A292,content_factors_backup!$A$2:$Q$468,M$525,FALSE())</f>
        <v>0.14</v>
      </c>
      <c r="N292" s="0" t="n">
        <f aca="false">VLOOKUP($A292,content_factors_backup!$A$2:$Q$468,N$525,FALSE())</f>
        <v>0.6</v>
      </c>
      <c r="O292" s="0" t="n">
        <f aca="false">VLOOKUP($A292,content_factors_backup!$A$2:$Q$468,O$525,FALSE())</f>
        <v>8</v>
      </c>
      <c r="P292" s="0" t="n">
        <f aca="false">VLOOKUP($A292,content_factors_backup!$A$2:$Q$468,P$525,FALSE())</f>
        <v>3</v>
      </c>
      <c r="Q292" s="0" t="n">
        <f aca="false">VLOOKUP($A292,content_factors_backup!$A$2:$Q$468,Q$525,FALSE())</f>
        <v>0.04</v>
      </c>
      <c r="R292" s="0" t="n">
        <f aca="false">VLOOKUP($A292,content_factors_backup!$A$2:$Q$468,R$525,FALSE())</f>
        <v>5.05</v>
      </c>
      <c r="S292" s="0" t="n">
        <f aca="false">VLOOKUP($A292,content_factors_backup!$A$2:$Q$468,S$525,FALSE())</f>
        <v>31</v>
      </c>
      <c r="T292" s="0" t="n">
        <f aca="false">VLOOKUP($A292,content_factors_backup!$A$2:$Q$468,T$525,FALSE())</f>
        <v>0.0236608496560383</v>
      </c>
      <c r="U292" s="0" t="n">
        <f aca="false">VLOOKUP($A292,content_factors_backup!$A$2:$Q$468,U$525,FALSE())</f>
        <v>0.0158578034928767</v>
      </c>
      <c r="V292" s="0" t="n">
        <f aca="false">VLOOKUP($A292,content_factors_backup!$A$2:$Q$468,V$525,FALSE())</f>
        <v>0.010068446662144</v>
      </c>
      <c r="W292" s="0" t="n">
        <f aca="false">VLOOKUP($A292,content_factors_backup!$A$2:$Q$468,W$525,FALSE())</f>
        <v>0</v>
      </c>
    </row>
    <row r="293" customFormat="false" ht="14.25" hidden="false" customHeight="false" outlineLevel="0" collapsed="false">
      <c r="A293" s="0" t="n">
        <v>634</v>
      </c>
      <c r="B293" s="0" t="s">
        <v>676</v>
      </c>
      <c r="C293" s="0" t="s">
        <v>677</v>
      </c>
      <c r="E293" s="0" t="s">
        <v>678</v>
      </c>
      <c r="F293" s="0" t="s">
        <v>678</v>
      </c>
      <c r="G293" s="0" t="n">
        <v>2413</v>
      </c>
      <c r="I293" s="0" t="n">
        <f aca="false">VLOOKUP($A293,content_factors_backup!$A$2:$Q$468,I$525,FALSE())</f>
        <v>40</v>
      </c>
      <c r="J293" s="0" t="n">
        <f aca="false">VLOOKUP($A293,content_factors_backup!$A$2:$Q$468,J$525,FALSE())</f>
        <v>141</v>
      </c>
      <c r="K293" s="0" t="n">
        <f aca="false">VLOOKUP($A293,content_factors_backup!$A$2:$Q$468,K$525,FALSE())</f>
        <v>0</v>
      </c>
      <c r="L293" s="0" t="n">
        <f aca="false">VLOOKUP($A293,content_factors_backup!$A$2:$Q$468,L$525,FALSE())</f>
        <v>0.3</v>
      </c>
      <c r="M293" s="0" t="n">
        <f aca="false">VLOOKUP($A293,content_factors_backup!$A$2:$Q$468,M$525,FALSE())</f>
        <v>0</v>
      </c>
      <c r="N293" s="0" t="n">
        <f aca="false">VLOOKUP($A293,content_factors_backup!$A$2:$Q$468,N$525,FALSE())</f>
        <v>0.04</v>
      </c>
      <c r="O293" s="0" t="n">
        <f aca="false">VLOOKUP($A293,content_factors_backup!$A$2:$Q$468,O$525,FALSE())</f>
        <v>0</v>
      </c>
      <c r="P293" s="0" t="n">
        <f aca="false">VLOOKUP($A293,content_factors_backup!$A$2:$Q$468,P$525,FALSE())</f>
        <v>0</v>
      </c>
      <c r="Q293" s="0" t="n">
        <f aca="false">VLOOKUP($A293,content_factors_backup!$A$2:$Q$468,Q$525,FALSE())</f>
        <v>0.004</v>
      </c>
      <c r="R293" s="0" t="n">
        <f aca="false">VLOOKUP($A293,content_factors_backup!$A$2:$Q$468,R$525,FALSE())</f>
        <v>0</v>
      </c>
      <c r="S293" s="0" t="n">
        <f aca="false">VLOOKUP($A293,content_factors_backup!$A$2:$Q$468,S$525,FALSE())</f>
        <v>2</v>
      </c>
      <c r="T293" s="0" t="n">
        <f aca="false">VLOOKUP($A293,content_factors_backup!$A$2:$Q$468,T$525,FALSE())</f>
        <v>0</v>
      </c>
      <c r="U293" s="0" t="n">
        <f aca="false">VLOOKUP($A293,content_factors_backup!$A$2:$Q$468,U$525,FALSE())</f>
        <v>0</v>
      </c>
      <c r="V293" s="0" t="n">
        <f aca="false">VLOOKUP($A293,content_factors_backup!$A$2:$Q$468,V$525,FALSE())</f>
        <v>0</v>
      </c>
      <c r="W293" s="0" t="n">
        <f aca="false">VLOOKUP($A293,content_factors_backup!$A$2:$Q$468,W$525,FALSE())</f>
        <v>0</v>
      </c>
    </row>
    <row r="294" customFormat="false" ht="14.25" hidden="false" customHeight="false" outlineLevel="0" collapsed="false">
      <c r="A294" s="0" t="n">
        <v>635</v>
      </c>
      <c r="B294" s="0" t="s">
        <v>679</v>
      </c>
      <c r="C294" s="0" t="s">
        <v>680</v>
      </c>
      <c r="E294" s="0" t="n">
        <v>121300</v>
      </c>
      <c r="F294" s="0" t="n">
        <v>121300</v>
      </c>
      <c r="G294" s="0" t="n">
        <v>1913</v>
      </c>
      <c r="I294" s="0" t="n">
        <f aca="false">VLOOKUP($A294,content_factors_backup!$A$2:$Q$468,I$525,FALSE())</f>
        <v>86</v>
      </c>
      <c r="J294" s="0" t="n">
        <f aca="false">VLOOKUP($A294,content_factors_backup!$A$2:$Q$468,J$525,FALSE())</f>
        <v>0</v>
      </c>
      <c r="K294" s="0" t="n">
        <f aca="false">VLOOKUP($A294,content_factors_backup!$A$2:$Q$468,K$525,FALSE())</f>
        <v>0</v>
      </c>
      <c r="L294" s="0" t="n">
        <f aca="false">VLOOKUP($A294,content_factors_backup!$A$2:$Q$468,L$525,FALSE())</f>
        <v>0</v>
      </c>
      <c r="M294" s="0" t="n">
        <f aca="false">VLOOKUP($A294,content_factors_backup!$A$2:$Q$468,M$525,FALSE())</f>
        <v>0</v>
      </c>
      <c r="N294" s="0" t="n">
        <f aca="false">VLOOKUP($A294,content_factors_backup!$A$2:$Q$468,N$525,FALSE())</f>
        <v>0</v>
      </c>
      <c r="O294" s="0" t="n">
        <f aca="false">VLOOKUP($A294,content_factors_backup!$A$2:$Q$468,O$525,FALSE())</f>
        <v>0</v>
      </c>
      <c r="P294" s="0" t="n">
        <f aca="false">VLOOKUP($A294,content_factors_backup!$A$2:$Q$468,P$525,FALSE())</f>
        <v>0</v>
      </c>
      <c r="Q294" s="0" t="n">
        <f aca="false">VLOOKUP($A294,content_factors_backup!$A$2:$Q$468,Q$525,FALSE())</f>
        <v>0</v>
      </c>
      <c r="R294" s="0" t="n">
        <f aca="false">VLOOKUP($A294,content_factors_backup!$A$2:$Q$468,R$525,FALSE())</f>
        <v>0</v>
      </c>
      <c r="S294" s="0" t="n">
        <f aca="false">VLOOKUP($A294,content_factors_backup!$A$2:$Q$468,S$525,FALSE())</f>
        <v>0</v>
      </c>
      <c r="T294" s="0" t="n">
        <f aca="false">VLOOKUP($A294,content_factors_backup!$A$2:$Q$468,T$525,FALSE())</f>
        <v>0</v>
      </c>
      <c r="U294" s="0" t="n">
        <f aca="false">VLOOKUP($A294,content_factors_backup!$A$2:$Q$468,U$525,FALSE())</f>
        <v>0</v>
      </c>
      <c r="V294" s="0" t="n">
        <f aca="false">VLOOKUP($A294,content_factors_backup!$A$2:$Q$468,V$525,FALSE())</f>
        <v>0</v>
      </c>
      <c r="W294" s="0" t="n">
        <f aca="false">VLOOKUP($A294,content_factors_backup!$A$2:$Q$468,W$525,FALSE())</f>
        <v>0</v>
      </c>
    </row>
    <row r="295" customFormat="false" ht="14.25" hidden="false" customHeight="false" outlineLevel="0" collapsed="false">
      <c r="A295" s="0" t="n">
        <v>639</v>
      </c>
      <c r="B295" s="0" t="s">
        <v>681</v>
      </c>
      <c r="C295" s="0" t="s">
        <v>682</v>
      </c>
      <c r="E295" s="0" t="n">
        <v>121490</v>
      </c>
      <c r="F295" s="0" t="n">
        <v>121490</v>
      </c>
      <c r="G295" s="0" t="n">
        <v>1919.91</v>
      </c>
      <c r="I295" s="0" t="e">
        <f aca="false">VLOOKUP($A295,content_factors_backup!$A$2:$Q$468,I$525,FALSE())</f>
        <v>#N/A</v>
      </c>
      <c r="J295" s="0" t="e">
        <f aca="false">VLOOKUP($A295,content_factors_backup!$A$2:$Q$468,J$525,FALSE())</f>
        <v>#N/A</v>
      </c>
      <c r="K295" s="0" t="e">
        <f aca="false">VLOOKUP($A295,content_factors_backup!$A$2:$Q$468,K$525,FALSE())</f>
        <v>#N/A</v>
      </c>
      <c r="L295" s="0" t="e">
        <f aca="false">VLOOKUP($A295,content_factors_backup!$A$2:$Q$468,L$525,FALSE())</f>
        <v>#N/A</v>
      </c>
      <c r="M295" s="0" t="e">
        <f aca="false">VLOOKUP($A295,content_factors_backup!$A$2:$Q$468,M$525,FALSE())</f>
        <v>#N/A</v>
      </c>
      <c r="N295" s="0" t="e">
        <f aca="false">VLOOKUP($A295,content_factors_backup!$A$2:$Q$468,N$525,FALSE())</f>
        <v>#N/A</v>
      </c>
      <c r="O295" s="0" t="e">
        <f aca="false">VLOOKUP($A295,content_factors_backup!$A$2:$Q$468,O$525,FALSE())</f>
        <v>#N/A</v>
      </c>
      <c r="P295" s="0" t="e">
        <f aca="false">VLOOKUP($A295,content_factors_backup!$A$2:$Q$468,P$525,FALSE())</f>
        <v>#N/A</v>
      </c>
      <c r="Q295" s="0" t="e">
        <f aca="false">VLOOKUP($A295,content_factors_backup!$A$2:$Q$468,Q$525,FALSE())</f>
        <v>#N/A</v>
      </c>
      <c r="R295" s="0" t="e">
        <f aca="false">VLOOKUP($A295,content_factors_backup!$A$2:$Q$468,R$525,FALSE())</f>
        <v>#N/A</v>
      </c>
      <c r="S295" s="0" t="e">
        <f aca="false">VLOOKUP($A295,content_factors_backup!$A$2:$Q$468,S$525,FALSE())</f>
        <v>#N/A</v>
      </c>
      <c r="T295" s="0" t="e">
        <f aca="false">VLOOKUP($A295,content_factors_backup!$A$2:$Q$468,T$525,FALSE())</f>
        <v>#N/A</v>
      </c>
      <c r="U295" s="0" t="e">
        <f aca="false">VLOOKUP($A295,content_factors_backup!$A$2:$Q$468,U$525,FALSE())</f>
        <v>#N/A</v>
      </c>
      <c r="V295" s="0" t="e">
        <f aca="false">VLOOKUP($A295,content_factors_backup!$A$2:$Q$468,V$525,FALSE())</f>
        <v>#N/A</v>
      </c>
      <c r="W295" s="0" t="e">
        <f aca="false">VLOOKUP($A295,content_factors_backup!$A$2:$Q$468,W$525,FALSE())</f>
        <v>#N/A</v>
      </c>
    </row>
    <row r="296" customFormat="false" ht="14.25" hidden="false" customHeight="false" outlineLevel="0" collapsed="false">
      <c r="A296" s="0" t="n">
        <v>640</v>
      </c>
      <c r="B296" s="0" t="s">
        <v>683</v>
      </c>
      <c r="C296" s="0" t="s">
        <v>684</v>
      </c>
      <c r="E296" s="0" t="n">
        <v>121490</v>
      </c>
      <c r="F296" s="0" t="n">
        <v>121490</v>
      </c>
      <c r="G296" s="0" t="n">
        <v>1919.03</v>
      </c>
      <c r="I296" s="0" t="e">
        <f aca="false">VLOOKUP($A296,content_factors_backup!$A$2:$Q$468,I$525,FALSE())</f>
        <v>#N/A</v>
      </c>
      <c r="J296" s="0" t="e">
        <f aca="false">VLOOKUP($A296,content_factors_backup!$A$2:$Q$468,J$525,FALSE())</f>
        <v>#N/A</v>
      </c>
      <c r="K296" s="0" t="e">
        <f aca="false">VLOOKUP($A296,content_factors_backup!$A$2:$Q$468,K$525,FALSE())</f>
        <v>#N/A</v>
      </c>
      <c r="L296" s="0" t="e">
        <f aca="false">VLOOKUP($A296,content_factors_backup!$A$2:$Q$468,L$525,FALSE())</f>
        <v>#N/A</v>
      </c>
      <c r="M296" s="0" t="e">
        <f aca="false">VLOOKUP($A296,content_factors_backup!$A$2:$Q$468,M$525,FALSE())</f>
        <v>#N/A</v>
      </c>
      <c r="N296" s="0" t="e">
        <f aca="false">VLOOKUP($A296,content_factors_backup!$A$2:$Q$468,N$525,FALSE())</f>
        <v>#N/A</v>
      </c>
      <c r="O296" s="0" t="e">
        <f aca="false">VLOOKUP($A296,content_factors_backup!$A$2:$Q$468,O$525,FALSE())</f>
        <v>#N/A</v>
      </c>
      <c r="P296" s="0" t="e">
        <f aca="false">VLOOKUP($A296,content_factors_backup!$A$2:$Q$468,P$525,FALSE())</f>
        <v>#N/A</v>
      </c>
      <c r="Q296" s="0" t="e">
        <f aca="false">VLOOKUP($A296,content_factors_backup!$A$2:$Q$468,Q$525,FALSE())</f>
        <v>#N/A</v>
      </c>
      <c r="R296" s="0" t="e">
        <f aca="false">VLOOKUP($A296,content_factors_backup!$A$2:$Q$468,R$525,FALSE())</f>
        <v>#N/A</v>
      </c>
      <c r="S296" s="0" t="e">
        <f aca="false">VLOOKUP($A296,content_factors_backup!$A$2:$Q$468,S$525,FALSE())</f>
        <v>#N/A</v>
      </c>
      <c r="T296" s="0" t="e">
        <f aca="false">VLOOKUP($A296,content_factors_backup!$A$2:$Q$468,T$525,FALSE())</f>
        <v>#N/A</v>
      </c>
      <c r="U296" s="0" t="e">
        <f aca="false">VLOOKUP($A296,content_factors_backup!$A$2:$Q$468,U$525,FALSE())</f>
        <v>#N/A</v>
      </c>
      <c r="V296" s="0" t="e">
        <f aca="false">VLOOKUP($A296,content_factors_backup!$A$2:$Q$468,V$525,FALSE())</f>
        <v>#N/A</v>
      </c>
      <c r="W296" s="0" t="e">
        <f aca="false">VLOOKUP($A296,content_factors_backup!$A$2:$Q$468,W$525,FALSE())</f>
        <v>#N/A</v>
      </c>
    </row>
    <row r="297" customFormat="false" ht="14.25" hidden="false" customHeight="false" outlineLevel="0" collapsed="false">
      <c r="A297" s="0" t="n">
        <v>643</v>
      </c>
      <c r="B297" s="0" t="s">
        <v>685</v>
      </c>
      <c r="C297" s="0" t="s">
        <v>686</v>
      </c>
      <c r="E297" s="0" t="n">
        <v>121490</v>
      </c>
      <c r="F297" s="0" t="n">
        <v>121490</v>
      </c>
      <c r="G297" s="0" t="n">
        <v>1919.92</v>
      </c>
      <c r="I297" s="0" t="e">
        <f aca="false">VLOOKUP($A297,content_factors_backup!$A$2:$Q$468,I$525,FALSE())</f>
        <v>#N/A</v>
      </c>
      <c r="J297" s="0" t="e">
        <f aca="false">VLOOKUP($A297,content_factors_backup!$A$2:$Q$468,J$525,FALSE())</f>
        <v>#N/A</v>
      </c>
      <c r="K297" s="0" t="e">
        <f aca="false">VLOOKUP($A297,content_factors_backup!$A$2:$Q$468,K$525,FALSE())</f>
        <v>#N/A</v>
      </c>
      <c r="L297" s="0" t="e">
        <f aca="false">VLOOKUP($A297,content_factors_backup!$A$2:$Q$468,L$525,FALSE())</f>
        <v>#N/A</v>
      </c>
      <c r="M297" s="0" t="e">
        <f aca="false">VLOOKUP($A297,content_factors_backup!$A$2:$Q$468,M$525,FALSE())</f>
        <v>#N/A</v>
      </c>
      <c r="N297" s="0" t="e">
        <f aca="false">VLOOKUP($A297,content_factors_backup!$A$2:$Q$468,N$525,FALSE())</f>
        <v>#N/A</v>
      </c>
      <c r="O297" s="0" t="e">
        <f aca="false">VLOOKUP($A297,content_factors_backup!$A$2:$Q$468,O$525,FALSE())</f>
        <v>#N/A</v>
      </c>
      <c r="P297" s="0" t="e">
        <f aca="false">VLOOKUP($A297,content_factors_backup!$A$2:$Q$468,P$525,FALSE())</f>
        <v>#N/A</v>
      </c>
      <c r="Q297" s="0" t="e">
        <f aca="false">VLOOKUP($A297,content_factors_backup!$A$2:$Q$468,Q$525,FALSE())</f>
        <v>#N/A</v>
      </c>
      <c r="R297" s="0" t="e">
        <f aca="false">VLOOKUP($A297,content_factors_backup!$A$2:$Q$468,R$525,FALSE())</f>
        <v>#N/A</v>
      </c>
      <c r="S297" s="0" t="e">
        <f aca="false">VLOOKUP($A297,content_factors_backup!$A$2:$Q$468,S$525,FALSE())</f>
        <v>#N/A</v>
      </c>
      <c r="T297" s="0" t="e">
        <f aca="false">VLOOKUP($A297,content_factors_backup!$A$2:$Q$468,T$525,FALSE())</f>
        <v>#N/A</v>
      </c>
      <c r="U297" s="0" t="e">
        <f aca="false">VLOOKUP($A297,content_factors_backup!$A$2:$Q$468,U$525,FALSE())</f>
        <v>#N/A</v>
      </c>
      <c r="V297" s="0" t="e">
        <f aca="false">VLOOKUP($A297,content_factors_backup!$A$2:$Q$468,V$525,FALSE())</f>
        <v>#N/A</v>
      </c>
      <c r="W297" s="0" t="e">
        <f aca="false">VLOOKUP($A297,content_factors_backup!$A$2:$Q$468,W$525,FALSE())</f>
        <v>#N/A</v>
      </c>
    </row>
    <row r="298" customFormat="false" ht="14.25" hidden="false" customHeight="false" outlineLevel="0" collapsed="false">
      <c r="A298" s="0" t="n">
        <v>646</v>
      </c>
      <c r="B298" s="0" t="s">
        <v>687</v>
      </c>
      <c r="C298" s="0" t="s">
        <v>688</v>
      </c>
      <c r="E298" s="0" t="n">
        <v>121490</v>
      </c>
      <c r="F298" s="0" t="n">
        <v>121490</v>
      </c>
      <c r="G298" s="0" t="n">
        <v>1919.05</v>
      </c>
      <c r="I298" s="0" t="n">
        <f aca="false">VLOOKUP($A298,content_factors_backup!$A$2:$Q$468,I$525,FALSE())</f>
        <v>12</v>
      </c>
      <c r="J298" s="0" t="n">
        <f aca="false">VLOOKUP($A298,content_factors_backup!$A$2:$Q$468,J$525,FALSE())</f>
        <v>35</v>
      </c>
      <c r="K298" s="0" t="n">
        <f aca="false">VLOOKUP($A298,content_factors_backup!$A$2:$Q$468,K$525,FALSE())</f>
        <v>0.76</v>
      </c>
      <c r="L298" s="0" t="n">
        <f aca="false">VLOOKUP($A298,content_factors_backup!$A$2:$Q$468,L$525,FALSE())</f>
        <v>3</v>
      </c>
      <c r="M298" s="0" t="n">
        <f aca="false">VLOOKUP($A298,content_factors_backup!$A$2:$Q$468,M$525,FALSE())</f>
        <v>0.2</v>
      </c>
      <c r="N298" s="0" t="n">
        <f aca="false">VLOOKUP($A298,content_factors_backup!$A$2:$Q$468,N$525,FALSE())</f>
        <v>0.34</v>
      </c>
      <c r="O298" s="0" t="n">
        <f aca="false">VLOOKUP($A298,content_factors_backup!$A$2:$Q$468,O$525,FALSE())</f>
        <v>30</v>
      </c>
      <c r="P298" s="0" t="n">
        <f aca="false">VLOOKUP($A298,content_factors_backup!$A$2:$Q$468,P$525,FALSE())</f>
        <v>14</v>
      </c>
      <c r="Q298" s="0" t="n">
        <f aca="false">VLOOKUP($A298,content_factors_backup!$A$2:$Q$468,Q$525,FALSE())</f>
        <v>0.044</v>
      </c>
      <c r="R298" s="0" t="n">
        <f aca="false">VLOOKUP($A298,content_factors_backup!$A$2:$Q$468,R$525,FALSE())</f>
        <v>8.8</v>
      </c>
      <c r="S298" s="0" t="n">
        <f aca="false">VLOOKUP($A298,content_factors_backup!$A$2:$Q$468,S$525,FALSE())</f>
        <v>235</v>
      </c>
      <c r="T298" s="0" t="n">
        <f aca="false">VLOOKUP($A298,content_factors_backup!$A$2:$Q$468,T$525,FALSE())</f>
        <v>1.03</v>
      </c>
      <c r="U298" s="0" t="n">
        <f aca="false">VLOOKUP($A298,content_factors_backup!$A$2:$Q$468,U$525,FALSE())</f>
        <v>0</v>
      </c>
      <c r="V298" s="0" t="n">
        <f aca="false">VLOOKUP($A298,content_factors_backup!$A$2:$Q$468,V$525,FALSE())</f>
        <v>13.7</v>
      </c>
      <c r="W298" s="0" t="n">
        <f aca="false">VLOOKUP($A298,content_factors_backup!$A$2:$Q$468,W$525,FALSE())</f>
        <v>852</v>
      </c>
    </row>
    <row r="299" customFormat="false" ht="14.25" hidden="false" customHeight="false" outlineLevel="0" collapsed="false">
      <c r="A299" s="0" t="n">
        <v>651</v>
      </c>
      <c r="B299" s="0" t="s">
        <v>689</v>
      </c>
      <c r="C299" s="0" t="s">
        <v>690</v>
      </c>
      <c r="E299" s="0" t="n">
        <v>121490</v>
      </c>
      <c r="F299" s="0" t="n">
        <v>121490</v>
      </c>
      <c r="G299" s="0" t="n">
        <v>1919.96</v>
      </c>
      <c r="I299" s="0" t="n">
        <f aca="false">VLOOKUP($A299,content_factors_backup!$A$2:$Q$468,I$525,FALSE())</f>
        <v>86</v>
      </c>
      <c r="J299" s="0" t="n">
        <f aca="false">VLOOKUP($A299,content_factors_backup!$A$2:$Q$468,J$525,FALSE())</f>
        <v>0</v>
      </c>
      <c r="K299" s="0" t="n">
        <f aca="false">VLOOKUP($A299,content_factors_backup!$A$2:$Q$468,K$525,FALSE())</f>
        <v>0</v>
      </c>
      <c r="L299" s="0" t="n">
        <f aca="false">VLOOKUP($A299,content_factors_backup!$A$2:$Q$468,L$525,FALSE())</f>
        <v>0</v>
      </c>
      <c r="M299" s="0" t="n">
        <f aca="false">VLOOKUP($A299,content_factors_backup!$A$2:$Q$468,M$525,FALSE())</f>
        <v>0</v>
      </c>
      <c r="N299" s="0" t="n">
        <f aca="false">VLOOKUP($A299,content_factors_backup!$A$2:$Q$468,N$525,FALSE())</f>
        <v>0</v>
      </c>
      <c r="O299" s="0" t="n">
        <f aca="false">VLOOKUP($A299,content_factors_backup!$A$2:$Q$468,O$525,FALSE())</f>
        <v>0</v>
      </c>
      <c r="P299" s="0" t="n">
        <f aca="false">VLOOKUP($A299,content_factors_backup!$A$2:$Q$468,P$525,FALSE())</f>
        <v>0</v>
      </c>
      <c r="Q299" s="0" t="n">
        <f aca="false">VLOOKUP($A299,content_factors_backup!$A$2:$Q$468,Q$525,FALSE())</f>
        <v>0</v>
      </c>
      <c r="R299" s="0" t="n">
        <f aca="false">VLOOKUP($A299,content_factors_backup!$A$2:$Q$468,R$525,FALSE())</f>
        <v>0</v>
      </c>
      <c r="S299" s="0" t="n">
        <f aca="false">VLOOKUP($A299,content_factors_backup!$A$2:$Q$468,S$525,FALSE())</f>
        <v>0</v>
      </c>
      <c r="T299" s="0" t="n">
        <f aca="false">VLOOKUP($A299,content_factors_backup!$A$2:$Q$468,T$525,FALSE())</f>
        <v>0</v>
      </c>
      <c r="U299" s="0" t="n">
        <f aca="false">VLOOKUP($A299,content_factors_backup!$A$2:$Q$468,U$525,FALSE())</f>
        <v>0</v>
      </c>
      <c r="V299" s="0" t="n">
        <f aca="false">VLOOKUP($A299,content_factors_backup!$A$2:$Q$468,V$525,FALSE())</f>
        <v>0</v>
      </c>
      <c r="W299" s="0" t="n">
        <f aca="false">VLOOKUP($A299,content_factors_backup!$A$2:$Q$468,W$525,FALSE())</f>
        <v>0</v>
      </c>
    </row>
    <row r="300" customFormat="false" ht="14.25" hidden="false" customHeight="false" outlineLevel="0" collapsed="false">
      <c r="A300" s="0" t="n">
        <v>652</v>
      </c>
      <c r="B300" s="0" t="s">
        <v>691</v>
      </c>
      <c r="C300" s="0" t="s">
        <v>692</v>
      </c>
      <c r="E300" s="0" t="n">
        <v>230800</v>
      </c>
      <c r="F300" s="0" t="n">
        <v>230800</v>
      </c>
      <c r="G300" s="0" t="n">
        <v>39120.91</v>
      </c>
      <c r="I300" s="0" t="n">
        <f aca="false">VLOOKUP($A300,content_factors_backup!$A$2:$Q$468,I$525,FALSE())</f>
        <v>86</v>
      </c>
      <c r="J300" s="0" t="e">
        <f aca="false">VLOOKUP($A300,content_factors_backup!$A$2:$Q$468,J$525,FALSE())</f>
        <v>#N/A</v>
      </c>
      <c r="K300" s="0" t="e">
        <f aca="false">VLOOKUP($A300,content_factors_backup!$A$2:$Q$468,K$525,FALSE())</f>
        <v>#N/A</v>
      </c>
      <c r="L300" s="0" t="e">
        <f aca="false">VLOOKUP($A300,content_factors_backup!$A$2:$Q$468,L$525,FALSE())</f>
        <v>#N/A</v>
      </c>
      <c r="M300" s="0" t="e">
        <f aca="false">VLOOKUP($A300,content_factors_backup!$A$2:$Q$468,M$525,FALSE())</f>
        <v>#N/A</v>
      </c>
      <c r="N300" s="0" t="e">
        <f aca="false">VLOOKUP($A300,content_factors_backup!$A$2:$Q$468,N$525,FALSE())</f>
        <v>#N/A</v>
      </c>
      <c r="O300" s="0" t="e">
        <f aca="false">VLOOKUP($A300,content_factors_backup!$A$2:$Q$468,O$525,FALSE())</f>
        <v>#N/A</v>
      </c>
      <c r="P300" s="0" t="e">
        <f aca="false">VLOOKUP($A300,content_factors_backup!$A$2:$Q$468,P$525,FALSE())</f>
        <v>#N/A</v>
      </c>
      <c r="Q300" s="0" t="e">
        <f aca="false">VLOOKUP($A300,content_factors_backup!$A$2:$Q$468,Q$525,FALSE())</f>
        <v>#N/A</v>
      </c>
      <c r="R300" s="0" t="e">
        <f aca="false">VLOOKUP($A300,content_factors_backup!$A$2:$Q$468,R$525,FALSE())</f>
        <v>#N/A</v>
      </c>
      <c r="S300" s="0" t="e">
        <f aca="false">VLOOKUP($A300,content_factors_backup!$A$2:$Q$468,S$525,FALSE())</f>
        <v>#N/A</v>
      </c>
      <c r="T300" s="0" t="e">
        <f aca="false">VLOOKUP($A300,content_factors_backup!$A$2:$Q$468,T$525,FALSE())</f>
        <v>#N/A</v>
      </c>
      <c r="U300" s="0" t="e">
        <f aca="false">VLOOKUP($A300,content_factors_backup!$A$2:$Q$468,U$525,FALSE())</f>
        <v>#N/A</v>
      </c>
      <c r="V300" s="0" t="e">
        <f aca="false">VLOOKUP($A300,content_factors_backup!$A$2:$Q$468,V$525,FALSE())</f>
        <v>#N/A</v>
      </c>
      <c r="W300" s="0" t="e">
        <f aca="false">VLOOKUP($A300,content_factors_backup!$A$2:$Q$468,W$525,FALSE())</f>
        <v>#N/A</v>
      </c>
    </row>
    <row r="301" customFormat="false" ht="14.25" hidden="false" customHeight="false" outlineLevel="0" collapsed="false">
      <c r="A301" s="0" t="n">
        <v>653</v>
      </c>
      <c r="B301" s="0" t="s">
        <v>693</v>
      </c>
      <c r="C301" s="0" t="s">
        <v>694</v>
      </c>
      <c r="E301" s="0" t="s">
        <v>695</v>
      </c>
      <c r="F301" s="0" t="s">
        <v>695</v>
      </c>
      <c r="G301" s="0" t="n">
        <v>39170.01</v>
      </c>
      <c r="I301" s="0" t="n">
        <f aca="false">VLOOKUP($A301,content_factors_backup!$A$2:$Q$468,I$525,FALSE())</f>
        <v>75</v>
      </c>
      <c r="J301" s="0" t="e">
        <f aca="false">VLOOKUP($A301,content_factors_backup!$A$2:$Q$468,J$525,FALSE())</f>
        <v>#N/A</v>
      </c>
      <c r="K301" s="0" t="e">
        <f aca="false">VLOOKUP($A301,content_factors_backup!$A$2:$Q$468,K$525,FALSE())</f>
        <v>#N/A</v>
      </c>
      <c r="L301" s="0" t="e">
        <f aca="false">VLOOKUP($A301,content_factors_backup!$A$2:$Q$468,L$525,FALSE())</f>
        <v>#N/A</v>
      </c>
      <c r="M301" s="0" t="e">
        <f aca="false">VLOOKUP($A301,content_factors_backup!$A$2:$Q$468,M$525,FALSE())</f>
        <v>#N/A</v>
      </c>
      <c r="N301" s="0" t="e">
        <f aca="false">VLOOKUP($A301,content_factors_backup!$A$2:$Q$468,N$525,FALSE())</f>
        <v>#N/A</v>
      </c>
      <c r="O301" s="0" t="e">
        <f aca="false">VLOOKUP($A301,content_factors_backup!$A$2:$Q$468,O$525,FALSE())</f>
        <v>#N/A</v>
      </c>
      <c r="P301" s="0" t="e">
        <f aca="false">VLOOKUP($A301,content_factors_backup!$A$2:$Q$468,P$525,FALSE())</f>
        <v>#N/A</v>
      </c>
      <c r="Q301" s="0" t="e">
        <f aca="false">VLOOKUP($A301,content_factors_backup!$A$2:$Q$468,Q$525,FALSE())</f>
        <v>#N/A</v>
      </c>
      <c r="R301" s="0" t="e">
        <f aca="false">VLOOKUP($A301,content_factors_backup!$A$2:$Q$468,R$525,FALSE())</f>
        <v>#N/A</v>
      </c>
      <c r="S301" s="0" t="e">
        <f aca="false">VLOOKUP($A301,content_factors_backup!$A$2:$Q$468,S$525,FALSE())</f>
        <v>#N/A</v>
      </c>
      <c r="T301" s="0" t="e">
        <f aca="false">VLOOKUP($A301,content_factors_backup!$A$2:$Q$468,T$525,FALSE())</f>
        <v>#N/A</v>
      </c>
      <c r="U301" s="0" t="e">
        <f aca="false">VLOOKUP($A301,content_factors_backup!$A$2:$Q$468,U$525,FALSE())</f>
        <v>#N/A</v>
      </c>
      <c r="V301" s="0" t="e">
        <f aca="false">VLOOKUP($A301,content_factors_backup!$A$2:$Q$468,V$525,FALSE())</f>
        <v>#N/A</v>
      </c>
      <c r="W301" s="0" t="e">
        <f aca="false">VLOOKUP($A301,content_factors_backup!$A$2:$Q$468,W$525,FALSE())</f>
        <v>#N/A</v>
      </c>
    </row>
    <row r="302" customFormat="false" ht="14.25" hidden="false" customHeight="false" outlineLevel="0" collapsed="false">
      <c r="A302" s="0" t="n">
        <v>654</v>
      </c>
      <c r="B302" s="0" t="s">
        <v>696</v>
      </c>
      <c r="G302" s="0" t="n">
        <v>39160</v>
      </c>
      <c r="I302" s="0" t="n">
        <f aca="false">VLOOKUP($A302,content_factors_backup!$A$2:$Q$468,I$525,FALSE())</f>
        <v>40</v>
      </c>
      <c r="J302" s="0" t="n">
        <f aca="false">VLOOKUP($A302,content_factors_backup!$A$2:$Q$468,J$525,FALSE())</f>
        <v>0</v>
      </c>
      <c r="K302" s="0" t="n">
        <f aca="false">VLOOKUP($A302,content_factors_backup!$A$2:$Q$468,K$525,FALSE())</f>
        <v>0</v>
      </c>
      <c r="L302" s="0" t="n">
        <f aca="false">VLOOKUP($A302,content_factors_backup!$A$2:$Q$468,L$525,FALSE())</f>
        <v>0</v>
      </c>
      <c r="M302" s="0" t="n">
        <f aca="false">VLOOKUP($A302,content_factors_backup!$A$2:$Q$468,M$525,FALSE())</f>
        <v>0</v>
      </c>
      <c r="N302" s="0" t="n">
        <f aca="false">VLOOKUP($A302,content_factors_backup!$A$2:$Q$468,N$525,FALSE())</f>
        <v>0</v>
      </c>
      <c r="O302" s="0" t="n">
        <f aca="false">VLOOKUP($A302,content_factors_backup!$A$2:$Q$468,O$525,FALSE())</f>
        <v>0</v>
      </c>
      <c r="P302" s="0" t="n">
        <f aca="false">VLOOKUP($A302,content_factors_backup!$A$2:$Q$468,P$525,FALSE())</f>
        <v>0</v>
      </c>
      <c r="Q302" s="0" t="n">
        <f aca="false">VLOOKUP($A302,content_factors_backup!$A$2:$Q$468,Q$525,FALSE())</f>
        <v>0</v>
      </c>
      <c r="R302" s="0" t="n">
        <f aca="false">VLOOKUP($A302,content_factors_backup!$A$2:$Q$468,R$525,FALSE())</f>
        <v>0</v>
      </c>
      <c r="S302" s="0" t="n">
        <f aca="false">VLOOKUP($A302,content_factors_backup!$A$2:$Q$468,S$525,FALSE())</f>
        <v>0</v>
      </c>
      <c r="T302" s="0" t="n">
        <f aca="false">VLOOKUP($A302,content_factors_backup!$A$2:$Q$468,T$525,FALSE())</f>
        <v>0</v>
      </c>
      <c r="U302" s="0" t="n">
        <f aca="false">VLOOKUP($A302,content_factors_backup!$A$2:$Q$468,U$525,FALSE())</f>
        <v>0</v>
      </c>
      <c r="V302" s="0" t="n">
        <f aca="false">VLOOKUP($A302,content_factors_backup!$A$2:$Q$468,V$525,FALSE())</f>
        <v>0</v>
      </c>
      <c r="W302" s="0" t="n">
        <f aca="false">VLOOKUP($A302,content_factors_backup!$A$2:$Q$468,W$525,FALSE())</f>
        <v>0</v>
      </c>
    </row>
    <row r="303" customFormat="false" ht="14.25" hidden="false" customHeight="false" outlineLevel="0" collapsed="false">
      <c r="A303" s="0" t="n">
        <v>656</v>
      </c>
      <c r="B303" s="0" t="s">
        <v>697</v>
      </c>
      <c r="C303" s="0" t="s">
        <v>698</v>
      </c>
      <c r="E303" s="0" t="n">
        <v>90111</v>
      </c>
      <c r="F303" s="0" t="n">
        <v>90111</v>
      </c>
      <c r="G303" s="0" t="n">
        <v>1610</v>
      </c>
      <c r="I303" s="0" t="n">
        <f aca="false">VLOOKUP($A303,content_factors_backup!$A$2:$Q$468,I$525,FALSE())</f>
        <v>90</v>
      </c>
      <c r="J303" s="0" t="n">
        <f aca="false">VLOOKUP($A303,content_factors_backup!$A$2:$Q$468,J$525,FALSE())</f>
        <v>185.2825</v>
      </c>
      <c r="K303" s="0" t="n">
        <f aca="false">VLOOKUP($A303,content_factors_backup!$A$2:$Q$468,K$525,FALSE())</f>
        <v>13.9</v>
      </c>
      <c r="L303" s="0" t="n">
        <f aca="false">VLOOKUP($A303,content_factors_backup!$A$2:$Q$468,L$525,FALSE())</f>
        <v>0</v>
      </c>
      <c r="M303" s="0" t="n">
        <f aca="false">VLOOKUP($A303,content_factors_backup!$A$2:$Q$468,M$525,FALSE())</f>
        <v>0.53065</v>
      </c>
      <c r="N303" s="0" t="n">
        <f aca="false">VLOOKUP($A303,content_factors_backup!$A$2:$Q$468,N$525,FALSE())</f>
        <v>4.4</v>
      </c>
      <c r="O303" s="0" t="n">
        <f aca="false">VLOOKUP($A303,content_factors_backup!$A$2:$Q$468,O$525,FALSE())</f>
        <v>130</v>
      </c>
      <c r="P303" s="0" t="n">
        <f aca="false">VLOOKUP($A303,content_factors_backup!$A$2:$Q$468,P$525,FALSE())</f>
        <v>17.315</v>
      </c>
      <c r="Q303" s="0" t="n">
        <f aca="false">VLOOKUP($A303,content_factors_backup!$A$2:$Q$468,Q$525,FALSE())</f>
        <v>0.16</v>
      </c>
      <c r="R303" s="0" t="n">
        <f aca="false">VLOOKUP($A303,content_factors_backup!$A$2:$Q$468,R$525,FALSE())</f>
        <v>43.069</v>
      </c>
      <c r="S303" s="0" t="n">
        <f aca="false">VLOOKUP($A303,content_factors_backup!$A$2:$Q$468,S$525,FALSE())</f>
        <v>2225.8425</v>
      </c>
      <c r="T303" s="0" t="n">
        <f aca="false">VLOOKUP($A303,content_factors_backup!$A$2:$Q$468,T$525,FALSE())</f>
        <v>0</v>
      </c>
      <c r="U303" s="0" t="n">
        <f aca="false">VLOOKUP($A303,content_factors_backup!$A$2:$Q$468,U$525,FALSE())</f>
        <v>0</v>
      </c>
      <c r="V303" s="0" t="n">
        <f aca="false">VLOOKUP($A303,content_factors_backup!$A$2:$Q$468,V$525,FALSE())</f>
        <v>1.9</v>
      </c>
      <c r="W303" s="0" t="n">
        <f aca="false">VLOOKUP($A303,content_factors_backup!$A$2:$Q$468,W$525,FALSE())</f>
        <v>0</v>
      </c>
    </row>
    <row r="304" customFormat="false" ht="14.25" hidden="false" customHeight="false" outlineLevel="0" collapsed="false">
      <c r="A304" s="0" t="n">
        <v>657</v>
      </c>
      <c r="B304" s="0" t="s">
        <v>699</v>
      </c>
      <c r="C304" s="0" t="s">
        <v>700</v>
      </c>
      <c r="E304" s="0" t="s">
        <v>701</v>
      </c>
      <c r="F304" s="0" t="s">
        <v>701</v>
      </c>
      <c r="G304" s="0" t="n">
        <v>23911</v>
      </c>
      <c r="I304" s="0" t="n">
        <f aca="false">VLOOKUP($A304,content_factors_backup!$A$2:$Q$468,I$525,FALSE())</f>
        <v>97</v>
      </c>
      <c r="J304" s="0" t="n">
        <f aca="false">VLOOKUP($A304,content_factors_backup!$A$2:$Q$468,J$525,FALSE())</f>
        <v>185.2825</v>
      </c>
      <c r="K304" s="0" t="n">
        <f aca="false">VLOOKUP($A304,content_factors_backup!$A$2:$Q$468,K$525,FALSE())</f>
        <v>13.9</v>
      </c>
      <c r="L304" s="0" t="n">
        <f aca="false">VLOOKUP($A304,content_factors_backup!$A$2:$Q$468,L$525,FALSE())</f>
        <v>0</v>
      </c>
      <c r="M304" s="0" t="n">
        <f aca="false">VLOOKUP($A304,content_factors_backup!$A$2:$Q$468,M$525,FALSE())</f>
        <v>0.53065</v>
      </c>
      <c r="N304" s="0" t="n">
        <f aca="false">VLOOKUP($A304,content_factors_backup!$A$2:$Q$468,N$525,FALSE())</f>
        <v>4.4</v>
      </c>
      <c r="O304" s="0" t="n">
        <f aca="false">VLOOKUP($A304,content_factors_backup!$A$2:$Q$468,O$525,FALSE())</f>
        <v>130</v>
      </c>
      <c r="P304" s="0" t="n">
        <f aca="false">VLOOKUP($A304,content_factors_backup!$A$2:$Q$468,P$525,FALSE())</f>
        <v>17.315</v>
      </c>
      <c r="Q304" s="0" t="n">
        <f aca="false">VLOOKUP($A304,content_factors_backup!$A$2:$Q$468,Q$525,FALSE())</f>
        <v>0.16</v>
      </c>
      <c r="R304" s="0" t="n">
        <f aca="false">VLOOKUP($A304,content_factors_backup!$A$2:$Q$468,R$525,FALSE())</f>
        <v>43.069</v>
      </c>
      <c r="S304" s="0" t="n">
        <f aca="false">VLOOKUP($A304,content_factors_backup!$A$2:$Q$468,S$525,FALSE())</f>
        <v>2225.8425</v>
      </c>
      <c r="T304" s="0" t="n">
        <f aca="false">VLOOKUP($A304,content_factors_backup!$A$2:$Q$468,T$525,FALSE())</f>
        <v>0</v>
      </c>
      <c r="U304" s="0" t="n">
        <f aca="false">VLOOKUP($A304,content_factors_backup!$A$2:$Q$468,U$525,FALSE())</f>
        <v>0</v>
      </c>
      <c r="V304" s="0" t="n">
        <f aca="false">VLOOKUP($A304,content_factors_backup!$A$2:$Q$468,V$525,FALSE())</f>
        <v>1.9</v>
      </c>
      <c r="W304" s="0" t="n">
        <f aca="false">VLOOKUP($A304,content_factors_backup!$A$2:$Q$468,W$525,FALSE())</f>
        <v>0</v>
      </c>
    </row>
    <row r="305" customFormat="false" ht="14.25" hidden="false" customHeight="false" outlineLevel="0" collapsed="false">
      <c r="A305" s="0" t="n">
        <v>658</v>
      </c>
      <c r="B305" s="0" t="s">
        <v>702</v>
      </c>
      <c r="C305" s="0" t="s">
        <v>703</v>
      </c>
      <c r="E305" s="0" t="n">
        <v>90190</v>
      </c>
      <c r="F305" s="0" t="n">
        <v>90190</v>
      </c>
      <c r="G305" s="0" t="n">
        <v>23912.01</v>
      </c>
      <c r="I305" s="0" t="n">
        <f aca="false">VLOOKUP($A305,content_factors_backup!$A$2:$Q$468,I$525,FALSE())</f>
        <v>97</v>
      </c>
      <c r="J305" s="0" t="n">
        <f aca="false">VLOOKUP($A305,content_factors_backup!$A$2:$Q$468,J$525,FALSE())</f>
        <v>360</v>
      </c>
      <c r="K305" s="0" t="n">
        <f aca="false">VLOOKUP($A305,content_factors_backup!$A$2:$Q$468,K$525,FALSE())</f>
        <v>13.635</v>
      </c>
      <c r="L305" s="0" t="n">
        <f aca="false">VLOOKUP($A305,content_factors_backup!$A$2:$Q$468,L$525,FALSE())</f>
        <v>23.3</v>
      </c>
      <c r="M305" s="0" t="n">
        <f aca="false">VLOOKUP($A305,content_factors_backup!$A$2:$Q$468,M$525,FALSE())</f>
        <v>0.51</v>
      </c>
      <c r="N305" s="0" t="n">
        <f aca="false">VLOOKUP($A305,content_factors_backup!$A$2:$Q$468,N$525,FALSE())</f>
        <v>7.45</v>
      </c>
      <c r="O305" s="0" t="n">
        <f aca="false">VLOOKUP($A305,content_factors_backup!$A$2:$Q$468,O$525,FALSE())</f>
        <v>111.63</v>
      </c>
      <c r="P305" s="0" t="n">
        <f aca="false">VLOOKUP($A305,content_factors_backup!$A$2:$Q$468,P$525,FALSE())</f>
        <v>52</v>
      </c>
      <c r="Q305" s="0" t="n">
        <f aca="false">VLOOKUP($A305,content_factors_backup!$A$2:$Q$468,Q$525,FALSE())</f>
        <v>0.095</v>
      </c>
      <c r="R305" s="0" t="n">
        <f aca="false">VLOOKUP($A305,content_factors_backup!$A$2:$Q$468,R$525,FALSE())</f>
        <v>13.4</v>
      </c>
      <c r="S305" s="0" t="n">
        <f aca="false">VLOOKUP($A305,content_factors_backup!$A$2:$Q$468,S$525,FALSE())</f>
        <v>2443</v>
      </c>
      <c r="T305" s="0" t="n">
        <f aca="false">VLOOKUP($A305,content_factors_backup!$A$2:$Q$468,T$525,FALSE())</f>
        <v>0</v>
      </c>
      <c r="U305" s="0" t="n">
        <f aca="false">VLOOKUP($A305,content_factors_backup!$A$2:$Q$468,U$525,FALSE())</f>
        <v>0</v>
      </c>
      <c r="V305" s="0" t="n">
        <f aca="false">VLOOKUP($A305,content_factors_backup!$A$2:$Q$468,V$525,FALSE())</f>
        <v>1.9</v>
      </c>
      <c r="W305" s="0" t="n">
        <f aca="false">VLOOKUP($A305,content_factors_backup!$A$2:$Q$468,W$525,FALSE())</f>
        <v>4.805</v>
      </c>
    </row>
    <row r="306" customFormat="false" ht="14.25" hidden="false" customHeight="false" outlineLevel="0" collapsed="false">
      <c r="A306" s="0" t="n">
        <v>659</v>
      </c>
      <c r="B306" s="0" t="s">
        <v>704</v>
      </c>
      <c r="C306" s="0" t="s">
        <v>705</v>
      </c>
      <c r="E306" s="0" t="s">
        <v>706</v>
      </c>
      <c r="F306" s="0" t="s">
        <v>706</v>
      </c>
      <c r="G306" s="0" t="n">
        <v>23912.02</v>
      </c>
      <c r="I306" s="0" t="n">
        <f aca="false">VLOOKUP($A306,content_factors_backup!$A$2:$Q$468,I$525,FALSE())</f>
        <v>97</v>
      </c>
      <c r="J306" s="0" t="n">
        <f aca="false">VLOOKUP($A306,content_factors_backup!$A$2:$Q$468,J$525,FALSE())</f>
        <v>185.2825</v>
      </c>
      <c r="K306" s="0" t="n">
        <f aca="false">VLOOKUP($A306,content_factors_backup!$A$2:$Q$468,K$525,FALSE())</f>
        <v>13.9</v>
      </c>
      <c r="L306" s="0" t="n">
        <f aca="false">VLOOKUP($A306,content_factors_backup!$A$2:$Q$468,L$525,FALSE())</f>
        <v>0</v>
      </c>
      <c r="M306" s="0" t="n">
        <f aca="false">VLOOKUP($A306,content_factors_backup!$A$2:$Q$468,M$525,FALSE())</f>
        <v>0.53065</v>
      </c>
      <c r="N306" s="0" t="n">
        <f aca="false">VLOOKUP($A306,content_factors_backup!$A$2:$Q$468,N$525,FALSE())</f>
        <v>4.4</v>
      </c>
      <c r="O306" s="0" t="n">
        <f aca="false">VLOOKUP($A306,content_factors_backup!$A$2:$Q$468,O$525,FALSE())</f>
        <v>130</v>
      </c>
      <c r="P306" s="0" t="n">
        <f aca="false">VLOOKUP($A306,content_factors_backup!$A$2:$Q$468,P$525,FALSE())</f>
        <v>17.315</v>
      </c>
      <c r="Q306" s="0" t="n">
        <f aca="false">VLOOKUP($A306,content_factors_backup!$A$2:$Q$468,Q$525,FALSE())</f>
        <v>0.16</v>
      </c>
      <c r="R306" s="0" t="n">
        <f aca="false">VLOOKUP($A306,content_factors_backup!$A$2:$Q$468,R$525,FALSE())</f>
        <v>43.069</v>
      </c>
      <c r="S306" s="0" t="n">
        <f aca="false">VLOOKUP($A306,content_factors_backup!$A$2:$Q$468,S$525,FALSE())</f>
        <v>2225.8425</v>
      </c>
      <c r="T306" s="0" t="n">
        <f aca="false">VLOOKUP($A306,content_factors_backup!$A$2:$Q$468,T$525,FALSE())</f>
        <v>0</v>
      </c>
      <c r="U306" s="0" t="n">
        <f aca="false">VLOOKUP($A306,content_factors_backup!$A$2:$Q$468,U$525,FALSE())</f>
        <v>0</v>
      </c>
      <c r="V306" s="0" t="n">
        <f aca="false">VLOOKUP($A306,content_factors_backup!$A$2:$Q$468,V$525,FALSE())</f>
        <v>1.9</v>
      </c>
      <c r="W306" s="0" t="n">
        <f aca="false">VLOOKUP($A306,content_factors_backup!$A$2:$Q$468,W$525,FALSE())</f>
        <v>0</v>
      </c>
    </row>
    <row r="307" customFormat="false" ht="14.25" hidden="false" customHeight="false" outlineLevel="0" collapsed="false">
      <c r="A307" s="0" t="n">
        <v>660</v>
      </c>
      <c r="B307" s="0" t="s">
        <v>707</v>
      </c>
      <c r="E307" s="0" t="n">
        <v>90190</v>
      </c>
      <c r="F307" s="0" t="n">
        <v>90190</v>
      </c>
      <c r="G307" s="0" t="n">
        <v>39150.01</v>
      </c>
      <c r="I307" s="0" t="n">
        <f aca="false">VLOOKUP($A307,content_factors_backup!$A$2:$Q$468,I$525,FALSE())</f>
        <v>97</v>
      </c>
      <c r="J307" s="0" t="n">
        <f aca="false">VLOOKUP($A307,content_factors_backup!$A$2:$Q$468,J$525,FALSE())</f>
        <v>353</v>
      </c>
      <c r="K307" s="0" t="n">
        <f aca="false">VLOOKUP($A307,content_factors_backup!$A$2:$Q$468,K$525,FALSE())</f>
        <v>12.2</v>
      </c>
      <c r="L307" s="0" t="n">
        <f aca="false">VLOOKUP($A307,content_factors_backup!$A$2:$Q$468,L$525,FALSE())</f>
        <v>0</v>
      </c>
      <c r="M307" s="0" t="n">
        <f aca="false">VLOOKUP($A307,content_factors_backup!$A$2:$Q$468,M$525,FALSE())</f>
        <v>0.35</v>
      </c>
      <c r="N307" s="0" t="n">
        <f aca="false">VLOOKUP($A307,content_factors_backup!$A$2:$Q$468,N$525,FALSE())</f>
        <v>4.41</v>
      </c>
      <c r="O307" s="0" t="n">
        <f aca="false">VLOOKUP($A307,content_factors_backup!$A$2:$Q$468,O$525,FALSE())</f>
        <v>141</v>
      </c>
      <c r="P307" s="0" t="n">
        <f aca="false">VLOOKUP($A307,content_factors_backup!$A$2:$Q$468,P$525,FALSE())</f>
        <v>0</v>
      </c>
      <c r="Q307" s="0" t="n">
        <f aca="false">VLOOKUP($A307,content_factors_backup!$A$2:$Q$468,Q$525,FALSE())</f>
        <v>0.074</v>
      </c>
      <c r="R307" s="0" t="n">
        <f aca="false">VLOOKUP($A307,content_factors_backup!$A$2:$Q$468,R$525,FALSE())</f>
        <v>101.9</v>
      </c>
      <c r="S307" s="0" t="n">
        <f aca="false">VLOOKUP($A307,content_factors_backup!$A$2:$Q$468,S$525,FALSE())</f>
        <v>3535</v>
      </c>
      <c r="T307" s="0" t="n">
        <f aca="false">VLOOKUP($A307,content_factors_backup!$A$2:$Q$468,T$525,FALSE())</f>
        <v>0</v>
      </c>
      <c r="U307" s="0" t="n">
        <f aca="false">VLOOKUP($A307,content_factors_backup!$A$2:$Q$468,U$525,FALSE())</f>
        <v>0</v>
      </c>
      <c r="V307" s="0" t="n">
        <f aca="false">VLOOKUP($A307,content_factors_backup!$A$2:$Q$468,V$525,FALSE())</f>
        <v>1.9</v>
      </c>
      <c r="W307" s="0" t="n">
        <f aca="false">VLOOKUP($A307,content_factors_backup!$A$2:$Q$468,W$525,FALSE())</f>
        <v>0</v>
      </c>
    </row>
    <row r="308" customFormat="false" ht="14.25" hidden="false" customHeight="false" outlineLevel="0" collapsed="false">
      <c r="A308" s="0" t="n">
        <v>661</v>
      </c>
      <c r="B308" s="0" t="s">
        <v>708</v>
      </c>
      <c r="C308" s="0" t="s">
        <v>709</v>
      </c>
      <c r="E308" s="0" t="n">
        <v>180100</v>
      </c>
      <c r="F308" s="0" t="n">
        <v>180100</v>
      </c>
      <c r="G308" s="0" t="n">
        <v>1640</v>
      </c>
      <c r="I308" s="0" t="n">
        <f aca="false">VLOOKUP($A308,content_factors_backup!$A$2:$Q$468,I$525,FALSE())</f>
        <v>90</v>
      </c>
      <c r="J308" s="0" t="n">
        <f aca="false">VLOOKUP($A308,content_factors_backup!$A$2:$Q$468,J$525,FALSE())</f>
        <v>228</v>
      </c>
      <c r="K308" s="0" t="n">
        <f aca="false">VLOOKUP($A308,content_factors_backup!$A$2:$Q$468,K$525,FALSE())</f>
        <v>16</v>
      </c>
      <c r="L308" s="0" t="n">
        <f aca="false">VLOOKUP($A308,content_factors_backup!$A$2:$Q$468,L$525,FALSE())</f>
        <v>37</v>
      </c>
      <c r="M308" s="0" t="n">
        <f aca="false">VLOOKUP($A308,content_factors_backup!$A$2:$Q$468,M$525,FALSE())</f>
        <v>6.81</v>
      </c>
      <c r="N308" s="0" t="n">
        <f aca="false">VLOOKUP($A308,content_factors_backup!$A$2:$Q$468,N$525,FALSE())</f>
        <v>3.4</v>
      </c>
      <c r="O308" s="0" t="n">
        <f aca="false">VLOOKUP($A308,content_factors_backup!$A$2:$Q$468,O$525,FALSE())</f>
        <v>124.3</v>
      </c>
      <c r="P308" s="0" t="n">
        <f aca="false">VLOOKUP($A308,content_factors_backup!$A$2:$Q$468,P$525,FALSE())</f>
        <v>32</v>
      </c>
      <c r="Q308" s="0" t="n">
        <f aca="false">VLOOKUP($A308,content_factors_backup!$A$2:$Q$468,Q$525,FALSE())</f>
        <v>0.1755</v>
      </c>
      <c r="R308" s="0" t="n">
        <f aca="false">VLOOKUP($A308,content_factors_backup!$A$2:$Q$468,R$525,FALSE())</f>
        <v>12</v>
      </c>
      <c r="S308" s="0" t="n">
        <f aca="false">VLOOKUP($A308,content_factors_backup!$A$2:$Q$468,S$525,FALSE())</f>
        <v>830</v>
      </c>
      <c r="T308" s="0" t="n">
        <f aca="false">VLOOKUP($A308,content_factors_backup!$A$2:$Q$468,T$525,FALSE())</f>
        <v>0</v>
      </c>
      <c r="U308" s="0" t="n">
        <f aca="false">VLOOKUP($A308,content_factors_backup!$A$2:$Q$468,U$525,FALSE())</f>
        <v>0</v>
      </c>
      <c r="V308" s="0" t="n">
        <f aca="false">VLOOKUP($A308,content_factors_backup!$A$2:$Q$468,V$525,FALSE())</f>
        <v>0</v>
      </c>
      <c r="W308" s="0" t="n">
        <f aca="false">VLOOKUP($A308,content_factors_backup!$A$2:$Q$468,W$525,FALSE())</f>
        <v>0</v>
      </c>
    </row>
    <row r="309" customFormat="false" ht="14.25" hidden="false" customHeight="false" outlineLevel="0" collapsed="false">
      <c r="A309" s="0" t="n">
        <v>662</v>
      </c>
      <c r="B309" s="0" t="s">
        <v>710</v>
      </c>
      <c r="C309" s="0" t="s">
        <v>711</v>
      </c>
      <c r="E309" s="0" t="n">
        <v>180310</v>
      </c>
      <c r="F309" s="0" t="n">
        <v>180310</v>
      </c>
      <c r="G309" s="0" t="n">
        <v>23610.01</v>
      </c>
      <c r="I309" s="0" t="n">
        <f aca="false">VLOOKUP($A309,content_factors_backup!$A$2:$Q$468,I$525,FALSE())</f>
        <v>90</v>
      </c>
      <c r="J309" s="0" t="n">
        <f aca="false">VLOOKUP($A309,content_factors_backup!$A$2:$Q$468,J$525,FALSE())</f>
        <v>579</v>
      </c>
      <c r="K309" s="0" t="n">
        <f aca="false">VLOOKUP($A309,content_factors_backup!$A$2:$Q$468,K$525,FALSE())</f>
        <v>6.12</v>
      </c>
      <c r="L309" s="0" t="n">
        <f aca="false">VLOOKUP($A309,content_factors_backup!$A$2:$Q$468,L$525,FALSE())</f>
        <v>8</v>
      </c>
      <c r="M309" s="0" t="n">
        <f aca="false">VLOOKUP($A309,content_factors_backup!$A$2:$Q$468,M$525,FALSE())</f>
        <v>2.65</v>
      </c>
      <c r="N309" s="0" t="n">
        <f aca="false">VLOOKUP($A309,content_factors_backup!$A$2:$Q$468,N$525,FALSE())</f>
        <v>6.32</v>
      </c>
      <c r="O309" s="0" t="n">
        <f aca="false">VLOOKUP($A309,content_factors_backup!$A$2:$Q$468,O$525,FALSE())</f>
        <v>62</v>
      </c>
      <c r="P309" s="0" t="n">
        <f aca="false">VLOOKUP($A309,content_factors_backup!$A$2:$Q$468,P$525,FALSE())</f>
        <v>0</v>
      </c>
      <c r="Q309" s="0" t="n">
        <f aca="false">VLOOKUP($A309,content_factors_backup!$A$2:$Q$468,Q$525,FALSE())</f>
        <v>0.049</v>
      </c>
      <c r="R309" s="0" t="n">
        <f aca="false">VLOOKUP($A309,content_factors_backup!$A$2:$Q$468,R$525,FALSE())</f>
        <v>0</v>
      </c>
      <c r="S309" s="0" t="n">
        <f aca="false">VLOOKUP($A309,content_factors_backup!$A$2:$Q$468,S$525,FALSE())</f>
        <v>567</v>
      </c>
      <c r="T309" s="0" t="n">
        <f aca="false">VLOOKUP($A309,content_factors_backup!$A$2:$Q$468,T$525,FALSE())</f>
        <v>0.59</v>
      </c>
      <c r="U309" s="0" t="n">
        <f aca="false">VLOOKUP($A309,content_factors_backup!$A$2:$Q$468,U$525,FALSE())</f>
        <v>0.18</v>
      </c>
      <c r="V309" s="0" t="n">
        <f aca="false">VLOOKUP($A309,content_factors_backup!$A$2:$Q$468,V$525,FALSE())</f>
        <v>7.2</v>
      </c>
      <c r="W309" s="0" t="n">
        <f aca="false">VLOOKUP($A309,content_factors_backup!$A$2:$Q$468,W$525,FALSE())</f>
        <v>3</v>
      </c>
    </row>
    <row r="310" customFormat="false" ht="14.25" hidden="false" customHeight="false" outlineLevel="0" collapsed="false">
      <c r="A310" s="0" t="n">
        <v>664</v>
      </c>
      <c r="B310" s="0" t="s">
        <v>712</v>
      </c>
      <c r="C310" s="0" t="s">
        <v>713</v>
      </c>
      <c r="E310" s="0" t="n">
        <v>180400</v>
      </c>
      <c r="F310" s="0" t="n">
        <v>180400</v>
      </c>
      <c r="G310" s="0" t="n">
        <v>23620</v>
      </c>
      <c r="I310" s="0" t="n">
        <f aca="false">VLOOKUP($A310,content_factors_backup!$A$2:$Q$468,I$525,FALSE())</f>
        <v>97</v>
      </c>
      <c r="J310" s="0" t="n">
        <f aca="false">VLOOKUP($A310,content_factors_backup!$A$2:$Q$468,J$525,FALSE())</f>
        <v>884</v>
      </c>
      <c r="K310" s="0" t="n">
        <f aca="false">VLOOKUP($A310,content_factors_backup!$A$2:$Q$468,K$525,FALSE())</f>
        <v>0</v>
      </c>
      <c r="L310" s="0" t="n">
        <f aca="false">VLOOKUP($A310,content_factors_backup!$A$2:$Q$468,L$525,FALSE())</f>
        <v>0</v>
      </c>
      <c r="M310" s="0" t="n">
        <f aca="false">VLOOKUP($A310,content_factors_backup!$A$2:$Q$468,M$525,FALSE())</f>
        <v>0</v>
      </c>
      <c r="N310" s="0" t="n">
        <f aca="false">VLOOKUP($A310,content_factors_backup!$A$2:$Q$468,N$525,FALSE())</f>
        <v>0</v>
      </c>
      <c r="O310" s="0" t="n">
        <f aca="false">VLOOKUP($A310,content_factors_backup!$A$2:$Q$468,O$525,FALSE())</f>
        <v>0</v>
      </c>
      <c r="P310" s="0" t="n">
        <f aca="false">VLOOKUP($A310,content_factors_backup!$A$2:$Q$468,P$525,FALSE())</f>
        <v>0</v>
      </c>
      <c r="Q310" s="0" t="n">
        <f aca="false">VLOOKUP($A310,content_factors_backup!$A$2:$Q$468,Q$525,FALSE())</f>
        <v>0</v>
      </c>
      <c r="R310" s="0" t="n">
        <f aca="false">VLOOKUP($A310,content_factors_backup!$A$2:$Q$468,R$525,FALSE())</f>
        <v>0.3</v>
      </c>
      <c r="S310" s="0" t="n">
        <f aca="false">VLOOKUP($A310,content_factors_backup!$A$2:$Q$468,S$525,FALSE())</f>
        <v>0</v>
      </c>
      <c r="T310" s="0" t="n">
        <f aca="false">VLOOKUP($A310,content_factors_backup!$A$2:$Q$468,T$525,FALSE())</f>
        <v>1.8</v>
      </c>
      <c r="U310" s="0" t="n">
        <f aca="false">VLOOKUP($A310,content_factors_backup!$A$2:$Q$468,U$525,FALSE())</f>
        <v>0</v>
      </c>
      <c r="V310" s="0" t="n">
        <f aca="false">VLOOKUP($A310,content_factors_backup!$A$2:$Q$468,V$525,FALSE())</f>
        <v>24.7</v>
      </c>
      <c r="W310" s="0" t="n">
        <f aca="false">VLOOKUP($A310,content_factors_backup!$A$2:$Q$468,W$525,FALSE())</f>
        <v>0</v>
      </c>
    </row>
    <row r="311" customFormat="false" ht="14.25" hidden="false" customHeight="false" outlineLevel="0" collapsed="false">
      <c r="A311" s="0" t="n">
        <v>665</v>
      </c>
      <c r="B311" s="0" t="s">
        <v>714</v>
      </c>
      <c r="C311" s="0" t="s">
        <v>715</v>
      </c>
      <c r="E311" s="0" t="s">
        <v>716</v>
      </c>
      <c r="F311" s="0" t="s">
        <v>716</v>
      </c>
      <c r="G311" s="0" t="s">
        <v>717</v>
      </c>
      <c r="I311" s="0" t="n">
        <f aca="false">VLOOKUP($A311,content_factors_backup!$A$2:$Q$468,I$525,FALSE())</f>
        <v>97</v>
      </c>
      <c r="J311" s="0" t="n">
        <f aca="false">VLOOKUP($A311,content_factors_backup!$A$2:$Q$468,J$525,FALSE())</f>
        <v>398</v>
      </c>
      <c r="K311" s="0" t="n">
        <f aca="false">VLOOKUP($A311,content_factors_backup!$A$2:$Q$468,K$525,FALSE())</f>
        <v>6.67</v>
      </c>
      <c r="L311" s="0" t="n">
        <f aca="false">VLOOKUP($A311,content_factors_backup!$A$2:$Q$468,L$525,FALSE())</f>
        <v>3.7</v>
      </c>
      <c r="M311" s="0" t="n">
        <f aca="false">VLOOKUP($A311,content_factors_backup!$A$2:$Q$468,M$525,FALSE())</f>
        <v>1.46</v>
      </c>
      <c r="N311" s="0" t="n">
        <f aca="false">VLOOKUP($A311,content_factors_backup!$A$2:$Q$468,N$525,FALSE())</f>
        <v>1.19</v>
      </c>
      <c r="O311" s="0" t="n">
        <f aca="false">VLOOKUP($A311,content_factors_backup!$A$2:$Q$468,O$525,FALSE())</f>
        <v>133</v>
      </c>
      <c r="P311" s="0" t="n">
        <f aca="false">VLOOKUP($A311,content_factors_backup!$A$2:$Q$468,P$525,FALSE())</f>
        <v>6</v>
      </c>
      <c r="Q311" s="0" t="n">
        <f aca="false">VLOOKUP($A311,content_factors_backup!$A$2:$Q$468,Q$525,FALSE())</f>
        <v>0.565</v>
      </c>
      <c r="R311" s="0" t="n">
        <f aca="false">VLOOKUP($A311,content_factors_backup!$A$2:$Q$468,R$525,FALSE())</f>
        <v>33.1</v>
      </c>
      <c r="S311" s="0" t="n">
        <f aca="false">VLOOKUP($A311,content_factors_backup!$A$2:$Q$468,S$525,FALSE())</f>
        <v>712</v>
      </c>
      <c r="T311" s="0" t="n">
        <f aca="false">VLOOKUP($A311,content_factors_backup!$A$2:$Q$468,T$525,FALSE())</f>
        <v>0.19</v>
      </c>
      <c r="U311" s="0" t="n">
        <f aca="false">VLOOKUP($A311,content_factors_backup!$A$2:$Q$468,U$525,FALSE())</f>
        <v>0.35</v>
      </c>
      <c r="V311" s="0" t="n">
        <f aca="false">VLOOKUP($A311,content_factors_backup!$A$2:$Q$468,V$525,FALSE())</f>
        <v>0.9</v>
      </c>
      <c r="W311" s="0" t="n">
        <f aca="false">VLOOKUP($A311,content_factors_backup!$A$2:$Q$468,W$525,FALSE())</f>
        <v>1</v>
      </c>
    </row>
    <row r="312" customFormat="false" ht="14.25" hidden="false" customHeight="false" outlineLevel="0" collapsed="false">
      <c r="A312" s="0" t="n">
        <v>666</v>
      </c>
      <c r="B312" s="0" t="s">
        <v>718</v>
      </c>
      <c r="C312" s="0" t="s">
        <v>719</v>
      </c>
      <c r="E312" s="0" t="s">
        <v>720</v>
      </c>
      <c r="F312" s="0" t="s">
        <v>720</v>
      </c>
      <c r="G312" s="0" t="s">
        <v>721</v>
      </c>
      <c r="I312" s="4" t="n">
        <f aca="false">VLOOKUP($A312,content_factors_backup!$A$2:$Q$468,I$525,FALSE())</f>
        <v>18</v>
      </c>
      <c r="J312" s="0" t="n">
        <f aca="false">VLOOKUP($A312,content_factors_backup!$A$2:$Q$468,J$525,FALSE())</f>
        <v>279</v>
      </c>
      <c r="K312" s="0" t="n">
        <f aca="false">VLOOKUP($A312,content_factors_backup!$A$2:$Q$468,K$525,FALSE())</f>
        <v>2.1</v>
      </c>
      <c r="L312" s="0" t="n">
        <f aca="false">VLOOKUP($A312,content_factors_backup!$A$2:$Q$468,L$525,FALSE())</f>
        <v>2.6</v>
      </c>
      <c r="M312" s="0" t="n">
        <f aca="false">VLOOKUP($A312,content_factors_backup!$A$2:$Q$468,M$525,FALSE())</f>
        <v>0.73</v>
      </c>
      <c r="N312" s="0" t="n">
        <f aca="false">VLOOKUP($A312,content_factors_backup!$A$2:$Q$468,N$525,FALSE())</f>
        <v>2.11</v>
      </c>
      <c r="O312" s="0" t="n">
        <f aca="false">VLOOKUP($A312,content_factors_backup!$A$2:$Q$468,O$525,FALSE())</f>
        <v>14</v>
      </c>
      <c r="P312" s="0" t="n">
        <f aca="false">VLOOKUP($A312,content_factors_backup!$A$2:$Q$468,P$525,FALSE())</f>
        <v>2</v>
      </c>
      <c r="Q312" s="0" t="n">
        <f aca="false">VLOOKUP($A312,content_factors_backup!$A$2:$Q$468,Q$525,FALSE())</f>
        <v>0.05</v>
      </c>
      <c r="R312" s="0" t="n">
        <f aca="false">VLOOKUP($A312,content_factors_backup!$A$2:$Q$468,R$525,FALSE())</f>
        <v>1.3</v>
      </c>
      <c r="S312" s="0" t="n">
        <f aca="false">VLOOKUP($A312,content_factors_backup!$A$2:$Q$468,S$525,FALSE())</f>
        <v>224</v>
      </c>
      <c r="T312" s="0" t="n">
        <f aca="false">VLOOKUP($A312,content_factors_backup!$A$2:$Q$468,T$525,FALSE())</f>
        <v>0.02</v>
      </c>
      <c r="U312" s="0" t="n">
        <f aca="false">VLOOKUP($A312,content_factors_backup!$A$2:$Q$468,U$525,FALSE())</f>
        <v>0</v>
      </c>
      <c r="V312" s="0" t="n">
        <f aca="false">VLOOKUP($A312,content_factors_backup!$A$2:$Q$468,V$525,FALSE())</f>
        <v>0.5</v>
      </c>
      <c r="W312" s="0" t="n">
        <f aca="false">VLOOKUP($A312,content_factors_backup!$A$2:$Q$468,W$525,FALSE())</f>
        <v>0</v>
      </c>
    </row>
    <row r="313" customFormat="false" ht="14.25" hidden="false" customHeight="false" outlineLevel="0" collapsed="false">
      <c r="A313" s="0" t="n">
        <v>667</v>
      </c>
      <c r="B313" s="0" t="s">
        <v>722</v>
      </c>
      <c r="C313" s="0" t="s">
        <v>723</v>
      </c>
      <c r="E313" s="0" t="s">
        <v>724</v>
      </c>
      <c r="F313" s="0" t="s">
        <v>724</v>
      </c>
      <c r="G313" s="0" t="n">
        <v>1620</v>
      </c>
      <c r="I313" s="0" t="n">
        <f aca="false">VLOOKUP($A313,content_factors_backup!$A$2:$Q$468,I$525,FALSE())</f>
        <v>95</v>
      </c>
      <c r="J313" s="0" t="n">
        <f aca="false">VLOOKUP($A313,content_factors_backup!$A$2:$Q$468,J$525,FALSE())</f>
        <v>6.23125</v>
      </c>
      <c r="K313" s="0" t="n">
        <f aca="false">VLOOKUP($A313,content_factors_backup!$A$2:$Q$468,K$525,FALSE())</f>
        <v>3.75</v>
      </c>
      <c r="L313" s="0" t="n">
        <f aca="false">VLOOKUP($A313,content_factors_backup!$A$2:$Q$468,L$525,FALSE())</f>
        <v>0</v>
      </c>
      <c r="M313" s="0" t="n">
        <f aca="false">VLOOKUP($A313,content_factors_backup!$A$2:$Q$468,M$525,FALSE())</f>
        <v>0.124625</v>
      </c>
      <c r="N313" s="0" t="n">
        <f aca="false">VLOOKUP($A313,content_factors_backup!$A$2:$Q$468,N$525,FALSE())</f>
        <v>9.3123125</v>
      </c>
      <c r="O313" s="0" t="n">
        <f aca="false">VLOOKUP($A313,content_factors_backup!$A$2:$Q$468,O$525,FALSE())</f>
        <v>167.5</v>
      </c>
      <c r="P313" s="0" t="n">
        <f aca="false">VLOOKUP($A313,content_factors_backup!$A$2:$Q$468,P$525,FALSE())</f>
        <v>31.15625</v>
      </c>
      <c r="Q313" s="0" t="n">
        <f aca="false">VLOOKUP($A313,content_factors_backup!$A$2:$Q$468,Q$525,FALSE())</f>
        <v>0.21861875</v>
      </c>
      <c r="R313" s="0" t="n">
        <f aca="false">VLOOKUP($A313,content_factors_backup!$A$2:$Q$468,R$525,FALSE())</f>
        <v>2.4925</v>
      </c>
      <c r="S313" s="0" t="n">
        <f aca="false">VLOOKUP($A313,content_factors_backup!$A$2:$Q$468,S$525,FALSE())</f>
        <v>230.55625</v>
      </c>
      <c r="T313" s="0" t="n">
        <f aca="false">VLOOKUP($A313,content_factors_backup!$A$2:$Q$468,T$525,FALSE())</f>
        <v>0</v>
      </c>
      <c r="U313" s="0" t="n">
        <f aca="false">VLOOKUP($A313,content_factors_backup!$A$2:$Q$468,U$525,FALSE())</f>
        <v>0</v>
      </c>
      <c r="V313" s="0" t="n">
        <f aca="false">VLOOKUP($A313,content_factors_backup!$A$2:$Q$468,V$525,FALSE())</f>
        <v>0</v>
      </c>
      <c r="W313" s="0" t="n">
        <f aca="false">VLOOKUP($A313,content_factors_backup!$A$2:$Q$468,W$525,FALSE())</f>
        <v>0</v>
      </c>
    </row>
    <row r="314" customFormat="false" ht="14.25" hidden="false" customHeight="false" outlineLevel="0" collapsed="false">
      <c r="A314" s="0" t="n">
        <v>671</v>
      </c>
      <c r="B314" s="0" t="s">
        <v>725</v>
      </c>
      <c r="C314" s="0" t="s">
        <v>726</v>
      </c>
      <c r="E314" s="0" t="n">
        <v>90300</v>
      </c>
      <c r="F314" s="0" t="n">
        <v>90300</v>
      </c>
      <c r="G314" s="0" t="n">
        <v>1630</v>
      </c>
      <c r="I314" s="0" t="n">
        <f aca="false">VLOOKUP($A314,content_factors_backup!$A$2:$Q$468,I$525,FALSE())</f>
        <v>95</v>
      </c>
      <c r="J314" s="0" t="n">
        <f aca="false">VLOOKUP($A314,content_factors_backup!$A$2:$Q$468,J$525,FALSE())</f>
        <v>6.23125</v>
      </c>
      <c r="K314" s="0" t="n">
        <f aca="false">VLOOKUP($A314,content_factors_backup!$A$2:$Q$468,K$525,FALSE())</f>
        <v>3.75</v>
      </c>
      <c r="L314" s="0" t="n">
        <f aca="false">VLOOKUP($A314,content_factors_backup!$A$2:$Q$468,L$525,FALSE())</f>
        <v>0</v>
      </c>
      <c r="M314" s="0" t="n">
        <f aca="false">VLOOKUP($A314,content_factors_backup!$A$2:$Q$468,M$525,FALSE())</f>
        <v>0.124625</v>
      </c>
      <c r="N314" s="0" t="n">
        <f aca="false">VLOOKUP($A314,content_factors_backup!$A$2:$Q$468,N$525,FALSE())</f>
        <v>9.3123125</v>
      </c>
      <c r="O314" s="0" t="n">
        <f aca="false">VLOOKUP($A314,content_factors_backup!$A$2:$Q$468,O$525,FALSE())</f>
        <v>167.5</v>
      </c>
      <c r="P314" s="0" t="n">
        <f aca="false">VLOOKUP($A314,content_factors_backup!$A$2:$Q$468,P$525,FALSE())</f>
        <v>31.15625</v>
      </c>
      <c r="Q314" s="0" t="n">
        <f aca="false">VLOOKUP($A314,content_factors_backup!$A$2:$Q$468,Q$525,FALSE())</f>
        <v>0.21861875</v>
      </c>
      <c r="R314" s="0" t="n">
        <f aca="false">VLOOKUP($A314,content_factors_backup!$A$2:$Q$468,R$525,FALSE())</f>
        <v>2.4925</v>
      </c>
      <c r="S314" s="0" t="n">
        <f aca="false">VLOOKUP($A314,content_factors_backup!$A$2:$Q$468,S$525,FALSE())</f>
        <v>230.55625</v>
      </c>
      <c r="T314" s="0" t="n">
        <f aca="false">VLOOKUP($A314,content_factors_backup!$A$2:$Q$468,T$525,FALSE())</f>
        <v>0</v>
      </c>
      <c r="U314" s="0" t="n">
        <f aca="false">VLOOKUP($A314,content_factors_backup!$A$2:$Q$468,U$525,FALSE())</f>
        <v>0</v>
      </c>
      <c r="V314" s="0" t="n">
        <f aca="false">VLOOKUP($A314,content_factors_backup!$A$2:$Q$468,V$525,FALSE())</f>
        <v>0</v>
      </c>
      <c r="W314" s="0" t="n">
        <f aca="false">VLOOKUP($A314,content_factors_backup!$A$2:$Q$468,W$525,FALSE())</f>
        <v>0</v>
      </c>
    </row>
    <row r="315" customFormat="false" ht="14.25" hidden="false" customHeight="false" outlineLevel="0" collapsed="false">
      <c r="A315" s="0" t="n">
        <v>672</v>
      </c>
      <c r="B315" s="0" t="s">
        <v>727</v>
      </c>
      <c r="C315" s="0" t="s">
        <v>728</v>
      </c>
      <c r="E315" s="0" t="n">
        <v>210120</v>
      </c>
      <c r="F315" s="0" t="n">
        <v>210120</v>
      </c>
      <c r="G315" s="0" t="n">
        <v>23914</v>
      </c>
      <c r="I315" s="0" t="n">
        <f aca="false">VLOOKUP($A315,content_factors_backup!$A$2:$Q$468,I$525,FALSE())</f>
        <v>95</v>
      </c>
      <c r="J315" s="0" t="n">
        <f aca="false">VLOOKUP($A315,content_factors_backup!$A$2:$Q$468,J$525,FALSE())</f>
        <v>6.23125</v>
      </c>
      <c r="K315" s="0" t="n">
        <f aca="false">VLOOKUP($A315,content_factors_backup!$A$2:$Q$468,K$525,FALSE())</f>
        <v>3.75</v>
      </c>
      <c r="L315" s="0" t="n">
        <f aca="false">VLOOKUP($A315,content_factors_backup!$A$2:$Q$468,L$525,FALSE())</f>
        <v>0</v>
      </c>
      <c r="M315" s="0" t="n">
        <f aca="false">VLOOKUP($A315,content_factors_backup!$A$2:$Q$468,M$525,FALSE())</f>
        <v>0.124625</v>
      </c>
      <c r="N315" s="0" t="n">
        <f aca="false">VLOOKUP($A315,content_factors_backup!$A$2:$Q$468,N$525,FALSE())</f>
        <v>9.3123125</v>
      </c>
      <c r="O315" s="0" t="n">
        <f aca="false">VLOOKUP($A315,content_factors_backup!$A$2:$Q$468,O$525,FALSE())</f>
        <v>167.5</v>
      </c>
      <c r="P315" s="0" t="n">
        <f aca="false">VLOOKUP($A315,content_factors_backup!$A$2:$Q$468,P$525,FALSE())</f>
        <v>31.15625</v>
      </c>
      <c r="Q315" s="0" t="n">
        <f aca="false">VLOOKUP($A315,content_factors_backup!$A$2:$Q$468,Q$525,FALSE())</f>
        <v>0.21861875</v>
      </c>
      <c r="R315" s="0" t="n">
        <f aca="false">VLOOKUP($A315,content_factors_backup!$A$2:$Q$468,R$525,FALSE())</f>
        <v>2.4925</v>
      </c>
      <c r="S315" s="0" t="n">
        <f aca="false">VLOOKUP($A315,content_factors_backup!$A$2:$Q$468,S$525,FALSE())</f>
        <v>230.55625</v>
      </c>
      <c r="T315" s="0" t="n">
        <f aca="false">VLOOKUP($A315,content_factors_backup!$A$2:$Q$468,T$525,FALSE())</f>
        <v>0</v>
      </c>
      <c r="U315" s="0" t="n">
        <f aca="false">VLOOKUP($A315,content_factors_backup!$A$2:$Q$468,U$525,FALSE())</f>
        <v>0</v>
      </c>
      <c r="V315" s="0" t="n">
        <f aca="false">VLOOKUP($A315,content_factors_backup!$A$2:$Q$468,V$525,FALSE())</f>
        <v>0</v>
      </c>
      <c r="W315" s="0" t="n">
        <f aca="false">VLOOKUP($A315,content_factors_backup!$A$2:$Q$468,W$525,FALSE())</f>
        <v>0</v>
      </c>
    </row>
    <row r="316" customFormat="false" ht="14.25" hidden="false" customHeight="false" outlineLevel="0" collapsed="false">
      <c r="A316" s="0" t="n">
        <v>677</v>
      </c>
      <c r="B316" s="0" t="s">
        <v>729</v>
      </c>
      <c r="C316" s="0" t="s">
        <v>730</v>
      </c>
      <c r="E316" s="0" t="s">
        <v>731</v>
      </c>
      <c r="F316" s="0" t="s">
        <v>731</v>
      </c>
      <c r="G316" s="0" t="n">
        <v>1659</v>
      </c>
      <c r="I316" s="0" t="n">
        <f aca="false">VLOOKUP($A316,content_factors_backup!$A$2:$Q$468,I$525,FALSE())</f>
        <v>20</v>
      </c>
      <c r="J316" s="0" t="n">
        <f aca="false">VLOOKUP($A316,content_factors_backup!$A$2:$Q$468,J$525,FALSE())</f>
        <v>1</v>
      </c>
      <c r="K316" s="0" t="n">
        <f aca="false">VLOOKUP($A316,content_factors_backup!$A$2:$Q$468,K$525,FALSE())</f>
        <v>0</v>
      </c>
      <c r="L316" s="0" t="n">
        <f aca="false">VLOOKUP($A316,content_factors_backup!$A$2:$Q$468,L$525,FALSE())</f>
        <v>0</v>
      </c>
      <c r="M316" s="0" t="n">
        <f aca="false">VLOOKUP($A316,content_factors_backup!$A$2:$Q$468,M$525,FALSE())</f>
        <v>0.02</v>
      </c>
      <c r="N316" s="0" t="n">
        <f aca="false">VLOOKUP($A316,content_factors_backup!$A$2:$Q$468,N$525,FALSE())</f>
        <v>0.02</v>
      </c>
      <c r="O316" s="0" t="n">
        <f aca="false">VLOOKUP($A316,content_factors_backup!$A$2:$Q$468,O$525,FALSE())</f>
        <v>0</v>
      </c>
      <c r="P316" s="0" t="n">
        <f aca="false">VLOOKUP($A316,content_factors_backup!$A$2:$Q$468,P$525,FALSE())</f>
        <v>5</v>
      </c>
      <c r="Q316" s="0" t="n">
        <f aca="false">VLOOKUP($A316,content_factors_backup!$A$2:$Q$468,Q$525,FALSE())</f>
        <v>0.014</v>
      </c>
      <c r="R316" s="0" t="n">
        <f aca="false">VLOOKUP($A316,content_factors_backup!$A$2:$Q$468,R$525,FALSE())</f>
        <v>0.4</v>
      </c>
      <c r="S316" s="0" t="n">
        <f aca="false">VLOOKUP($A316,content_factors_backup!$A$2:$Q$468,S$525,FALSE())</f>
        <v>37</v>
      </c>
      <c r="T316" s="0" t="n">
        <f aca="false">VLOOKUP($A316,content_factors_backup!$A$2:$Q$468,T$525,FALSE())</f>
        <v>0</v>
      </c>
      <c r="U316" s="0" t="n">
        <f aca="false">VLOOKUP($A316,content_factors_backup!$A$2:$Q$468,U$525,FALSE())</f>
        <v>0</v>
      </c>
      <c r="V316" s="0" t="n">
        <f aca="false">VLOOKUP($A316,content_factors_backup!$A$2:$Q$468,V$525,FALSE())</f>
        <v>0</v>
      </c>
      <c r="W316" s="0" t="n">
        <f aca="false">VLOOKUP($A316,content_factors_backup!$A$2:$Q$468,W$525,FALSE())</f>
        <v>0</v>
      </c>
    </row>
    <row r="317" customFormat="false" ht="14.25" hidden="false" customHeight="false" outlineLevel="0" collapsed="false">
      <c r="A317" s="0" t="n">
        <v>687</v>
      </c>
      <c r="B317" s="0" t="s">
        <v>732</v>
      </c>
      <c r="C317" s="0" t="s">
        <v>733</v>
      </c>
      <c r="E317" s="0" t="s">
        <v>734</v>
      </c>
      <c r="F317" s="0" t="s">
        <v>734</v>
      </c>
      <c r="G317" s="0" t="n">
        <v>1651</v>
      </c>
      <c r="I317" s="0" t="n">
        <f aca="false">VLOOKUP($A317,content_factors_backup!$A$2:$Q$468,I$525,FALSE())</f>
        <v>7</v>
      </c>
      <c r="J317" s="0" t="n">
        <f aca="false">VLOOKUP($A317,content_factors_backup!$A$2:$Q$468,J$525,FALSE())</f>
        <v>302.5</v>
      </c>
      <c r="K317" s="0" t="n">
        <f aca="false">VLOOKUP($A317,content_factors_backup!$A$2:$Q$468,K$525,FALSE())</f>
        <v>10.4</v>
      </c>
      <c r="L317" s="0" t="n">
        <f aca="false">VLOOKUP($A317,content_factors_backup!$A$2:$Q$468,L$525,FALSE())</f>
        <v>25.3</v>
      </c>
      <c r="M317" s="0" t="n">
        <f aca="false">VLOOKUP($A317,content_factors_backup!$A$2:$Q$468,M$525,FALSE())</f>
        <v>1.19</v>
      </c>
      <c r="N317" s="0" t="n">
        <f aca="false">VLOOKUP($A317,content_factors_backup!$A$2:$Q$468,N$525,FALSE())</f>
        <v>12</v>
      </c>
      <c r="O317" s="0" t="n">
        <f aca="false">VLOOKUP($A317,content_factors_backup!$A$2:$Q$468,O$525,FALSE())</f>
        <v>440</v>
      </c>
      <c r="P317" s="0" t="n">
        <f aca="false">VLOOKUP($A317,content_factors_backup!$A$2:$Q$468,P$525,FALSE())</f>
        <v>13.5</v>
      </c>
      <c r="Q317" s="0" t="n">
        <f aca="false">VLOOKUP($A317,content_factors_backup!$A$2:$Q$468,Q$525,FALSE())</f>
        <v>0.09</v>
      </c>
      <c r="R317" s="0" t="n">
        <f aca="false">VLOOKUP($A317,content_factors_backup!$A$2:$Q$468,R$525,FALSE())</f>
        <v>11.3</v>
      </c>
      <c r="S317" s="0" t="n">
        <f aca="false">VLOOKUP($A317,content_factors_backup!$A$2:$Q$468,S$525,FALSE())</f>
        <v>695.5</v>
      </c>
      <c r="T317" s="0" t="n">
        <f aca="false">VLOOKUP($A317,content_factors_backup!$A$2:$Q$468,T$525,FALSE())</f>
        <v>1.04</v>
      </c>
      <c r="U317" s="0" t="n">
        <f aca="false">VLOOKUP($A317,content_factors_backup!$A$2:$Q$468,U$525,FALSE())</f>
        <v>0</v>
      </c>
      <c r="V317" s="0" t="n">
        <f aca="false">VLOOKUP($A317,content_factors_backup!$A$2:$Q$468,V$525,FALSE())</f>
        <v>163.7</v>
      </c>
      <c r="W317" s="0" t="n">
        <f aca="false">VLOOKUP($A317,content_factors_backup!$A$2:$Q$468,W$525,FALSE())</f>
        <v>12</v>
      </c>
    </row>
    <row r="318" customFormat="false" ht="14.25" hidden="false" customHeight="false" outlineLevel="0" collapsed="false">
      <c r="A318" s="0" t="n">
        <v>689</v>
      </c>
      <c r="B318" s="0" t="s">
        <v>735</v>
      </c>
      <c r="C318" s="0" t="s">
        <v>736</v>
      </c>
      <c r="E318" s="0" t="n">
        <v>90420</v>
      </c>
      <c r="F318" s="0" t="s">
        <v>737</v>
      </c>
      <c r="G318" s="0" t="n">
        <v>1652</v>
      </c>
      <c r="I318" s="0" t="n">
        <f aca="false">VLOOKUP($A318,content_factors_backup!$A$2:$Q$468,I$525,FALSE())</f>
        <v>20</v>
      </c>
      <c r="J318" s="0" t="n">
        <f aca="false">VLOOKUP($A318,content_factors_backup!$A$2:$Q$468,J$525,FALSE())</f>
        <v>282</v>
      </c>
      <c r="K318" s="0" t="n">
        <f aca="false">VLOOKUP($A318,content_factors_backup!$A$2:$Q$468,K$525,FALSE())</f>
        <v>12.65</v>
      </c>
      <c r="L318" s="0" t="n">
        <f aca="false">VLOOKUP($A318,content_factors_backup!$A$2:$Q$468,L$525,FALSE())</f>
        <v>22.9</v>
      </c>
      <c r="M318" s="0" t="n">
        <f aca="false">VLOOKUP($A318,content_factors_backup!$A$2:$Q$468,M$525,FALSE())</f>
        <v>2.615</v>
      </c>
      <c r="N318" s="0" t="n">
        <f aca="false">VLOOKUP($A318,content_factors_backup!$A$2:$Q$468,N$525,FALSE())</f>
        <v>5.23</v>
      </c>
      <c r="O318" s="0" t="n">
        <f aca="false">VLOOKUP($A318,content_factors_backup!$A$2:$Q$468,O$525,FALSE())</f>
        <v>154</v>
      </c>
      <c r="P318" s="0" t="n">
        <f aca="false">VLOOKUP($A318,content_factors_backup!$A$2:$Q$468,P$525,FALSE())</f>
        <v>42.5</v>
      </c>
      <c r="Q318" s="0" t="n">
        <f aca="false">VLOOKUP($A318,content_factors_backup!$A$2:$Q$468,Q$525,FALSE())</f>
        <v>0.2</v>
      </c>
      <c r="R318" s="0" t="n">
        <f aca="false">VLOOKUP($A318,content_factors_backup!$A$2:$Q$468,R$525,FALSE())</f>
        <v>51.5</v>
      </c>
      <c r="S318" s="0" t="n">
        <f aca="false">VLOOKUP($A318,content_factors_backup!$A$2:$Q$468,S$525,FALSE())</f>
        <v>1982</v>
      </c>
      <c r="T318" s="0" t="n">
        <f aca="false">VLOOKUP($A318,content_factors_backup!$A$2:$Q$468,T$525,FALSE())</f>
        <v>0.69</v>
      </c>
      <c r="U318" s="0" t="n">
        <f aca="false">VLOOKUP($A318,content_factors_backup!$A$2:$Q$468,U$525,FALSE())</f>
        <v>0</v>
      </c>
      <c r="V318" s="0" t="n">
        <f aca="false">VLOOKUP($A318,content_factors_backup!$A$2:$Q$468,V$525,FALSE())</f>
        <v>8.3</v>
      </c>
      <c r="W318" s="0" t="n">
        <f aca="false">VLOOKUP($A318,content_factors_backup!$A$2:$Q$468,W$525,FALSE())</f>
        <v>162.500000015</v>
      </c>
    </row>
    <row r="319" customFormat="false" ht="14.25" hidden="false" customHeight="false" outlineLevel="0" collapsed="false">
      <c r="A319" s="0" t="n">
        <v>692</v>
      </c>
      <c r="B319" s="0" t="s">
        <v>738</v>
      </c>
      <c r="C319" s="0" t="s">
        <v>739</v>
      </c>
      <c r="E319" s="0" t="n">
        <v>90500</v>
      </c>
      <c r="F319" s="0" t="s">
        <v>740</v>
      </c>
      <c r="G319" s="0" t="n">
        <v>1658</v>
      </c>
      <c r="I319" s="0" t="n">
        <f aca="false">VLOOKUP($A319,content_factors_backup!$A$2:$Q$468,I$525,FALSE())</f>
        <v>95</v>
      </c>
      <c r="J319" s="0" t="n">
        <f aca="false">VLOOKUP($A319,content_factors_backup!$A$2:$Q$468,J$525,FALSE())</f>
        <v>288</v>
      </c>
      <c r="K319" s="0" t="n">
        <f aca="false">VLOOKUP($A319,content_factors_backup!$A$2:$Q$468,K$525,FALSE())</f>
        <v>0.06</v>
      </c>
      <c r="L319" s="0" t="n">
        <f aca="false">VLOOKUP($A319,content_factors_backup!$A$2:$Q$468,L$525,FALSE())</f>
        <v>0</v>
      </c>
      <c r="M319" s="0" t="n">
        <f aca="false">VLOOKUP($A319,content_factors_backup!$A$2:$Q$468,M$525,FALSE())</f>
        <v>0.11</v>
      </c>
      <c r="N319" s="0" t="n">
        <f aca="false">VLOOKUP($A319,content_factors_backup!$A$2:$Q$468,N$525,FALSE())</f>
        <v>0.12</v>
      </c>
      <c r="O319" s="0" t="n">
        <f aca="false">VLOOKUP($A319,content_factors_backup!$A$2:$Q$468,O$525,FALSE())</f>
        <v>11</v>
      </c>
      <c r="P319" s="0" t="n">
        <f aca="false">VLOOKUP($A319,content_factors_backup!$A$2:$Q$468,P$525,FALSE())</f>
        <v>0</v>
      </c>
      <c r="Q319" s="0" t="n">
        <f aca="false">VLOOKUP($A319,content_factors_backup!$A$2:$Q$468,Q$525,FALSE())</f>
        <v>0.095</v>
      </c>
      <c r="R319" s="0" t="n">
        <f aca="false">VLOOKUP($A319,content_factors_backup!$A$2:$Q$468,R$525,FALSE())</f>
        <v>0</v>
      </c>
      <c r="S319" s="0" t="n">
        <f aca="false">VLOOKUP($A319,content_factors_backup!$A$2:$Q$468,S$525,FALSE())</f>
        <v>148</v>
      </c>
      <c r="T319" s="0" t="n">
        <f aca="false">VLOOKUP($A319,content_factors_backup!$A$2:$Q$468,T$525,FALSE())</f>
        <v>0</v>
      </c>
      <c r="U319" s="0" t="n">
        <f aca="false">VLOOKUP($A319,content_factors_backup!$A$2:$Q$468,U$525,FALSE())</f>
        <v>0</v>
      </c>
      <c r="V319" s="0" t="n">
        <f aca="false">VLOOKUP($A319,content_factors_backup!$A$2:$Q$468,V$525,FALSE())</f>
        <v>0</v>
      </c>
      <c r="W319" s="0" t="n">
        <f aca="false">VLOOKUP($A319,content_factors_backup!$A$2:$Q$468,W$525,FALSE())</f>
        <v>0</v>
      </c>
    </row>
    <row r="320" customFormat="false" ht="14.25" hidden="false" customHeight="false" outlineLevel="0" collapsed="false">
      <c r="A320" s="0" t="n">
        <v>693</v>
      </c>
      <c r="B320" s="0" t="s">
        <v>741</v>
      </c>
      <c r="C320" s="0" t="s">
        <v>742</v>
      </c>
      <c r="E320" s="0" t="s">
        <v>743</v>
      </c>
      <c r="F320" s="0" t="s">
        <v>743</v>
      </c>
      <c r="G320" s="0" t="n">
        <v>1655</v>
      </c>
      <c r="I320" s="0" t="n">
        <f aca="false">VLOOKUP($A320,content_factors_backup!$A$2:$Q$468,I$525,FALSE())</f>
        <v>95</v>
      </c>
      <c r="J320" s="0" t="n">
        <f aca="false">VLOOKUP($A320,content_factors_backup!$A$2:$Q$468,J$525,FALSE())</f>
        <v>276</v>
      </c>
      <c r="K320" s="0" t="n">
        <f aca="false">VLOOKUP($A320,content_factors_backup!$A$2:$Q$468,K$525,FALSE())</f>
        <v>3.645</v>
      </c>
      <c r="L320" s="0" t="n">
        <f aca="false">VLOOKUP($A320,content_factors_backup!$A$2:$Q$468,L$525,FALSE())</f>
        <v>53.1</v>
      </c>
      <c r="M320" s="0" t="n">
        <f aca="false">VLOOKUP($A320,content_factors_backup!$A$2:$Q$468,M$525,FALSE())</f>
        <v>1.83</v>
      </c>
      <c r="N320" s="0" t="n">
        <f aca="false">VLOOKUP($A320,content_factors_backup!$A$2:$Q$468,N$525,FALSE())</f>
        <v>8.32</v>
      </c>
      <c r="O320" s="0" t="n">
        <f aca="false">VLOOKUP($A320,content_factors_backup!$A$2:$Q$468,O$525,FALSE())</f>
        <v>735</v>
      </c>
      <c r="P320" s="0" t="n">
        <f aca="false">VLOOKUP($A320,content_factors_backup!$A$2:$Q$468,P$525,FALSE())</f>
        <v>6</v>
      </c>
      <c r="Q320" s="0" t="n">
        <f aca="false">VLOOKUP($A320,content_factors_backup!$A$2:$Q$468,Q$525,FALSE())</f>
        <v>0.0555</v>
      </c>
      <c r="R320" s="0" t="n">
        <f aca="false">VLOOKUP($A320,content_factors_backup!$A$2:$Q$468,R$525,FALSE())</f>
        <v>11</v>
      </c>
      <c r="S320" s="0" t="n">
        <f aca="false">VLOOKUP($A320,content_factors_backup!$A$2:$Q$468,S$525,FALSE())</f>
        <v>431</v>
      </c>
      <c r="T320" s="0" t="n">
        <f aca="false">VLOOKUP($A320,content_factors_backup!$A$2:$Q$468,T$525,FALSE())</f>
        <v>2.32</v>
      </c>
      <c r="U320" s="0" t="n">
        <f aca="false">VLOOKUP($A320,content_factors_backup!$A$2:$Q$468,U$525,FALSE())</f>
        <v>0</v>
      </c>
      <c r="V320" s="0" t="n">
        <f aca="false">VLOOKUP($A320,content_factors_backup!$A$2:$Q$468,V$525,FALSE())</f>
        <v>31.2</v>
      </c>
      <c r="W320" s="0" t="n">
        <f aca="false">VLOOKUP($A320,content_factors_backup!$A$2:$Q$468,W$525,FALSE())</f>
        <v>14.75</v>
      </c>
    </row>
    <row r="321" customFormat="false" ht="14.25" hidden="false" customHeight="false" outlineLevel="0" collapsed="false">
      <c r="A321" s="0" t="n">
        <v>698</v>
      </c>
      <c r="B321" s="0" t="s">
        <v>744</v>
      </c>
      <c r="C321" s="0" t="s">
        <v>745</v>
      </c>
      <c r="E321" s="0" t="n">
        <v>90700</v>
      </c>
      <c r="F321" s="0" t="s">
        <v>746</v>
      </c>
      <c r="G321" s="0" t="n">
        <v>1656</v>
      </c>
      <c r="I321" s="0" t="n">
        <f aca="false">VLOOKUP($A321,content_factors_backup!$A$2:$Q$468,I$525,FALSE())</f>
        <v>95</v>
      </c>
      <c r="J321" s="0" t="n">
        <f aca="false">VLOOKUP($A321,content_factors_backup!$A$2:$Q$468,J$525,FALSE())</f>
        <v>274</v>
      </c>
      <c r="K321" s="0" t="n">
        <f aca="false">VLOOKUP($A321,content_factors_backup!$A$2:$Q$468,K$525,FALSE())</f>
        <v>5</v>
      </c>
      <c r="L321" s="0" t="n">
        <f aca="false">VLOOKUP($A321,content_factors_backup!$A$2:$Q$468,L$525,FALSE())</f>
        <v>21.45</v>
      </c>
      <c r="M321" s="0" t="n">
        <f aca="false">VLOOKUP($A321,content_factors_backup!$A$2:$Q$468,M$525,FALSE())</f>
        <v>2.32</v>
      </c>
      <c r="N321" s="0" t="n">
        <f aca="false">VLOOKUP($A321,content_factors_backup!$A$2:$Q$468,N$525,FALSE())</f>
        <v>11.83</v>
      </c>
      <c r="O321" s="0" t="n">
        <f aca="false">VLOOKUP($A321,content_factors_backup!$A$2:$Q$468,O$525,FALSE())</f>
        <v>632</v>
      </c>
      <c r="P321" s="0" t="n">
        <f aca="false">VLOOKUP($A321,content_factors_backup!$A$2:$Q$468,P$525,FALSE())</f>
        <v>25</v>
      </c>
      <c r="Q321" s="0" t="n">
        <f aca="false">VLOOKUP($A321,content_factors_backup!$A$2:$Q$468,Q$525,FALSE())</f>
        <v>0.11</v>
      </c>
      <c r="R321" s="0" t="n">
        <f aca="false">VLOOKUP($A321,content_factors_backup!$A$2:$Q$468,R$525,FALSE())</f>
        <v>37.4</v>
      </c>
      <c r="S321" s="0" t="n">
        <f aca="false">VLOOKUP($A321,content_factors_backup!$A$2:$Q$468,S$525,FALSE())</f>
        <v>1020</v>
      </c>
      <c r="T321" s="0" t="n">
        <f aca="false">VLOOKUP($A321,content_factors_backup!$A$2:$Q$468,T$525,FALSE())</f>
        <v>8.82</v>
      </c>
      <c r="U321" s="0" t="n">
        <f aca="false">VLOOKUP($A321,content_factors_backup!$A$2:$Q$468,U$525,FALSE())</f>
        <v>0</v>
      </c>
      <c r="V321" s="0" t="n">
        <f aca="false">VLOOKUP($A321,content_factors_backup!$A$2:$Q$468,V$525,FALSE())</f>
        <v>141.8</v>
      </c>
      <c r="W321" s="0" t="n">
        <f aca="false">VLOOKUP($A321,content_factors_backup!$A$2:$Q$468,W$525,FALSE())</f>
        <v>8</v>
      </c>
    </row>
    <row r="322" customFormat="false" ht="14.25" hidden="false" customHeight="false" outlineLevel="0" collapsed="false">
      <c r="A322" s="0" t="n">
        <v>702</v>
      </c>
      <c r="B322" s="0" t="s">
        <v>747</v>
      </c>
      <c r="C322" s="0" t="s">
        <v>748</v>
      </c>
      <c r="E322" s="0" t="s">
        <v>749</v>
      </c>
      <c r="F322" s="0" t="s">
        <v>750</v>
      </c>
      <c r="G322" s="0" t="n">
        <v>1653</v>
      </c>
      <c r="I322" s="0" t="n">
        <f aca="false">VLOOKUP($A322,content_factors_backup!$A$2:$Q$468,I$525,FALSE())</f>
        <v>95</v>
      </c>
      <c r="J322" s="0" t="n">
        <f aca="false">VLOOKUP($A322,content_factors_backup!$A$2:$Q$468,J$525,FALSE())</f>
        <v>413.5</v>
      </c>
      <c r="K322" s="0" t="n">
        <f aca="false">VLOOKUP($A322,content_factors_backup!$A$2:$Q$468,K$525,FALSE())</f>
        <v>8.25</v>
      </c>
      <c r="L322" s="0" t="n">
        <f aca="false">VLOOKUP($A322,content_factors_backup!$A$2:$Q$468,L$525,FALSE())</f>
        <v>20.1</v>
      </c>
      <c r="M322" s="0" t="n">
        <f aca="false">VLOOKUP($A322,content_factors_backup!$A$2:$Q$468,M$525,FALSE())</f>
        <v>2.15</v>
      </c>
      <c r="N322" s="0" t="n">
        <f aca="false">VLOOKUP($A322,content_factors_backup!$A$2:$Q$468,N$525,FALSE())</f>
        <v>12.45</v>
      </c>
      <c r="O322" s="0" t="n">
        <f aca="false">VLOOKUP($A322,content_factors_backup!$A$2:$Q$468,O$525,FALSE())</f>
        <v>157</v>
      </c>
      <c r="P322" s="0" t="n">
        <f aca="false">VLOOKUP($A322,content_factors_backup!$A$2:$Q$468,P$525,FALSE())</f>
        <v>76</v>
      </c>
      <c r="Q322" s="0" t="n">
        <f aca="false">VLOOKUP($A322,content_factors_backup!$A$2:$Q$468,Q$525,FALSE())</f>
        <v>0.057</v>
      </c>
      <c r="R322" s="0" t="n">
        <f aca="false">VLOOKUP($A322,content_factors_backup!$A$2:$Q$468,R$525,FALSE())</f>
        <v>779.4</v>
      </c>
      <c r="S322" s="0" t="n">
        <f aca="false">VLOOKUP($A322,content_factors_backup!$A$2:$Q$468,S$525,FALSE())</f>
        <v>463</v>
      </c>
      <c r="T322" s="0" t="n">
        <f aca="false">VLOOKUP($A322,content_factors_backup!$A$2:$Q$468,T$525,FALSE())</f>
        <v>0</v>
      </c>
      <c r="U322" s="0" t="n">
        <f aca="false">VLOOKUP($A322,content_factors_backup!$A$2:$Q$468,U$525,FALSE())</f>
        <v>0</v>
      </c>
      <c r="V322" s="0" t="n">
        <f aca="false">VLOOKUP($A322,content_factors_backup!$A$2:$Q$468,V$525,FALSE())</f>
        <v>0</v>
      </c>
      <c r="W322" s="0" t="n">
        <f aca="false">VLOOKUP($A322,content_factors_backup!$A$2:$Q$468,W$525,FALSE())</f>
        <v>0.12</v>
      </c>
    </row>
    <row r="323" customFormat="false" ht="14.25" hidden="false" customHeight="false" outlineLevel="0" collapsed="false">
      <c r="A323" s="0" t="n">
        <v>711</v>
      </c>
      <c r="B323" s="0" t="s">
        <v>751</v>
      </c>
      <c r="C323" s="0" t="s">
        <v>752</v>
      </c>
      <c r="E323" s="0" t="s">
        <v>753</v>
      </c>
      <c r="F323" s="0" t="s">
        <v>754</v>
      </c>
      <c r="G323" s="0" t="n">
        <v>1654</v>
      </c>
      <c r="I323" s="0" t="n">
        <f aca="false">VLOOKUP($A323,content_factors_backup!$A$2:$Q$468,I$525,FALSE())</f>
        <v>95</v>
      </c>
      <c r="J323" s="0" t="n">
        <f aca="false">VLOOKUP($A323,content_factors_backup!$A$2:$Q$468,J$525,FALSE())</f>
        <v>341</v>
      </c>
      <c r="K323" s="0" t="n">
        <f aca="false">VLOOKUP($A323,content_factors_backup!$A$2:$Q$468,K$525,FALSE())</f>
        <v>16.7</v>
      </c>
      <c r="L323" s="0" t="n">
        <f aca="false">VLOOKUP($A323,content_factors_backup!$A$2:$Q$468,L$525,FALSE())</f>
        <v>14.6</v>
      </c>
      <c r="M323" s="0" t="n">
        <f aca="false">VLOOKUP($A323,content_factors_backup!$A$2:$Q$468,M$525,FALSE())</f>
        <v>4.8</v>
      </c>
      <c r="N323" s="0" t="n">
        <f aca="false">VLOOKUP($A323,content_factors_backup!$A$2:$Q$468,N$525,FALSE())</f>
        <v>27.5</v>
      </c>
      <c r="O323" s="0" t="n">
        <f aca="false">VLOOKUP($A323,content_factors_backup!$A$2:$Q$468,O$525,FALSE())</f>
        <v>709</v>
      </c>
      <c r="P323" s="0" t="n">
        <f aca="false">VLOOKUP($A323,content_factors_backup!$A$2:$Q$468,P$525,FALSE())</f>
        <v>10</v>
      </c>
      <c r="Q323" s="0" t="n">
        <f aca="false">VLOOKUP($A323,content_factors_backup!$A$2:$Q$468,Q$525,FALSE())</f>
        <v>0.3085</v>
      </c>
      <c r="R323" s="0" t="n">
        <f aca="false">VLOOKUP($A323,content_factors_backup!$A$2:$Q$468,R$525,FALSE())</f>
        <v>544.85</v>
      </c>
      <c r="S323" s="0" t="n">
        <f aca="false">VLOOKUP($A323,content_factors_backup!$A$2:$Q$468,S$525,FALSE())</f>
        <v>1440.5</v>
      </c>
      <c r="T323" s="0" t="n">
        <f aca="false">VLOOKUP($A323,content_factors_backup!$A$2:$Q$468,T$525,FALSE())</f>
        <v>0</v>
      </c>
      <c r="U323" s="0" t="n">
        <f aca="false">VLOOKUP($A323,content_factors_backup!$A$2:$Q$468,U$525,FALSE())</f>
        <v>0</v>
      </c>
      <c r="V323" s="0" t="n">
        <f aca="false">VLOOKUP($A323,content_factors_backup!$A$2:$Q$468,V$525,FALSE())</f>
        <v>0</v>
      </c>
      <c r="W323" s="0" t="n">
        <f aca="false">VLOOKUP($A323,content_factors_backup!$A$2:$Q$468,W$525,FALSE())</f>
        <v>16</v>
      </c>
    </row>
    <row r="324" customFormat="false" ht="14.25" hidden="false" customHeight="false" outlineLevel="0" collapsed="false">
      <c r="A324" s="0" t="n">
        <v>720</v>
      </c>
      <c r="B324" s="0" t="s">
        <v>755</v>
      </c>
      <c r="C324" s="0" t="s">
        <v>756</v>
      </c>
      <c r="E324" s="0" t="n">
        <v>91010</v>
      </c>
      <c r="F324" s="0" t="s">
        <v>757</v>
      </c>
      <c r="G324" s="0" t="n">
        <v>1657</v>
      </c>
      <c r="I324" s="0" t="n">
        <f aca="false">VLOOKUP($A324,content_factors_backup!$A$2:$Q$468,I$525,FALSE())</f>
        <v>13</v>
      </c>
      <c r="J324" s="0" t="n">
        <f aca="false">VLOOKUP($A324,content_factors_backup!$A$2:$Q$468,J$525,FALSE())</f>
        <v>191.5</v>
      </c>
      <c r="K324" s="0" t="n">
        <f aca="false">VLOOKUP($A324,content_factors_backup!$A$2:$Q$468,K$525,FALSE())</f>
        <v>4.8</v>
      </c>
      <c r="L324" s="0" t="n">
        <f aca="false">VLOOKUP($A324,content_factors_backup!$A$2:$Q$468,L$525,FALSE())</f>
        <v>2.9</v>
      </c>
      <c r="M324" s="0" t="n">
        <f aca="false">VLOOKUP($A324,content_factors_backup!$A$2:$Q$468,M$525,FALSE())</f>
        <v>1.447745401</v>
      </c>
      <c r="N324" s="0" t="n">
        <f aca="false">VLOOKUP($A324,content_factors_backup!$A$2:$Q$468,N$525,FALSE())</f>
        <v>2.554844825</v>
      </c>
      <c r="O324" s="0" t="n">
        <f aca="false">VLOOKUP($A324,content_factors_backup!$A$2:$Q$468,O$525,FALSE())</f>
        <v>48.361367785</v>
      </c>
      <c r="P324" s="0" t="n">
        <f aca="false">VLOOKUP($A324,content_factors_backup!$A$2:$Q$468,P$525,FALSE())</f>
        <v>13</v>
      </c>
      <c r="Q324" s="0" t="n">
        <f aca="false">VLOOKUP($A324,content_factors_backup!$A$2:$Q$468,Q$525,FALSE())</f>
        <v>0.105</v>
      </c>
      <c r="R324" s="0" t="n">
        <f aca="false">VLOOKUP($A324,content_factors_backup!$A$2:$Q$468,R$525,FALSE())</f>
        <v>41.2</v>
      </c>
      <c r="S324" s="0" t="n">
        <f aca="false">VLOOKUP($A324,content_factors_backup!$A$2:$Q$468,S$525,FALSE())</f>
        <v>867.5</v>
      </c>
      <c r="T324" s="0" t="n">
        <f aca="false">VLOOKUP($A324,content_factors_backup!$A$2:$Q$468,T$525,FALSE())</f>
        <v>0</v>
      </c>
      <c r="U324" s="0" t="n">
        <f aca="false">VLOOKUP($A324,content_factors_backup!$A$2:$Q$468,U$525,FALSE())</f>
        <v>0</v>
      </c>
      <c r="V324" s="0" t="n">
        <f aca="false">VLOOKUP($A324,content_factors_backup!$A$2:$Q$468,V$525,FALSE())</f>
        <v>0.8</v>
      </c>
      <c r="W324" s="0" t="n">
        <f aca="false">VLOOKUP($A324,content_factors_backup!$A$2:$Q$468,W$525,FALSE())</f>
        <v>0</v>
      </c>
    </row>
    <row r="325" customFormat="false" ht="14.25" hidden="false" customHeight="false" outlineLevel="0" collapsed="false">
      <c r="A325" s="0" t="n">
        <v>723</v>
      </c>
      <c r="B325" s="0" t="s">
        <v>758</v>
      </c>
      <c r="C325" s="0" t="s">
        <v>759</v>
      </c>
      <c r="E325" s="0" t="s">
        <v>760</v>
      </c>
      <c r="F325" s="0" t="s">
        <v>760</v>
      </c>
      <c r="G325" s="0" t="n">
        <v>1699</v>
      </c>
      <c r="I325" s="0" t="n">
        <f aca="false">VLOOKUP($A325,content_factors_backup!$A$2:$Q$468,I$525,FALSE())</f>
        <v>95</v>
      </c>
      <c r="J325" s="0" t="n">
        <f aca="false">VLOOKUP($A325,content_factors_backup!$A$2:$Q$468,J$525,FALSE())</f>
        <v>289</v>
      </c>
      <c r="K325" s="0" t="n">
        <f aca="false">VLOOKUP($A325,content_factors_backup!$A$2:$Q$468,K$525,FALSE())</f>
        <v>7.3</v>
      </c>
      <c r="L325" s="0" t="n">
        <f aca="false">VLOOKUP($A325,content_factors_backup!$A$2:$Q$468,L$525,FALSE())</f>
        <v>12.2</v>
      </c>
      <c r="M325" s="0" t="n">
        <f aca="false">VLOOKUP($A325,content_factors_backup!$A$2:$Q$468,M$525,FALSE())</f>
        <v>2.895</v>
      </c>
      <c r="N325" s="0" t="n">
        <f aca="false">VLOOKUP($A325,content_factors_backup!$A$2:$Q$468,N$525,FALSE())</f>
        <v>12</v>
      </c>
      <c r="O325" s="0" t="n">
        <f aca="false">VLOOKUP($A325,content_factors_backup!$A$2:$Q$468,O$525,FALSE())</f>
        <v>243</v>
      </c>
      <c r="P325" s="0" t="n">
        <f aca="false">VLOOKUP($A325,content_factors_backup!$A$2:$Q$468,P$525,FALSE())</f>
        <v>150</v>
      </c>
      <c r="Q325" s="0" t="n">
        <f aca="false">VLOOKUP($A325,content_factors_backup!$A$2:$Q$468,Q$525,FALSE())</f>
        <v>0.261</v>
      </c>
      <c r="R325" s="0" t="n">
        <f aca="false">VLOOKUP($A325,content_factors_backup!$A$2:$Q$468,R$525,FALSE())</f>
        <v>46.4</v>
      </c>
      <c r="S325" s="0" t="n">
        <f aca="false">VLOOKUP($A325,content_factors_backup!$A$2:$Q$468,S$525,FALSE())</f>
        <v>738</v>
      </c>
      <c r="T325" s="0" t="n">
        <f aca="false">VLOOKUP($A325,content_factors_backup!$A$2:$Q$468,T$525,FALSE())</f>
        <v>4.43</v>
      </c>
      <c r="U325" s="0" t="n">
        <f aca="false">VLOOKUP($A325,content_factors_backup!$A$2:$Q$468,U$525,FALSE())</f>
        <v>0</v>
      </c>
      <c r="V325" s="0" t="n">
        <f aca="false">VLOOKUP($A325,content_factors_backup!$A$2:$Q$468,V$525,FALSE())</f>
        <v>13.4</v>
      </c>
      <c r="W325" s="0" t="n">
        <f aca="false">VLOOKUP($A325,content_factors_backup!$A$2:$Q$468,W$525,FALSE())</f>
        <v>156</v>
      </c>
    </row>
    <row r="326" customFormat="false" ht="14.25" hidden="false" customHeight="false" outlineLevel="0" collapsed="false">
      <c r="A326" s="0" t="n">
        <v>737</v>
      </c>
      <c r="B326" s="0" t="s">
        <v>761</v>
      </c>
      <c r="C326" s="0" t="s">
        <v>762</v>
      </c>
      <c r="E326" s="0" t="n">
        <v>330129</v>
      </c>
      <c r="F326" s="0" t="n">
        <v>330129</v>
      </c>
      <c r="G326" s="0" t="n">
        <v>35410.01</v>
      </c>
      <c r="I326" s="0" t="n">
        <f aca="false">VLOOKUP($A326,content_factors_backup!$A$2:$Q$468,I$525,FALSE())</f>
        <v>0</v>
      </c>
      <c r="J326" s="0" t="e">
        <f aca="false">VLOOKUP($A326,content_factors_backup!$A$2:$Q$468,J$525,FALSE())</f>
        <v>#N/A</v>
      </c>
      <c r="K326" s="0" t="e">
        <f aca="false">VLOOKUP($A326,content_factors_backup!$A$2:$Q$468,K$525,FALSE())</f>
        <v>#N/A</v>
      </c>
      <c r="L326" s="0" t="e">
        <f aca="false">VLOOKUP($A326,content_factors_backup!$A$2:$Q$468,L$525,FALSE())</f>
        <v>#N/A</v>
      </c>
      <c r="M326" s="0" t="e">
        <f aca="false">VLOOKUP($A326,content_factors_backup!$A$2:$Q$468,M$525,FALSE())</f>
        <v>#N/A</v>
      </c>
      <c r="N326" s="0" t="e">
        <f aca="false">VLOOKUP($A326,content_factors_backup!$A$2:$Q$468,N$525,FALSE())</f>
        <v>#N/A</v>
      </c>
      <c r="O326" s="0" t="e">
        <f aca="false">VLOOKUP($A326,content_factors_backup!$A$2:$Q$468,O$525,FALSE())</f>
        <v>#N/A</v>
      </c>
      <c r="P326" s="0" t="e">
        <f aca="false">VLOOKUP($A326,content_factors_backup!$A$2:$Q$468,P$525,FALSE())</f>
        <v>#N/A</v>
      </c>
      <c r="Q326" s="0" t="e">
        <f aca="false">VLOOKUP($A326,content_factors_backup!$A$2:$Q$468,Q$525,FALSE())</f>
        <v>#N/A</v>
      </c>
      <c r="R326" s="0" t="e">
        <f aca="false">VLOOKUP($A326,content_factors_backup!$A$2:$Q$468,R$525,FALSE())</f>
        <v>#N/A</v>
      </c>
      <c r="S326" s="0" t="e">
        <f aca="false">VLOOKUP($A326,content_factors_backup!$A$2:$Q$468,S$525,FALSE())</f>
        <v>#N/A</v>
      </c>
      <c r="T326" s="0" t="e">
        <f aca="false">VLOOKUP($A326,content_factors_backup!$A$2:$Q$468,T$525,FALSE())</f>
        <v>#N/A</v>
      </c>
      <c r="U326" s="0" t="e">
        <f aca="false">VLOOKUP($A326,content_factors_backup!$A$2:$Q$468,U$525,FALSE())</f>
        <v>#N/A</v>
      </c>
      <c r="V326" s="0" t="e">
        <f aca="false">VLOOKUP($A326,content_factors_backup!$A$2:$Q$468,V$525,FALSE())</f>
        <v>#N/A</v>
      </c>
      <c r="W326" s="0" t="e">
        <f aca="false">VLOOKUP($A326,content_factors_backup!$A$2:$Q$468,W$525,FALSE())</f>
        <v>#N/A</v>
      </c>
    </row>
    <row r="327" customFormat="false" ht="14.25" hidden="false" customHeight="false" outlineLevel="0" collapsed="false">
      <c r="A327" s="0" t="n">
        <v>748</v>
      </c>
      <c r="B327" s="0" t="s">
        <v>763</v>
      </c>
      <c r="C327" s="0" t="s">
        <v>764</v>
      </c>
      <c r="E327" s="0" t="n">
        <v>121190</v>
      </c>
      <c r="F327" s="0" t="n">
        <v>121190</v>
      </c>
      <c r="G327" s="0" t="n">
        <v>1930.01</v>
      </c>
      <c r="I327" s="0" t="n">
        <f aca="false">VLOOKUP($A327,content_factors_backup!$A$2:$Q$468,I$525,FALSE())</f>
        <v>50</v>
      </c>
      <c r="J327" s="0" t="n">
        <f aca="false">VLOOKUP($A327,content_factors_backup!$A$2:$Q$468,J$525,FALSE())</f>
        <v>312</v>
      </c>
      <c r="K327" s="0" t="n">
        <f aca="false">VLOOKUP($A327,content_factors_backup!$A$2:$Q$468,K$525,FALSE())</f>
        <v>9.68</v>
      </c>
      <c r="L327" s="0" t="n">
        <f aca="false">VLOOKUP($A327,content_factors_backup!$A$2:$Q$468,L$525,FALSE())</f>
        <v>22.7</v>
      </c>
      <c r="M327" s="0" t="n">
        <f aca="false">VLOOKUP($A327,content_factors_backup!$A$2:$Q$468,M$525,FALSE())</f>
        <v>4.5</v>
      </c>
      <c r="N327" s="0" t="n">
        <f aca="false">VLOOKUP($A327,content_factors_backup!$A$2:$Q$468,N$525,FALSE())</f>
        <v>55</v>
      </c>
      <c r="O327" s="0" t="n">
        <f aca="false">VLOOKUP($A327,content_factors_backup!$A$2:$Q$468,O$525,FALSE())</f>
        <v>168</v>
      </c>
      <c r="P327" s="0" t="n">
        <f aca="false">VLOOKUP($A327,content_factors_backup!$A$2:$Q$468,P$525,FALSE())</f>
        <v>20</v>
      </c>
      <c r="Q327" s="0" t="n">
        <f aca="false">VLOOKUP($A327,content_factors_backup!$A$2:$Q$468,Q$525,FALSE())</f>
        <v>0.15</v>
      </c>
      <c r="R327" s="0" t="n">
        <f aca="false">VLOOKUP($A327,content_factors_backup!$A$2:$Q$468,R$525,FALSE())</f>
        <v>49.2</v>
      </c>
      <c r="S327" s="0" t="n">
        <f aca="false">VLOOKUP($A327,content_factors_backup!$A$2:$Q$468,S$525,FALSE())</f>
        <v>2080</v>
      </c>
      <c r="T327" s="0" t="n">
        <f aca="false">VLOOKUP($A327,content_factors_backup!$A$2:$Q$468,T$525,FALSE())</f>
        <v>4.43</v>
      </c>
      <c r="U327" s="0" t="n">
        <f aca="false">VLOOKUP($A327,content_factors_backup!$A$2:$Q$468,U$525,FALSE())</f>
        <v>0</v>
      </c>
      <c r="V327" s="0" t="n">
        <f aca="false">VLOOKUP($A327,content_factors_backup!$A$2:$Q$468,V$525,FALSE())</f>
        <v>13.4</v>
      </c>
      <c r="W327" s="0" t="n">
        <f aca="false">VLOOKUP($A327,content_factors_backup!$A$2:$Q$468,W$525,FALSE())</f>
        <v>0</v>
      </c>
    </row>
    <row r="328" customFormat="false" ht="14.25" hidden="false" customHeight="false" outlineLevel="0" collapsed="false">
      <c r="A328" s="0" t="n">
        <v>753</v>
      </c>
      <c r="B328" s="0" t="s">
        <v>765</v>
      </c>
      <c r="C328" s="0" t="s">
        <v>766</v>
      </c>
      <c r="E328" s="0" t="s">
        <v>767</v>
      </c>
      <c r="F328" s="0" t="s">
        <v>767</v>
      </c>
      <c r="G328" s="0" t="n">
        <v>35410.9</v>
      </c>
      <c r="I328" s="0" t="n">
        <f aca="false">VLOOKUP($A328,content_factors_backup!$A$2:$Q$468,I$525,FALSE())</f>
        <v>0</v>
      </c>
      <c r="J328" s="0" t="e">
        <f aca="false">VLOOKUP($A328,content_factors_backup!$A$2:$Q$468,J$525,FALSE())</f>
        <v>#N/A</v>
      </c>
      <c r="K328" s="0" t="e">
        <f aca="false">VLOOKUP($A328,content_factors_backup!$A$2:$Q$468,K$525,FALSE())</f>
        <v>#N/A</v>
      </c>
      <c r="L328" s="0" t="e">
        <f aca="false">VLOOKUP($A328,content_factors_backup!$A$2:$Q$468,L$525,FALSE())</f>
        <v>#N/A</v>
      </c>
      <c r="M328" s="0" t="e">
        <f aca="false">VLOOKUP($A328,content_factors_backup!$A$2:$Q$468,M$525,FALSE())</f>
        <v>#N/A</v>
      </c>
      <c r="N328" s="0" t="e">
        <f aca="false">VLOOKUP($A328,content_factors_backup!$A$2:$Q$468,N$525,FALSE())</f>
        <v>#N/A</v>
      </c>
      <c r="O328" s="0" t="e">
        <f aca="false">VLOOKUP($A328,content_factors_backup!$A$2:$Q$468,O$525,FALSE())</f>
        <v>#N/A</v>
      </c>
      <c r="P328" s="0" t="e">
        <f aca="false">VLOOKUP($A328,content_factors_backup!$A$2:$Q$468,P$525,FALSE())</f>
        <v>#N/A</v>
      </c>
      <c r="Q328" s="0" t="e">
        <f aca="false">VLOOKUP($A328,content_factors_backup!$A$2:$Q$468,Q$525,FALSE())</f>
        <v>#N/A</v>
      </c>
      <c r="R328" s="0" t="e">
        <f aca="false">VLOOKUP($A328,content_factors_backup!$A$2:$Q$468,R$525,FALSE())</f>
        <v>#N/A</v>
      </c>
      <c r="S328" s="0" t="e">
        <f aca="false">VLOOKUP($A328,content_factors_backup!$A$2:$Q$468,S$525,FALSE())</f>
        <v>#N/A</v>
      </c>
      <c r="T328" s="0" t="e">
        <f aca="false">VLOOKUP($A328,content_factors_backup!$A$2:$Q$468,T$525,FALSE())</f>
        <v>#N/A</v>
      </c>
      <c r="U328" s="0" t="e">
        <f aca="false">VLOOKUP($A328,content_factors_backup!$A$2:$Q$468,U$525,FALSE())</f>
        <v>#N/A</v>
      </c>
      <c r="V328" s="0" t="e">
        <f aca="false">VLOOKUP($A328,content_factors_backup!$A$2:$Q$468,V$525,FALSE())</f>
        <v>#N/A</v>
      </c>
      <c r="W328" s="0" t="e">
        <f aca="false">VLOOKUP($A328,content_factors_backup!$A$2:$Q$468,W$525,FALSE())</f>
        <v>#N/A</v>
      </c>
    </row>
    <row r="329" customFormat="false" ht="14.25" hidden="false" customHeight="false" outlineLevel="0" collapsed="false">
      <c r="A329" s="0" t="n">
        <v>754</v>
      </c>
      <c r="B329" s="0" t="s">
        <v>768</v>
      </c>
      <c r="C329" s="0" t="s">
        <v>769</v>
      </c>
      <c r="E329" s="0" t="n">
        <v>121190</v>
      </c>
      <c r="F329" s="0" t="n">
        <v>121190</v>
      </c>
      <c r="G329" s="0" t="n">
        <v>1930.02</v>
      </c>
      <c r="I329" s="0" t="n">
        <f aca="false">VLOOKUP($A329,content_factors_backup!$A$2:$Q$468,I$525,FALSE())</f>
        <v>100</v>
      </c>
      <c r="J329" s="0" t="n">
        <f aca="false">VLOOKUP($A329,content_factors_backup!$A$2:$Q$468,J$525,FALSE())</f>
        <v>0</v>
      </c>
      <c r="K329" s="0" t="n">
        <f aca="false">VLOOKUP($A329,content_factors_backup!$A$2:$Q$468,K$525,FALSE())</f>
        <v>0</v>
      </c>
      <c r="L329" s="0" t="n">
        <f aca="false">VLOOKUP($A329,content_factors_backup!$A$2:$Q$468,L$525,FALSE())</f>
        <v>0</v>
      </c>
      <c r="M329" s="0" t="n">
        <f aca="false">VLOOKUP($A329,content_factors_backup!$A$2:$Q$468,M$525,FALSE())</f>
        <v>0</v>
      </c>
      <c r="N329" s="0" t="n">
        <f aca="false">VLOOKUP($A329,content_factors_backup!$A$2:$Q$468,N$525,FALSE())</f>
        <v>0</v>
      </c>
      <c r="O329" s="0" t="n">
        <f aca="false">VLOOKUP($A329,content_factors_backup!$A$2:$Q$468,O$525,FALSE())</f>
        <v>0</v>
      </c>
      <c r="P329" s="0" t="n">
        <f aca="false">VLOOKUP($A329,content_factors_backup!$A$2:$Q$468,P$525,FALSE())</f>
        <v>0</v>
      </c>
      <c r="Q329" s="0" t="n">
        <f aca="false">VLOOKUP($A329,content_factors_backup!$A$2:$Q$468,Q$525,FALSE())</f>
        <v>0</v>
      </c>
      <c r="R329" s="0" t="n">
        <f aca="false">VLOOKUP($A329,content_factors_backup!$A$2:$Q$468,R$525,FALSE())</f>
        <v>0</v>
      </c>
      <c r="S329" s="0" t="n">
        <f aca="false">VLOOKUP($A329,content_factors_backup!$A$2:$Q$468,S$525,FALSE())</f>
        <v>0</v>
      </c>
      <c r="T329" s="0" t="n">
        <f aca="false">VLOOKUP($A329,content_factors_backup!$A$2:$Q$468,T$525,FALSE())</f>
        <v>0</v>
      </c>
      <c r="U329" s="0" t="n">
        <f aca="false">VLOOKUP($A329,content_factors_backup!$A$2:$Q$468,U$525,FALSE())</f>
        <v>0</v>
      </c>
      <c r="V329" s="0" t="n">
        <f aca="false">VLOOKUP($A329,content_factors_backup!$A$2:$Q$468,V$525,FALSE())</f>
        <v>0</v>
      </c>
      <c r="W329" s="0" t="n">
        <f aca="false">VLOOKUP($A329,content_factors_backup!$A$2:$Q$468,W$525,FALSE())</f>
        <v>0</v>
      </c>
    </row>
    <row r="330" customFormat="false" ht="14.25" hidden="false" customHeight="false" outlineLevel="0" collapsed="false">
      <c r="A330" s="0" t="n">
        <v>755</v>
      </c>
      <c r="B330" s="0" t="s">
        <v>770</v>
      </c>
      <c r="C330" s="0" t="s">
        <v>771</v>
      </c>
      <c r="E330" s="0" t="n">
        <v>130219</v>
      </c>
      <c r="F330" s="0" t="n">
        <v>130219</v>
      </c>
      <c r="G330" s="0" t="n">
        <v>23999.04</v>
      </c>
      <c r="I330" s="0" t="n">
        <f aca="false">VLOOKUP($A330,content_factors_backup!$A$2:$Q$468,I$525,FALSE())</f>
        <v>100</v>
      </c>
      <c r="J330" s="0" t="n">
        <f aca="false">VLOOKUP($A330,content_factors_backup!$A$2:$Q$468,J$525,FALSE())</f>
        <v>0</v>
      </c>
      <c r="K330" s="0" t="n">
        <f aca="false">VLOOKUP($A330,content_factors_backup!$A$2:$Q$468,K$525,FALSE())</f>
        <v>0</v>
      </c>
      <c r="L330" s="0" t="n">
        <f aca="false">VLOOKUP($A330,content_factors_backup!$A$2:$Q$468,L$525,FALSE())</f>
        <v>0</v>
      </c>
      <c r="M330" s="0" t="n">
        <f aca="false">VLOOKUP($A330,content_factors_backup!$A$2:$Q$468,M$525,FALSE())</f>
        <v>0</v>
      </c>
      <c r="N330" s="0" t="n">
        <f aca="false">VLOOKUP($A330,content_factors_backup!$A$2:$Q$468,N$525,FALSE())</f>
        <v>0</v>
      </c>
      <c r="O330" s="0" t="n">
        <f aca="false">VLOOKUP($A330,content_factors_backup!$A$2:$Q$468,O$525,FALSE())</f>
        <v>0</v>
      </c>
      <c r="P330" s="0" t="n">
        <f aca="false">VLOOKUP($A330,content_factors_backup!$A$2:$Q$468,P$525,FALSE())</f>
        <v>0</v>
      </c>
      <c r="Q330" s="0" t="n">
        <f aca="false">VLOOKUP($A330,content_factors_backup!$A$2:$Q$468,Q$525,FALSE())</f>
        <v>0</v>
      </c>
      <c r="R330" s="0" t="n">
        <f aca="false">VLOOKUP($A330,content_factors_backup!$A$2:$Q$468,R$525,FALSE())</f>
        <v>0</v>
      </c>
      <c r="S330" s="0" t="n">
        <f aca="false">VLOOKUP($A330,content_factors_backup!$A$2:$Q$468,S$525,FALSE())</f>
        <v>0</v>
      </c>
      <c r="T330" s="0" t="n">
        <f aca="false">VLOOKUP($A330,content_factors_backup!$A$2:$Q$468,T$525,FALSE())</f>
        <v>0</v>
      </c>
      <c r="U330" s="0" t="n">
        <f aca="false">VLOOKUP($A330,content_factors_backup!$A$2:$Q$468,U$525,FALSE())</f>
        <v>0</v>
      </c>
      <c r="V330" s="0" t="n">
        <f aca="false">VLOOKUP($A330,content_factors_backup!$A$2:$Q$468,V$525,FALSE())</f>
        <v>0</v>
      </c>
      <c r="W330" s="0" t="n">
        <f aca="false">VLOOKUP($A330,content_factors_backup!$A$2:$Q$468,W$525,FALSE())</f>
        <v>0</v>
      </c>
    </row>
    <row r="331" customFormat="false" ht="14.25" hidden="false" customHeight="false" outlineLevel="0" collapsed="false">
      <c r="A331" s="0" t="n">
        <v>767</v>
      </c>
      <c r="B331" s="0" t="s">
        <v>772</v>
      </c>
      <c r="C331" s="0" t="s">
        <v>773</v>
      </c>
      <c r="E331" s="0" t="n">
        <v>520100</v>
      </c>
      <c r="F331" s="0" t="n">
        <v>520100</v>
      </c>
      <c r="G331" s="0" t="n">
        <v>1921.02</v>
      </c>
      <c r="I331" s="0" t="n">
        <f aca="false">VLOOKUP($A331,content_factors_backup!$A$2:$Q$468,I$525,FALSE())</f>
        <v>90</v>
      </c>
      <c r="J331" s="0" t="n">
        <f aca="false">VLOOKUP($A331,content_factors_backup!$A$2:$Q$468,J$525,FALSE())</f>
        <v>0</v>
      </c>
      <c r="K331" s="0" t="n">
        <f aca="false">VLOOKUP($A331,content_factors_backup!$A$2:$Q$468,K$525,FALSE())</f>
        <v>0</v>
      </c>
      <c r="L331" s="0" t="n">
        <f aca="false">VLOOKUP($A331,content_factors_backup!$A$2:$Q$468,L$525,FALSE())</f>
        <v>0</v>
      </c>
      <c r="M331" s="0" t="n">
        <f aca="false">VLOOKUP($A331,content_factors_backup!$A$2:$Q$468,M$525,FALSE())</f>
        <v>0</v>
      </c>
      <c r="N331" s="0" t="n">
        <f aca="false">VLOOKUP($A331,content_factors_backup!$A$2:$Q$468,N$525,FALSE())</f>
        <v>0</v>
      </c>
      <c r="O331" s="0" t="n">
        <f aca="false">VLOOKUP($A331,content_factors_backup!$A$2:$Q$468,O$525,FALSE())</f>
        <v>0</v>
      </c>
      <c r="P331" s="0" t="n">
        <f aca="false">VLOOKUP($A331,content_factors_backup!$A$2:$Q$468,P$525,FALSE())</f>
        <v>0</v>
      </c>
      <c r="Q331" s="0" t="n">
        <f aca="false">VLOOKUP($A331,content_factors_backup!$A$2:$Q$468,Q$525,FALSE())</f>
        <v>0</v>
      </c>
      <c r="R331" s="0" t="n">
        <f aca="false">VLOOKUP($A331,content_factors_backup!$A$2:$Q$468,R$525,FALSE())</f>
        <v>0</v>
      </c>
      <c r="S331" s="0" t="n">
        <f aca="false">VLOOKUP($A331,content_factors_backup!$A$2:$Q$468,S$525,FALSE())</f>
        <v>0</v>
      </c>
      <c r="T331" s="0" t="n">
        <f aca="false">VLOOKUP($A331,content_factors_backup!$A$2:$Q$468,T$525,FALSE())</f>
        <v>0</v>
      </c>
      <c r="U331" s="0" t="n">
        <f aca="false">VLOOKUP($A331,content_factors_backup!$A$2:$Q$468,U$525,FALSE())</f>
        <v>0</v>
      </c>
      <c r="V331" s="0" t="n">
        <f aca="false">VLOOKUP($A331,content_factors_backup!$A$2:$Q$468,V$525,FALSE())</f>
        <v>0</v>
      </c>
      <c r="W331" s="0" t="n">
        <f aca="false">VLOOKUP($A331,content_factors_backup!$A$2:$Q$468,W$525,FALSE())</f>
        <v>0</v>
      </c>
    </row>
    <row r="332" customFormat="false" ht="14.25" hidden="false" customHeight="false" outlineLevel="0" collapsed="false">
      <c r="A332" s="0" t="n">
        <v>768</v>
      </c>
      <c r="B332" s="0" t="s">
        <v>774</v>
      </c>
      <c r="C332" s="0" t="s">
        <v>775</v>
      </c>
      <c r="E332" s="0" t="n">
        <v>520300</v>
      </c>
      <c r="F332" s="0" t="n">
        <v>520300</v>
      </c>
      <c r="G332" s="0" t="n">
        <v>26160</v>
      </c>
      <c r="I332" s="0" t="n">
        <f aca="false">VLOOKUP($A332,content_factors_backup!$A$2:$Q$468,I$525,FALSE())</f>
        <v>90</v>
      </c>
      <c r="J332" s="0" t="n">
        <f aca="false">VLOOKUP($A332,content_factors_backup!$A$2:$Q$468,J$525,FALSE())</f>
        <v>0</v>
      </c>
      <c r="K332" s="0" t="n">
        <f aca="false">VLOOKUP($A332,content_factors_backup!$A$2:$Q$468,K$525,FALSE())</f>
        <v>0</v>
      </c>
      <c r="L332" s="0" t="n">
        <f aca="false">VLOOKUP($A332,content_factors_backup!$A$2:$Q$468,L$525,FALSE())</f>
        <v>0</v>
      </c>
      <c r="M332" s="0" t="n">
        <f aca="false">VLOOKUP($A332,content_factors_backup!$A$2:$Q$468,M$525,FALSE())</f>
        <v>0</v>
      </c>
      <c r="N332" s="0" t="n">
        <f aca="false">VLOOKUP($A332,content_factors_backup!$A$2:$Q$468,N$525,FALSE())</f>
        <v>0</v>
      </c>
      <c r="O332" s="0" t="n">
        <f aca="false">VLOOKUP($A332,content_factors_backup!$A$2:$Q$468,O$525,FALSE())</f>
        <v>0</v>
      </c>
      <c r="P332" s="0" t="n">
        <f aca="false">VLOOKUP($A332,content_factors_backup!$A$2:$Q$468,P$525,FALSE())</f>
        <v>0</v>
      </c>
      <c r="Q332" s="0" t="n">
        <f aca="false">VLOOKUP($A332,content_factors_backup!$A$2:$Q$468,Q$525,FALSE())</f>
        <v>0</v>
      </c>
      <c r="R332" s="0" t="n">
        <f aca="false">VLOOKUP($A332,content_factors_backup!$A$2:$Q$468,R$525,FALSE())</f>
        <v>0</v>
      </c>
      <c r="S332" s="0" t="n">
        <f aca="false">VLOOKUP($A332,content_factors_backup!$A$2:$Q$468,S$525,FALSE())</f>
        <v>0</v>
      </c>
      <c r="T332" s="0" t="n">
        <f aca="false">VLOOKUP($A332,content_factors_backup!$A$2:$Q$468,T$525,FALSE())</f>
        <v>0</v>
      </c>
      <c r="U332" s="0" t="n">
        <f aca="false">VLOOKUP($A332,content_factors_backup!$A$2:$Q$468,U$525,FALSE())</f>
        <v>0</v>
      </c>
      <c r="V332" s="0" t="n">
        <f aca="false">VLOOKUP($A332,content_factors_backup!$A$2:$Q$468,V$525,FALSE())</f>
        <v>0</v>
      </c>
      <c r="W332" s="0" t="n">
        <f aca="false">VLOOKUP($A332,content_factors_backup!$A$2:$Q$468,W$525,FALSE())</f>
        <v>0</v>
      </c>
    </row>
    <row r="333" customFormat="false" ht="14.25" hidden="false" customHeight="false" outlineLevel="0" collapsed="false">
      <c r="A333" s="0" t="n">
        <v>769</v>
      </c>
      <c r="B333" s="0" t="s">
        <v>776</v>
      </c>
      <c r="C333" s="0" t="s">
        <v>777</v>
      </c>
      <c r="E333" s="0" t="s">
        <v>778</v>
      </c>
      <c r="F333" s="0" t="s">
        <v>778</v>
      </c>
      <c r="G333" s="0" t="s">
        <v>779</v>
      </c>
      <c r="I333" s="0" t="n">
        <f aca="false">VLOOKUP($A333,content_factors_backup!$A$2:$Q$468,I$525,FALSE())</f>
        <v>90</v>
      </c>
      <c r="J333" s="0" t="n">
        <f aca="false">VLOOKUP($A333,content_factors_backup!$A$2:$Q$468,J$525,FALSE())</f>
        <v>0</v>
      </c>
      <c r="K333" s="0" t="n">
        <f aca="false">VLOOKUP($A333,content_factors_backup!$A$2:$Q$468,K$525,FALSE())</f>
        <v>0</v>
      </c>
      <c r="L333" s="0" t="n">
        <f aca="false">VLOOKUP($A333,content_factors_backup!$A$2:$Q$468,L$525,FALSE())</f>
        <v>0</v>
      </c>
      <c r="M333" s="0" t="n">
        <f aca="false">VLOOKUP($A333,content_factors_backup!$A$2:$Q$468,M$525,FALSE())</f>
        <v>0</v>
      </c>
      <c r="N333" s="0" t="n">
        <f aca="false">VLOOKUP($A333,content_factors_backup!$A$2:$Q$468,N$525,FALSE())</f>
        <v>0</v>
      </c>
      <c r="O333" s="0" t="n">
        <f aca="false">VLOOKUP($A333,content_factors_backup!$A$2:$Q$468,O$525,FALSE())</f>
        <v>0</v>
      </c>
      <c r="P333" s="0" t="n">
        <f aca="false">VLOOKUP($A333,content_factors_backup!$A$2:$Q$468,P$525,FALSE())</f>
        <v>0</v>
      </c>
      <c r="Q333" s="0" t="n">
        <f aca="false">VLOOKUP($A333,content_factors_backup!$A$2:$Q$468,Q$525,FALSE())</f>
        <v>0</v>
      </c>
      <c r="R333" s="0" t="n">
        <f aca="false">VLOOKUP($A333,content_factors_backup!$A$2:$Q$468,R$525,FALSE())</f>
        <v>0</v>
      </c>
      <c r="S333" s="0" t="n">
        <f aca="false">VLOOKUP($A333,content_factors_backup!$A$2:$Q$468,S$525,FALSE())</f>
        <v>0</v>
      </c>
      <c r="T333" s="0" t="n">
        <f aca="false">VLOOKUP($A333,content_factors_backup!$A$2:$Q$468,T$525,FALSE())</f>
        <v>0</v>
      </c>
      <c r="U333" s="0" t="n">
        <f aca="false">VLOOKUP($A333,content_factors_backup!$A$2:$Q$468,U$525,FALSE())</f>
        <v>0</v>
      </c>
      <c r="V333" s="0" t="n">
        <f aca="false">VLOOKUP($A333,content_factors_backup!$A$2:$Q$468,V$525,FALSE())</f>
        <v>0</v>
      </c>
      <c r="W333" s="0" t="n">
        <f aca="false">VLOOKUP($A333,content_factors_backup!$A$2:$Q$468,W$525,FALSE())</f>
        <v>0</v>
      </c>
    </row>
    <row r="334" customFormat="false" ht="14.25" hidden="false" customHeight="false" outlineLevel="0" collapsed="false">
      <c r="A334" s="0" t="n">
        <v>770</v>
      </c>
      <c r="B334" s="0" t="s">
        <v>780</v>
      </c>
      <c r="C334" s="0" t="s">
        <v>781</v>
      </c>
      <c r="E334" s="0" t="n">
        <v>140420</v>
      </c>
      <c r="F334" s="0" t="n">
        <v>140420</v>
      </c>
      <c r="G334" s="0" t="n">
        <v>21800</v>
      </c>
      <c r="I334" s="0" t="n">
        <f aca="false">VLOOKUP($A334,content_factors_backup!$A$2:$Q$468,I$525,FALSE())</f>
        <v>90</v>
      </c>
      <c r="J334" s="0" t="n">
        <f aca="false">VLOOKUP($A334,content_factors_backup!$A$2:$Q$468,J$525,FALSE())</f>
        <v>0</v>
      </c>
      <c r="K334" s="0" t="n">
        <f aca="false">VLOOKUP($A334,content_factors_backup!$A$2:$Q$468,K$525,FALSE())</f>
        <v>0</v>
      </c>
      <c r="L334" s="0" t="n">
        <f aca="false">VLOOKUP($A334,content_factors_backup!$A$2:$Q$468,L$525,FALSE())</f>
        <v>0</v>
      </c>
      <c r="M334" s="0" t="n">
        <f aca="false">VLOOKUP($A334,content_factors_backup!$A$2:$Q$468,M$525,FALSE())</f>
        <v>0</v>
      </c>
      <c r="N334" s="0" t="n">
        <f aca="false">VLOOKUP($A334,content_factors_backup!$A$2:$Q$468,N$525,FALSE())</f>
        <v>0</v>
      </c>
      <c r="O334" s="0" t="n">
        <f aca="false">VLOOKUP($A334,content_factors_backup!$A$2:$Q$468,O$525,FALSE())</f>
        <v>0</v>
      </c>
      <c r="P334" s="0" t="n">
        <f aca="false">VLOOKUP($A334,content_factors_backup!$A$2:$Q$468,P$525,FALSE())</f>
        <v>0</v>
      </c>
      <c r="Q334" s="0" t="n">
        <f aca="false">VLOOKUP($A334,content_factors_backup!$A$2:$Q$468,Q$525,FALSE())</f>
        <v>0</v>
      </c>
      <c r="R334" s="0" t="n">
        <f aca="false">VLOOKUP($A334,content_factors_backup!$A$2:$Q$468,R$525,FALSE())</f>
        <v>0</v>
      </c>
      <c r="S334" s="0" t="n">
        <f aca="false">VLOOKUP($A334,content_factors_backup!$A$2:$Q$468,S$525,FALSE())</f>
        <v>0</v>
      </c>
      <c r="T334" s="0" t="n">
        <f aca="false">VLOOKUP($A334,content_factors_backup!$A$2:$Q$468,T$525,FALSE())</f>
        <v>0</v>
      </c>
      <c r="U334" s="0" t="n">
        <f aca="false">VLOOKUP($A334,content_factors_backup!$A$2:$Q$468,U$525,FALSE())</f>
        <v>0</v>
      </c>
      <c r="V334" s="0" t="n">
        <f aca="false">VLOOKUP($A334,content_factors_backup!$A$2:$Q$468,V$525,FALSE())</f>
        <v>0</v>
      </c>
      <c r="W334" s="0" t="n">
        <f aca="false">VLOOKUP($A334,content_factors_backup!$A$2:$Q$468,W$525,FALSE())</f>
        <v>0</v>
      </c>
    </row>
    <row r="335" customFormat="false" ht="14.25" hidden="false" customHeight="false" outlineLevel="0" collapsed="false">
      <c r="A335" s="0" t="n">
        <v>771</v>
      </c>
      <c r="B335" s="0" t="s">
        <v>782</v>
      </c>
      <c r="C335" s="0" t="s">
        <v>783</v>
      </c>
      <c r="E335" s="0" t="n">
        <v>530110</v>
      </c>
      <c r="F335" s="0" t="n">
        <v>530110</v>
      </c>
      <c r="G335" s="0" t="n">
        <v>1929.01</v>
      </c>
      <c r="I335" s="0" t="n">
        <f aca="false">VLOOKUP($A335,content_factors_backup!$A$2:$Q$468,I$525,FALSE())</f>
        <v>90</v>
      </c>
      <c r="J335" s="0" t="n">
        <f aca="false">VLOOKUP($A335,content_factors_backup!$A$2:$Q$468,J$525,FALSE())</f>
        <v>0</v>
      </c>
      <c r="K335" s="0" t="n">
        <f aca="false">VLOOKUP($A335,content_factors_backup!$A$2:$Q$468,K$525,FALSE())</f>
        <v>0</v>
      </c>
      <c r="L335" s="0" t="n">
        <f aca="false">VLOOKUP($A335,content_factors_backup!$A$2:$Q$468,L$525,FALSE())</f>
        <v>0</v>
      </c>
      <c r="M335" s="0" t="n">
        <f aca="false">VLOOKUP($A335,content_factors_backup!$A$2:$Q$468,M$525,FALSE())</f>
        <v>0</v>
      </c>
      <c r="N335" s="0" t="n">
        <f aca="false">VLOOKUP($A335,content_factors_backup!$A$2:$Q$468,N$525,FALSE())</f>
        <v>0</v>
      </c>
      <c r="O335" s="0" t="n">
        <f aca="false">VLOOKUP($A335,content_factors_backup!$A$2:$Q$468,O$525,FALSE())</f>
        <v>0</v>
      </c>
      <c r="P335" s="0" t="n">
        <f aca="false">VLOOKUP($A335,content_factors_backup!$A$2:$Q$468,P$525,FALSE())</f>
        <v>0</v>
      </c>
      <c r="Q335" s="0" t="n">
        <f aca="false">VLOOKUP($A335,content_factors_backup!$A$2:$Q$468,Q$525,FALSE())</f>
        <v>0</v>
      </c>
      <c r="R335" s="0" t="n">
        <f aca="false">VLOOKUP($A335,content_factors_backup!$A$2:$Q$468,R$525,FALSE())</f>
        <v>0</v>
      </c>
      <c r="S335" s="0" t="n">
        <f aca="false">VLOOKUP($A335,content_factors_backup!$A$2:$Q$468,S$525,FALSE())</f>
        <v>0</v>
      </c>
      <c r="T335" s="0" t="n">
        <f aca="false">VLOOKUP($A335,content_factors_backup!$A$2:$Q$468,T$525,FALSE())</f>
        <v>0</v>
      </c>
      <c r="U335" s="0" t="n">
        <f aca="false">VLOOKUP($A335,content_factors_backup!$A$2:$Q$468,U$525,FALSE())</f>
        <v>0</v>
      </c>
      <c r="V335" s="0" t="n">
        <f aca="false">VLOOKUP($A335,content_factors_backup!$A$2:$Q$468,V$525,FALSE())</f>
        <v>0</v>
      </c>
      <c r="W335" s="0" t="n">
        <f aca="false">VLOOKUP($A335,content_factors_backup!$A$2:$Q$468,W$525,FALSE())</f>
        <v>0</v>
      </c>
    </row>
    <row r="336" customFormat="false" ht="14.25" hidden="false" customHeight="false" outlineLevel="0" collapsed="false">
      <c r="A336" s="0" t="n">
        <v>773</v>
      </c>
      <c r="B336" s="0" t="s">
        <v>784</v>
      </c>
      <c r="C336" s="0" t="s">
        <v>785</v>
      </c>
      <c r="E336" s="0" t="s">
        <v>786</v>
      </c>
      <c r="F336" s="0" t="s">
        <v>786</v>
      </c>
      <c r="G336" s="0" t="n">
        <v>26190.01</v>
      </c>
      <c r="I336" s="0" t="n">
        <f aca="false">VLOOKUP($A336,content_factors_backup!$A$2:$Q$468,I$525,FALSE())</f>
        <v>90</v>
      </c>
      <c r="J336" s="0" t="n">
        <f aca="false">VLOOKUP($A336,content_factors_backup!$A$2:$Q$468,J$525,FALSE())</f>
        <v>0</v>
      </c>
      <c r="K336" s="0" t="n">
        <f aca="false">VLOOKUP($A336,content_factors_backup!$A$2:$Q$468,K$525,FALSE())</f>
        <v>0</v>
      </c>
      <c r="L336" s="0" t="n">
        <f aca="false">VLOOKUP($A336,content_factors_backup!$A$2:$Q$468,L$525,FALSE())</f>
        <v>0</v>
      </c>
      <c r="M336" s="0" t="n">
        <f aca="false">VLOOKUP($A336,content_factors_backup!$A$2:$Q$468,M$525,FALSE())</f>
        <v>0</v>
      </c>
      <c r="N336" s="0" t="n">
        <f aca="false">VLOOKUP($A336,content_factors_backup!$A$2:$Q$468,N$525,FALSE())</f>
        <v>0</v>
      </c>
      <c r="O336" s="0" t="n">
        <f aca="false">VLOOKUP($A336,content_factors_backup!$A$2:$Q$468,O$525,FALSE())</f>
        <v>0</v>
      </c>
      <c r="P336" s="0" t="n">
        <f aca="false">VLOOKUP($A336,content_factors_backup!$A$2:$Q$468,P$525,FALSE())</f>
        <v>0</v>
      </c>
      <c r="Q336" s="0" t="n">
        <f aca="false">VLOOKUP($A336,content_factors_backup!$A$2:$Q$468,Q$525,FALSE())</f>
        <v>0</v>
      </c>
      <c r="R336" s="0" t="n">
        <f aca="false">VLOOKUP($A336,content_factors_backup!$A$2:$Q$468,R$525,FALSE())</f>
        <v>0</v>
      </c>
      <c r="S336" s="0" t="n">
        <f aca="false">VLOOKUP($A336,content_factors_backup!$A$2:$Q$468,S$525,FALSE())</f>
        <v>0</v>
      </c>
      <c r="T336" s="0" t="n">
        <f aca="false">VLOOKUP($A336,content_factors_backup!$A$2:$Q$468,T$525,FALSE())</f>
        <v>0</v>
      </c>
      <c r="U336" s="0" t="n">
        <f aca="false">VLOOKUP($A336,content_factors_backup!$A$2:$Q$468,U$525,FALSE())</f>
        <v>0</v>
      </c>
      <c r="V336" s="0" t="n">
        <f aca="false">VLOOKUP($A336,content_factors_backup!$A$2:$Q$468,V$525,FALSE())</f>
        <v>0</v>
      </c>
      <c r="W336" s="0" t="n">
        <f aca="false">VLOOKUP($A336,content_factors_backup!$A$2:$Q$468,W$525,FALSE())</f>
        <v>0</v>
      </c>
    </row>
    <row r="337" customFormat="false" ht="14.25" hidden="false" customHeight="false" outlineLevel="0" collapsed="false">
      <c r="A337" s="0" t="n">
        <v>774</v>
      </c>
      <c r="B337" s="0" t="s">
        <v>787</v>
      </c>
      <c r="C337" s="0" t="s">
        <v>788</v>
      </c>
      <c r="E337" s="0" t="n">
        <v>530130</v>
      </c>
      <c r="F337" s="0" t="n">
        <v>530130</v>
      </c>
      <c r="G337" s="0" t="n">
        <v>26190.02</v>
      </c>
      <c r="I337" s="0" t="n">
        <f aca="false">VLOOKUP($A337,content_factors_backup!$A$2:$Q$468,I$525,FALSE())</f>
        <v>90</v>
      </c>
      <c r="J337" s="0" t="n">
        <f aca="false">VLOOKUP($A337,content_factors_backup!$A$2:$Q$468,J$525,FALSE())</f>
        <v>0</v>
      </c>
      <c r="K337" s="0" t="n">
        <f aca="false">VLOOKUP($A337,content_factors_backup!$A$2:$Q$468,K$525,FALSE())</f>
        <v>0</v>
      </c>
      <c r="L337" s="0" t="n">
        <f aca="false">VLOOKUP($A337,content_factors_backup!$A$2:$Q$468,L$525,FALSE())</f>
        <v>0</v>
      </c>
      <c r="M337" s="0" t="n">
        <f aca="false">VLOOKUP($A337,content_factors_backup!$A$2:$Q$468,M$525,FALSE())</f>
        <v>0</v>
      </c>
      <c r="N337" s="0" t="n">
        <f aca="false">VLOOKUP($A337,content_factors_backup!$A$2:$Q$468,N$525,FALSE())</f>
        <v>0</v>
      </c>
      <c r="O337" s="0" t="n">
        <f aca="false">VLOOKUP($A337,content_factors_backup!$A$2:$Q$468,O$525,FALSE())</f>
        <v>0</v>
      </c>
      <c r="P337" s="0" t="n">
        <f aca="false">VLOOKUP($A337,content_factors_backup!$A$2:$Q$468,P$525,FALSE())</f>
        <v>0</v>
      </c>
      <c r="Q337" s="0" t="n">
        <f aca="false">VLOOKUP($A337,content_factors_backup!$A$2:$Q$468,Q$525,FALSE())</f>
        <v>0</v>
      </c>
      <c r="R337" s="0" t="n">
        <f aca="false">VLOOKUP($A337,content_factors_backup!$A$2:$Q$468,R$525,FALSE())</f>
        <v>0</v>
      </c>
      <c r="S337" s="0" t="n">
        <f aca="false">VLOOKUP($A337,content_factors_backup!$A$2:$Q$468,S$525,FALSE())</f>
        <v>0</v>
      </c>
      <c r="T337" s="0" t="n">
        <f aca="false">VLOOKUP($A337,content_factors_backup!$A$2:$Q$468,T$525,FALSE())</f>
        <v>0</v>
      </c>
      <c r="U337" s="0" t="n">
        <f aca="false">VLOOKUP($A337,content_factors_backup!$A$2:$Q$468,U$525,FALSE())</f>
        <v>0</v>
      </c>
      <c r="V337" s="0" t="n">
        <f aca="false">VLOOKUP($A337,content_factors_backup!$A$2:$Q$468,V$525,FALSE())</f>
        <v>0</v>
      </c>
      <c r="W337" s="0" t="n">
        <f aca="false">VLOOKUP($A337,content_factors_backup!$A$2:$Q$468,W$525,FALSE())</f>
        <v>0</v>
      </c>
    </row>
    <row r="338" customFormat="false" ht="14.25" hidden="false" customHeight="false" outlineLevel="0" collapsed="false">
      <c r="A338" s="0" t="n">
        <v>777</v>
      </c>
      <c r="B338" s="0" t="s">
        <v>789</v>
      </c>
      <c r="C338" s="0" t="s">
        <v>790</v>
      </c>
      <c r="E338" s="0" t="s">
        <v>791</v>
      </c>
      <c r="F338" s="0" t="s">
        <v>791</v>
      </c>
      <c r="G338" s="0" t="n">
        <v>1929.02</v>
      </c>
      <c r="I338" s="0" t="n">
        <f aca="false">VLOOKUP($A338,content_factors_backup!$A$2:$Q$468,I$525,FALSE())</f>
        <v>50</v>
      </c>
      <c r="J338" s="0" t="e">
        <f aca="false">VLOOKUP($A338,content_factors_backup!$A$2:$Q$468,J$525,FALSE())</f>
        <v>#N/A</v>
      </c>
      <c r="K338" s="0" t="e">
        <f aca="false">VLOOKUP($A338,content_factors_backup!$A$2:$Q$468,K$525,FALSE())</f>
        <v>#N/A</v>
      </c>
      <c r="L338" s="0" t="e">
        <f aca="false">VLOOKUP($A338,content_factors_backup!$A$2:$Q$468,L$525,FALSE())</f>
        <v>#N/A</v>
      </c>
      <c r="M338" s="0" t="e">
        <f aca="false">VLOOKUP($A338,content_factors_backup!$A$2:$Q$468,M$525,FALSE())</f>
        <v>#N/A</v>
      </c>
      <c r="N338" s="0" t="e">
        <f aca="false">VLOOKUP($A338,content_factors_backup!$A$2:$Q$468,N$525,FALSE())</f>
        <v>#N/A</v>
      </c>
      <c r="O338" s="0" t="e">
        <f aca="false">VLOOKUP($A338,content_factors_backup!$A$2:$Q$468,O$525,FALSE())</f>
        <v>#N/A</v>
      </c>
      <c r="P338" s="0" t="e">
        <f aca="false">VLOOKUP($A338,content_factors_backup!$A$2:$Q$468,P$525,FALSE())</f>
        <v>#N/A</v>
      </c>
      <c r="Q338" s="0" t="e">
        <f aca="false">VLOOKUP($A338,content_factors_backup!$A$2:$Q$468,Q$525,FALSE())</f>
        <v>#N/A</v>
      </c>
      <c r="R338" s="0" t="e">
        <f aca="false">VLOOKUP($A338,content_factors_backup!$A$2:$Q$468,R$525,FALSE())</f>
        <v>#N/A</v>
      </c>
      <c r="S338" s="0" t="e">
        <f aca="false">VLOOKUP($A338,content_factors_backup!$A$2:$Q$468,S$525,FALSE())</f>
        <v>#N/A</v>
      </c>
      <c r="T338" s="0" t="e">
        <f aca="false">VLOOKUP($A338,content_factors_backup!$A$2:$Q$468,T$525,FALSE())</f>
        <v>#N/A</v>
      </c>
      <c r="U338" s="0" t="e">
        <f aca="false">VLOOKUP($A338,content_factors_backup!$A$2:$Q$468,U$525,FALSE())</f>
        <v>#N/A</v>
      </c>
      <c r="V338" s="0" t="e">
        <f aca="false">VLOOKUP($A338,content_factors_backup!$A$2:$Q$468,V$525,FALSE())</f>
        <v>#N/A</v>
      </c>
      <c r="W338" s="0" t="e">
        <f aca="false">VLOOKUP($A338,content_factors_backup!$A$2:$Q$468,W$525,FALSE())</f>
        <v>#N/A</v>
      </c>
    </row>
    <row r="339" customFormat="false" ht="14.25" hidden="false" customHeight="false" outlineLevel="0" collapsed="false">
      <c r="A339" s="0" t="n">
        <v>778</v>
      </c>
      <c r="B339" s="0" t="s">
        <v>792</v>
      </c>
      <c r="C339" s="0" t="s">
        <v>793</v>
      </c>
      <c r="E339" s="0" t="n">
        <v>530500</v>
      </c>
      <c r="F339" s="0" t="n">
        <v>530500</v>
      </c>
      <c r="G339" s="0" t="n">
        <v>1929.03</v>
      </c>
      <c r="I339" s="0" t="n">
        <f aca="false">VLOOKUP($A339,content_factors_backup!$A$2:$Q$468,I$525,FALSE())</f>
        <v>90</v>
      </c>
      <c r="J339" s="0" t="n">
        <f aca="false">VLOOKUP($A339,content_factors_backup!$A$2:$Q$468,J$525,FALSE())</f>
        <v>0</v>
      </c>
      <c r="K339" s="0" t="n">
        <f aca="false">VLOOKUP($A339,content_factors_backup!$A$2:$Q$468,K$525,FALSE())</f>
        <v>0</v>
      </c>
      <c r="L339" s="0" t="n">
        <f aca="false">VLOOKUP($A339,content_factors_backup!$A$2:$Q$468,L$525,FALSE())</f>
        <v>0</v>
      </c>
      <c r="M339" s="0" t="n">
        <f aca="false">VLOOKUP($A339,content_factors_backup!$A$2:$Q$468,M$525,FALSE())</f>
        <v>0</v>
      </c>
      <c r="N339" s="0" t="n">
        <f aca="false">VLOOKUP($A339,content_factors_backup!$A$2:$Q$468,N$525,FALSE())</f>
        <v>0</v>
      </c>
      <c r="O339" s="0" t="n">
        <f aca="false">VLOOKUP($A339,content_factors_backup!$A$2:$Q$468,O$525,FALSE())</f>
        <v>0</v>
      </c>
      <c r="P339" s="0" t="n">
        <f aca="false">VLOOKUP($A339,content_factors_backup!$A$2:$Q$468,P$525,FALSE())</f>
        <v>0</v>
      </c>
      <c r="Q339" s="0" t="n">
        <f aca="false">VLOOKUP($A339,content_factors_backup!$A$2:$Q$468,Q$525,FALSE())</f>
        <v>0</v>
      </c>
      <c r="R339" s="0" t="n">
        <f aca="false">VLOOKUP($A339,content_factors_backup!$A$2:$Q$468,R$525,FALSE())</f>
        <v>0</v>
      </c>
      <c r="S339" s="0" t="n">
        <f aca="false">VLOOKUP($A339,content_factors_backup!$A$2:$Q$468,S$525,FALSE())</f>
        <v>0</v>
      </c>
      <c r="T339" s="0" t="n">
        <f aca="false">VLOOKUP($A339,content_factors_backup!$A$2:$Q$468,T$525,FALSE())</f>
        <v>0</v>
      </c>
      <c r="U339" s="0" t="n">
        <f aca="false">VLOOKUP($A339,content_factors_backup!$A$2:$Q$468,U$525,FALSE())</f>
        <v>0</v>
      </c>
      <c r="V339" s="0" t="n">
        <f aca="false">VLOOKUP($A339,content_factors_backup!$A$2:$Q$468,V$525,FALSE())</f>
        <v>0</v>
      </c>
      <c r="W339" s="0" t="n">
        <f aca="false">VLOOKUP($A339,content_factors_backup!$A$2:$Q$468,W$525,FALSE())</f>
        <v>0</v>
      </c>
    </row>
    <row r="340" customFormat="false" ht="14.25" hidden="false" customHeight="false" outlineLevel="0" collapsed="false">
      <c r="A340" s="0" t="n">
        <v>780</v>
      </c>
      <c r="B340" s="0" t="s">
        <v>794</v>
      </c>
      <c r="C340" s="0" t="s">
        <v>795</v>
      </c>
      <c r="E340" s="0" t="s">
        <v>796</v>
      </c>
      <c r="F340" s="0" t="s">
        <v>796</v>
      </c>
      <c r="G340" s="0" t="n">
        <v>1922.01</v>
      </c>
      <c r="I340" s="0" t="n">
        <f aca="false">VLOOKUP($A340,content_factors_backup!$A$2:$Q$468,I$525,FALSE())</f>
        <v>87</v>
      </c>
      <c r="J340" s="0" t="n">
        <f aca="false">VLOOKUP($A340,content_factors_backup!$A$2:$Q$468,J$525,FALSE())</f>
        <v>0</v>
      </c>
      <c r="K340" s="0" t="n">
        <f aca="false">VLOOKUP($A340,content_factors_backup!$A$2:$Q$468,K$525,FALSE())</f>
        <v>0</v>
      </c>
      <c r="L340" s="0" t="n">
        <f aca="false">VLOOKUP($A340,content_factors_backup!$A$2:$Q$468,L$525,FALSE())</f>
        <v>0</v>
      </c>
      <c r="M340" s="0" t="n">
        <f aca="false">VLOOKUP($A340,content_factors_backup!$A$2:$Q$468,M$525,FALSE())</f>
        <v>0</v>
      </c>
      <c r="N340" s="0" t="n">
        <f aca="false">VLOOKUP($A340,content_factors_backup!$A$2:$Q$468,N$525,FALSE())</f>
        <v>0</v>
      </c>
      <c r="O340" s="0" t="n">
        <f aca="false">VLOOKUP($A340,content_factors_backup!$A$2:$Q$468,O$525,FALSE())</f>
        <v>0</v>
      </c>
      <c r="P340" s="0" t="n">
        <f aca="false">VLOOKUP($A340,content_factors_backup!$A$2:$Q$468,P$525,FALSE())</f>
        <v>0</v>
      </c>
      <c r="Q340" s="0" t="n">
        <f aca="false">VLOOKUP($A340,content_factors_backup!$A$2:$Q$468,Q$525,FALSE())</f>
        <v>0</v>
      </c>
      <c r="R340" s="0" t="n">
        <f aca="false">VLOOKUP($A340,content_factors_backup!$A$2:$Q$468,R$525,FALSE())</f>
        <v>0</v>
      </c>
      <c r="S340" s="0" t="n">
        <f aca="false">VLOOKUP($A340,content_factors_backup!$A$2:$Q$468,S$525,FALSE())</f>
        <v>0</v>
      </c>
      <c r="T340" s="0" t="n">
        <f aca="false">VLOOKUP($A340,content_factors_backup!$A$2:$Q$468,T$525,FALSE())</f>
        <v>0</v>
      </c>
      <c r="U340" s="0" t="n">
        <f aca="false">VLOOKUP($A340,content_factors_backup!$A$2:$Q$468,U$525,FALSE())</f>
        <v>0</v>
      </c>
      <c r="V340" s="0" t="n">
        <f aca="false">VLOOKUP($A340,content_factors_backup!$A$2:$Q$468,V$525,FALSE())</f>
        <v>0</v>
      </c>
      <c r="W340" s="0" t="n">
        <f aca="false">VLOOKUP($A340,content_factors_backup!$A$2:$Q$468,W$525,FALSE())</f>
        <v>0</v>
      </c>
    </row>
    <row r="341" customFormat="false" ht="14.25" hidden="false" customHeight="false" outlineLevel="0" collapsed="false">
      <c r="A341" s="0" t="n">
        <v>782</v>
      </c>
      <c r="B341" s="0" t="s">
        <v>797</v>
      </c>
      <c r="C341" s="0" t="s">
        <v>798</v>
      </c>
      <c r="E341" s="0" t="s">
        <v>796</v>
      </c>
      <c r="F341" s="0" t="s">
        <v>796</v>
      </c>
      <c r="G341" s="0" t="n">
        <v>1922.02</v>
      </c>
      <c r="I341" s="0" t="n">
        <f aca="false">VLOOKUP($A341,content_factors_backup!$A$2:$Q$468,I$525,FALSE())</f>
        <v>50</v>
      </c>
      <c r="J341" s="0" t="e">
        <f aca="false">VLOOKUP($A341,content_factors_backup!$A$2:$Q$468,J$525,FALSE())</f>
        <v>#N/A</v>
      </c>
      <c r="K341" s="0" t="e">
        <f aca="false">VLOOKUP($A341,content_factors_backup!$A$2:$Q$468,K$525,FALSE())</f>
        <v>#N/A</v>
      </c>
      <c r="L341" s="0" t="e">
        <f aca="false">VLOOKUP($A341,content_factors_backup!$A$2:$Q$468,L$525,FALSE())</f>
        <v>#N/A</v>
      </c>
      <c r="M341" s="0" t="e">
        <f aca="false">VLOOKUP($A341,content_factors_backup!$A$2:$Q$468,M$525,FALSE())</f>
        <v>#N/A</v>
      </c>
      <c r="N341" s="0" t="e">
        <f aca="false">VLOOKUP($A341,content_factors_backup!$A$2:$Q$468,N$525,FALSE())</f>
        <v>#N/A</v>
      </c>
      <c r="O341" s="0" t="e">
        <f aca="false">VLOOKUP($A341,content_factors_backup!$A$2:$Q$468,O$525,FALSE())</f>
        <v>#N/A</v>
      </c>
      <c r="P341" s="0" t="e">
        <f aca="false">VLOOKUP($A341,content_factors_backup!$A$2:$Q$468,P$525,FALSE())</f>
        <v>#N/A</v>
      </c>
      <c r="Q341" s="0" t="e">
        <f aca="false">VLOOKUP($A341,content_factors_backup!$A$2:$Q$468,Q$525,FALSE())</f>
        <v>#N/A</v>
      </c>
      <c r="R341" s="0" t="e">
        <f aca="false">VLOOKUP($A341,content_factors_backup!$A$2:$Q$468,R$525,FALSE())</f>
        <v>#N/A</v>
      </c>
      <c r="S341" s="0" t="e">
        <f aca="false">VLOOKUP($A341,content_factors_backup!$A$2:$Q$468,S$525,FALSE())</f>
        <v>#N/A</v>
      </c>
      <c r="T341" s="0" t="e">
        <f aca="false">VLOOKUP($A341,content_factors_backup!$A$2:$Q$468,T$525,FALSE())</f>
        <v>#N/A</v>
      </c>
      <c r="U341" s="0" t="e">
        <f aca="false">VLOOKUP($A341,content_factors_backup!$A$2:$Q$468,U$525,FALSE())</f>
        <v>#N/A</v>
      </c>
      <c r="V341" s="0" t="e">
        <f aca="false">VLOOKUP($A341,content_factors_backup!$A$2:$Q$468,V$525,FALSE())</f>
        <v>#N/A</v>
      </c>
      <c r="W341" s="0" t="e">
        <f aca="false">VLOOKUP($A341,content_factors_backup!$A$2:$Q$468,W$525,FALSE())</f>
        <v>#N/A</v>
      </c>
    </row>
    <row r="342" customFormat="false" ht="14.25" hidden="false" customHeight="false" outlineLevel="0" collapsed="false">
      <c r="A342" s="0" t="n">
        <v>788</v>
      </c>
      <c r="B342" s="0" t="s">
        <v>799</v>
      </c>
      <c r="C342" s="0" t="s">
        <v>800</v>
      </c>
      <c r="E342" s="0" t="n">
        <v>530500</v>
      </c>
      <c r="F342" s="0" t="n">
        <v>530500</v>
      </c>
      <c r="G342" s="0" t="n">
        <v>1929.04</v>
      </c>
      <c r="I342" s="0" t="n">
        <f aca="false">VLOOKUP($A342,content_factors_backup!$A$2:$Q$468,I$525,FALSE())</f>
        <v>50</v>
      </c>
      <c r="J342" s="0" t="e">
        <f aca="false">VLOOKUP($A342,content_factors_backup!$A$2:$Q$468,J$525,FALSE())</f>
        <v>#N/A</v>
      </c>
      <c r="K342" s="0" t="e">
        <f aca="false">VLOOKUP($A342,content_factors_backup!$A$2:$Q$468,K$525,FALSE())</f>
        <v>#N/A</v>
      </c>
      <c r="L342" s="0" t="e">
        <f aca="false">VLOOKUP($A342,content_factors_backup!$A$2:$Q$468,L$525,FALSE())</f>
        <v>#N/A</v>
      </c>
      <c r="M342" s="0" t="e">
        <f aca="false">VLOOKUP($A342,content_factors_backup!$A$2:$Q$468,M$525,FALSE())</f>
        <v>#N/A</v>
      </c>
      <c r="N342" s="0" t="e">
        <f aca="false">VLOOKUP($A342,content_factors_backup!$A$2:$Q$468,N$525,FALSE())</f>
        <v>#N/A</v>
      </c>
      <c r="O342" s="0" t="e">
        <f aca="false">VLOOKUP($A342,content_factors_backup!$A$2:$Q$468,O$525,FALSE())</f>
        <v>#N/A</v>
      </c>
      <c r="P342" s="0" t="e">
        <f aca="false">VLOOKUP($A342,content_factors_backup!$A$2:$Q$468,P$525,FALSE())</f>
        <v>#N/A</v>
      </c>
      <c r="Q342" s="0" t="e">
        <f aca="false">VLOOKUP($A342,content_factors_backup!$A$2:$Q$468,Q$525,FALSE())</f>
        <v>#N/A</v>
      </c>
      <c r="R342" s="0" t="e">
        <f aca="false">VLOOKUP($A342,content_factors_backup!$A$2:$Q$468,R$525,FALSE())</f>
        <v>#N/A</v>
      </c>
      <c r="S342" s="0" t="e">
        <f aca="false">VLOOKUP($A342,content_factors_backup!$A$2:$Q$468,S$525,FALSE())</f>
        <v>#N/A</v>
      </c>
      <c r="T342" s="0" t="e">
        <f aca="false">VLOOKUP($A342,content_factors_backup!$A$2:$Q$468,T$525,FALSE())</f>
        <v>#N/A</v>
      </c>
      <c r="U342" s="0" t="e">
        <f aca="false">VLOOKUP($A342,content_factors_backup!$A$2:$Q$468,U$525,FALSE())</f>
        <v>#N/A</v>
      </c>
      <c r="V342" s="0" t="e">
        <f aca="false">VLOOKUP($A342,content_factors_backup!$A$2:$Q$468,V$525,FALSE())</f>
        <v>#N/A</v>
      </c>
      <c r="W342" s="0" t="e">
        <f aca="false">VLOOKUP($A342,content_factors_backup!$A$2:$Q$468,W$525,FALSE())</f>
        <v>#N/A</v>
      </c>
    </row>
    <row r="343" customFormat="false" ht="14.25" hidden="false" customHeight="false" outlineLevel="0" collapsed="false">
      <c r="A343" s="0" t="n">
        <v>789</v>
      </c>
      <c r="B343" s="0" t="s">
        <v>801</v>
      </c>
      <c r="C343" s="0" t="s">
        <v>802</v>
      </c>
      <c r="E343" s="0" t="n">
        <v>530500</v>
      </c>
      <c r="F343" s="0" t="n">
        <v>530500</v>
      </c>
      <c r="G343" s="0" t="n">
        <v>1929.05</v>
      </c>
      <c r="I343" s="0" t="n">
        <f aca="false">VLOOKUP($A343,content_factors_backup!$A$2:$Q$468,I$525,FALSE())</f>
        <v>50</v>
      </c>
      <c r="J343" s="0" t="e">
        <f aca="false">VLOOKUP($A343,content_factors_backup!$A$2:$Q$468,J$525,FALSE())</f>
        <v>#N/A</v>
      </c>
      <c r="K343" s="0" t="e">
        <f aca="false">VLOOKUP($A343,content_factors_backup!$A$2:$Q$468,K$525,FALSE())</f>
        <v>#N/A</v>
      </c>
      <c r="L343" s="0" t="e">
        <f aca="false">VLOOKUP($A343,content_factors_backup!$A$2:$Q$468,L$525,FALSE())</f>
        <v>#N/A</v>
      </c>
      <c r="M343" s="0" t="e">
        <f aca="false">VLOOKUP($A343,content_factors_backup!$A$2:$Q$468,M$525,FALSE())</f>
        <v>#N/A</v>
      </c>
      <c r="N343" s="0" t="e">
        <f aca="false">VLOOKUP($A343,content_factors_backup!$A$2:$Q$468,N$525,FALSE())</f>
        <v>#N/A</v>
      </c>
      <c r="O343" s="0" t="e">
        <f aca="false">VLOOKUP($A343,content_factors_backup!$A$2:$Q$468,O$525,FALSE())</f>
        <v>#N/A</v>
      </c>
      <c r="P343" s="0" t="e">
        <f aca="false">VLOOKUP($A343,content_factors_backup!$A$2:$Q$468,P$525,FALSE())</f>
        <v>#N/A</v>
      </c>
      <c r="Q343" s="0" t="e">
        <f aca="false">VLOOKUP($A343,content_factors_backup!$A$2:$Q$468,Q$525,FALSE())</f>
        <v>#N/A</v>
      </c>
      <c r="R343" s="0" t="e">
        <f aca="false">VLOOKUP($A343,content_factors_backup!$A$2:$Q$468,R$525,FALSE())</f>
        <v>#N/A</v>
      </c>
      <c r="S343" s="0" t="e">
        <f aca="false">VLOOKUP($A343,content_factors_backup!$A$2:$Q$468,S$525,FALSE())</f>
        <v>#N/A</v>
      </c>
      <c r="T343" s="0" t="e">
        <f aca="false">VLOOKUP($A343,content_factors_backup!$A$2:$Q$468,T$525,FALSE())</f>
        <v>#N/A</v>
      </c>
      <c r="U343" s="0" t="e">
        <f aca="false">VLOOKUP($A343,content_factors_backup!$A$2:$Q$468,U$525,FALSE())</f>
        <v>#N/A</v>
      </c>
      <c r="V343" s="0" t="e">
        <f aca="false">VLOOKUP($A343,content_factors_backup!$A$2:$Q$468,V$525,FALSE())</f>
        <v>#N/A</v>
      </c>
      <c r="W343" s="0" t="e">
        <f aca="false">VLOOKUP($A343,content_factors_backup!$A$2:$Q$468,W$525,FALSE())</f>
        <v>#N/A</v>
      </c>
    </row>
    <row r="344" customFormat="false" ht="14.25" hidden="false" customHeight="false" outlineLevel="0" collapsed="false">
      <c r="A344" s="0" t="n">
        <v>800</v>
      </c>
      <c r="B344" s="0" t="s">
        <v>803</v>
      </c>
      <c r="C344" s="0" t="s">
        <v>804</v>
      </c>
      <c r="E344" s="0" t="n">
        <v>530500</v>
      </c>
      <c r="F344" s="0" t="n">
        <v>530500</v>
      </c>
      <c r="G344" s="0" t="n">
        <v>1929.06</v>
      </c>
      <c r="I344" s="0" t="n">
        <f aca="false">VLOOKUP($A344,content_factors_backup!$A$2:$Q$468,I$525,FALSE())</f>
        <v>50</v>
      </c>
      <c r="J344" s="0" t="e">
        <f aca="false">VLOOKUP($A344,content_factors_backup!$A$2:$Q$468,J$525,FALSE())</f>
        <v>#N/A</v>
      </c>
      <c r="K344" s="0" t="e">
        <f aca="false">VLOOKUP($A344,content_factors_backup!$A$2:$Q$468,K$525,FALSE())</f>
        <v>#N/A</v>
      </c>
      <c r="L344" s="0" t="e">
        <f aca="false">VLOOKUP($A344,content_factors_backup!$A$2:$Q$468,L$525,FALSE())</f>
        <v>#N/A</v>
      </c>
      <c r="M344" s="0" t="e">
        <f aca="false">VLOOKUP($A344,content_factors_backup!$A$2:$Q$468,M$525,FALSE())</f>
        <v>#N/A</v>
      </c>
      <c r="N344" s="0" t="e">
        <f aca="false">VLOOKUP($A344,content_factors_backup!$A$2:$Q$468,N$525,FALSE())</f>
        <v>#N/A</v>
      </c>
      <c r="O344" s="0" t="e">
        <f aca="false">VLOOKUP($A344,content_factors_backup!$A$2:$Q$468,O$525,FALSE())</f>
        <v>#N/A</v>
      </c>
      <c r="P344" s="0" t="e">
        <f aca="false">VLOOKUP($A344,content_factors_backup!$A$2:$Q$468,P$525,FALSE())</f>
        <v>#N/A</v>
      </c>
      <c r="Q344" s="0" t="e">
        <f aca="false">VLOOKUP($A344,content_factors_backup!$A$2:$Q$468,Q$525,FALSE())</f>
        <v>#N/A</v>
      </c>
      <c r="R344" s="0" t="e">
        <f aca="false">VLOOKUP($A344,content_factors_backup!$A$2:$Q$468,R$525,FALSE())</f>
        <v>#N/A</v>
      </c>
      <c r="S344" s="0" t="e">
        <f aca="false">VLOOKUP($A344,content_factors_backup!$A$2:$Q$468,S$525,FALSE())</f>
        <v>#N/A</v>
      </c>
      <c r="T344" s="0" t="e">
        <f aca="false">VLOOKUP($A344,content_factors_backup!$A$2:$Q$468,T$525,FALSE())</f>
        <v>#N/A</v>
      </c>
      <c r="U344" s="0" t="e">
        <f aca="false">VLOOKUP($A344,content_factors_backup!$A$2:$Q$468,U$525,FALSE())</f>
        <v>#N/A</v>
      </c>
      <c r="V344" s="0" t="e">
        <f aca="false">VLOOKUP($A344,content_factors_backup!$A$2:$Q$468,V$525,FALSE())</f>
        <v>#N/A</v>
      </c>
      <c r="W344" s="0" t="e">
        <f aca="false">VLOOKUP($A344,content_factors_backup!$A$2:$Q$468,W$525,FALSE())</f>
        <v>#N/A</v>
      </c>
    </row>
    <row r="345" customFormat="false" ht="14.25" hidden="false" customHeight="false" outlineLevel="0" collapsed="false">
      <c r="A345" s="0" t="n">
        <v>809</v>
      </c>
      <c r="B345" s="0" t="s">
        <v>805</v>
      </c>
      <c r="C345" s="0" t="s">
        <v>806</v>
      </c>
      <c r="E345" s="0" t="n">
        <v>530500</v>
      </c>
      <c r="F345" s="0" t="n">
        <v>530500</v>
      </c>
      <c r="G345" s="0" t="n">
        <v>1929.07</v>
      </c>
      <c r="I345" s="0" t="n">
        <f aca="false">VLOOKUP($A345,content_factors_backup!$A$2:$Q$468,I$525,FALSE())</f>
        <v>90</v>
      </c>
      <c r="J345" s="0" t="n">
        <f aca="false">VLOOKUP($A345,content_factors_backup!$A$2:$Q$468,J$525,FALSE())</f>
        <v>0</v>
      </c>
      <c r="K345" s="0" t="n">
        <f aca="false">VLOOKUP($A345,content_factors_backup!$A$2:$Q$468,K$525,FALSE())</f>
        <v>0</v>
      </c>
      <c r="L345" s="0" t="n">
        <f aca="false">VLOOKUP($A345,content_factors_backup!$A$2:$Q$468,L$525,FALSE())</f>
        <v>0</v>
      </c>
      <c r="M345" s="0" t="n">
        <f aca="false">VLOOKUP($A345,content_factors_backup!$A$2:$Q$468,M$525,FALSE())</f>
        <v>0</v>
      </c>
      <c r="N345" s="0" t="n">
        <f aca="false">VLOOKUP($A345,content_factors_backup!$A$2:$Q$468,N$525,FALSE())</f>
        <v>0</v>
      </c>
      <c r="O345" s="0" t="n">
        <f aca="false">VLOOKUP($A345,content_factors_backup!$A$2:$Q$468,O$525,FALSE())</f>
        <v>0</v>
      </c>
      <c r="P345" s="0" t="n">
        <f aca="false">VLOOKUP($A345,content_factors_backup!$A$2:$Q$468,P$525,FALSE())</f>
        <v>0</v>
      </c>
      <c r="Q345" s="0" t="n">
        <f aca="false">VLOOKUP($A345,content_factors_backup!$A$2:$Q$468,Q$525,FALSE())</f>
        <v>0</v>
      </c>
      <c r="R345" s="0" t="n">
        <f aca="false">VLOOKUP($A345,content_factors_backup!$A$2:$Q$468,R$525,FALSE())</f>
        <v>0</v>
      </c>
      <c r="S345" s="0" t="n">
        <f aca="false">VLOOKUP($A345,content_factors_backup!$A$2:$Q$468,S$525,FALSE())</f>
        <v>0</v>
      </c>
      <c r="T345" s="0" t="n">
        <f aca="false">VLOOKUP($A345,content_factors_backup!$A$2:$Q$468,T$525,FALSE())</f>
        <v>0</v>
      </c>
      <c r="U345" s="0" t="n">
        <f aca="false">VLOOKUP($A345,content_factors_backup!$A$2:$Q$468,U$525,FALSE())</f>
        <v>0</v>
      </c>
      <c r="V345" s="0" t="n">
        <f aca="false">VLOOKUP($A345,content_factors_backup!$A$2:$Q$468,V$525,FALSE())</f>
        <v>0</v>
      </c>
      <c r="W345" s="0" t="n">
        <f aca="false">VLOOKUP($A345,content_factors_backup!$A$2:$Q$468,W$525,FALSE())</f>
        <v>0</v>
      </c>
    </row>
    <row r="346" customFormat="false" ht="14.25" hidden="false" customHeight="false" outlineLevel="0" collapsed="false">
      <c r="A346" s="0" t="n">
        <v>813</v>
      </c>
      <c r="B346" s="0" t="s">
        <v>807</v>
      </c>
      <c r="C346" s="0" t="s">
        <v>808</v>
      </c>
      <c r="E346" s="0" t="n">
        <v>530500</v>
      </c>
      <c r="F346" s="0" t="n">
        <v>530500</v>
      </c>
      <c r="G346" s="0" t="n">
        <v>1929.08</v>
      </c>
      <c r="I346" s="0" t="n">
        <f aca="false">VLOOKUP($A346,content_factors_backup!$A$2:$Q$468,I$525,FALSE())</f>
        <v>60</v>
      </c>
      <c r="J346" s="0" t="e">
        <f aca="false">VLOOKUP($A346,content_factors_backup!$A$2:$Q$468,J$525,FALSE())</f>
        <v>#N/A</v>
      </c>
      <c r="K346" s="0" t="e">
        <f aca="false">VLOOKUP($A346,content_factors_backup!$A$2:$Q$468,K$525,FALSE())</f>
        <v>#N/A</v>
      </c>
      <c r="L346" s="0" t="e">
        <f aca="false">VLOOKUP($A346,content_factors_backup!$A$2:$Q$468,L$525,FALSE())</f>
        <v>#N/A</v>
      </c>
      <c r="M346" s="0" t="e">
        <f aca="false">VLOOKUP($A346,content_factors_backup!$A$2:$Q$468,M$525,FALSE())</f>
        <v>#N/A</v>
      </c>
      <c r="N346" s="0" t="e">
        <f aca="false">VLOOKUP($A346,content_factors_backup!$A$2:$Q$468,N$525,FALSE())</f>
        <v>#N/A</v>
      </c>
      <c r="O346" s="0" t="e">
        <f aca="false">VLOOKUP($A346,content_factors_backup!$A$2:$Q$468,O$525,FALSE())</f>
        <v>#N/A</v>
      </c>
      <c r="P346" s="0" t="e">
        <f aca="false">VLOOKUP($A346,content_factors_backup!$A$2:$Q$468,P$525,FALSE())</f>
        <v>#N/A</v>
      </c>
      <c r="Q346" s="0" t="e">
        <f aca="false">VLOOKUP($A346,content_factors_backup!$A$2:$Q$468,Q$525,FALSE())</f>
        <v>#N/A</v>
      </c>
      <c r="R346" s="0" t="e">
        <f aca="false">VLOOKUP($A346,content_factors_backup!$A$2:$Q$468,R$525,FALSE())</f>
        <v>#N/A</v>
      </c>
      <c r="S346" s="0" t="e">
        <f aca="false">VLOOKUP($A346,content_factors_backup!$A$2:$Q$468,S$525,FALSE())</f>
        <v>#N/A</v>
      </c>
      <c r="T346" s="0" t="e">
        <f aca="false">VLOOKUP($A346,content_factors_backup!$A$2:$Q$468,T$525,FALSE())</f>
        <v>#N/A</v>
      </c>
      <c r="U346" s="0" t="e">
        <f aca="false">VLOOKUP($A346,content_factors_backup!$A$2:$Q$468,U$525,FALSE())</f>
        <v>#N/A</v>
      </c>
      <c r="V346" s="0" t="e">
        <f aca="false">VLOOKUP($A346,content_factors_backup!$A$2:$Q$468,V$525,FALSE())</f>
        <v>#N/A</v>
      </c>
      <c r="W346" s="0" t="e">
        <f aca="false">VLOOKUP($A346,content_factors_backup!$A$2:$Q$468,W$525,FALSE())</f>
        <v>#N/A</v>
      </c>
    </row>
    <row r="347" customFormat="false" ht="14.25" hidden="false" customHeight="false" outlineLevel="0" collapsed="false">
      <c r="A347" s="0" t="n">
        <v>821</v>
      </c>
      <c r="B347" s="0" t="s">
        <v>809</v>
      </c>
      <c r="C347" s="0" t="s">
        <v>810</v>
      </c>
      <c r="E347" s="0" t="n">
        <v>530500</v>
      </c>
      <c r="F347" s="0" t="n">
        <v>530500</v>
      </c>
      <c r="G347" s="0" t="n">
        <v>1929.9</v>
      </c>
      <c r="I347" s="0" t="n">
        <f aca="false">VLOOKUP($A347,content_factors_backup!$A$2:$Q$468,I$525,FALSE())</f>
        <v>90</v>
      </c>
      <c r="J347" s="0" t="e">
        <f aca="false">VLOOKUP($A347,content_factors_backup!$A$2:$Q$468,J$525,FALSE())</f>
        <v>#N/A</v>
      </c>
      <c r="K347" s="0" t="e">
        <f aca="false">VLOOKUP($A347,content_factors_backup!$A$2:$Q$468,K$525,FALSE())</f>
        <v>#N/A</v>
      </c>
      <c r="L347" s="0" t="e">
        <f aca="false">VLOOKUP($A347,content_factors_backup!$A$2:$Q$468,L$525,FALSE())</f>
        <v>#N/A</v>
      </c>
      <c r="M347" s="0" t="e">
        <f aca="false">VLOOKUP($A347,content_factors_backup!$A$2:$Q$468,M$525,FALSE())</f>
        <v>#N/A</v>
      </c>
      <c r="N347" s="0" t="e">
        <f aca="false">VLOOKUP($A347,content_factors_backup!$A$2:$Q$468,N$525,FALSE())</f>
        <v>#N/A</v>
      </c>
      <c r="O347" s="0" t="e">
        <f aca="false">VLOOKUP($A347,content_factors_backup!$A$2:$Q$468,O$525,FALSE())</f>
        <v>#N/A</v>
      </c>
      <c r="P347" s="0" t="e">
        <f aca="false">VLOOKUP($A347,content_factors_backup!$A$2:$Q$468,P$525,FALSE())</f>
        <v>#N/A</v>
      </c>
      <c r="Q347" s="0" t="e">
        <f aca="false">VLOOKUP($A347,content_factors_backup!$A$2:$Q$468,Q$525,FALSE())</f>
        <v>#N/A</v>
      </c>
      <c r="R347" s="0" t="e">
        <f aca="false">VLOOKUP($A347,content_factors_backup!$A$2:$Q$468,R$525,FALSE())</f>
        <v>#N/A</v>
      </c>
      <c r="S347" s="0" t="e">
        <f aca="false">VLOOKUP($A347,content_factors_backup!$A$2:$Q$468,S$525,FALSE())</f>
        <v>#N/A</v>
      </c>
      <c r="T347" s="0" t="e">
        <f aca="false">VLOOKUP($A347,content_factors_backup!$A$2:$Q$468,T$525,FALSE())</f>
        <v>#N/A</v>
      </c>
      <c r="U347" s="0" t="e">
        <f aca="false">VLOOKUP($A347,content_factors_backup!$A$2:$Q$468,U$525,FALSE())</f>
        <v>#N/A</v>
      </c>
      <c r="V347" s="0" t="e">
        <f aca="false">VLOOKUP($A347,content_factors_backup!$A$2:$Q$468,V$525,FALSE())</f>
        <v>#N/A</v>
      </c>
      <c r="W347" s="0" t="e">
        <f aca="false">VLOOKUP($A347,content_factors_backup!$A$2:$Q$468,W$525,FALSE())</f>
        <v>#N/A</v>
      </c>
    </row>
    <row r="348" customFormat="false" ht="14.25" hidden="false" customHeight="false" outlineLevel="0" collapsed="false">
      <c r="A348" s="0" t="n">
        <v>826</v>
      </c>
      <c r="B348" s="0" t="s">
        <v>811</v>
      </c>
      <c r="C348" s="0" t="s">
        <v>812</v>
      </c>
      <c r="E348" s="0" t="s">
        <v>813</v>
      </c>
      <c r="F348" s="0" t="s">
        <v>813</v>
      </c>
      <c r="G348" s="0" t="n">
        <v>1970</v>
      </c>
      <c r="I348" s="0" t="n">
        <f aca="false">VLOOKUP($A348,content_factors_backup!$A$2:$Q$468,I$525,FALSE())</f>
        <v>90</v>
      </c>
      <c r="J348" s="0" t="n">
        <f aca="false">VLOOKUP($A348,content_factors_backup!$A$2:$Q$468,J$525,FALSE())</f>
        <v>0</v>
      </c>
      <c r="K348" s="0" t="n">
        <f aca="false">VLOOKUP($A348,content_factors_backup!$A$2:$Q$468,K$525,FALSE())</f>
        <v>0</v>
      </c>
      <c r="L348" s="0" t="n">
        <f aca="false">VLOOKUP($A348,content_factors_backup!$A$2:$Q$468,L$525,FALSE())</f>
        <v>0</v>
      </c>
      <c r="M348" s="0" t="n">
        <f aca="false">VLOOKUP($A348,content_factors_backup!$A$2:$Q$468,M$525,FALSE())</f>
        <v>0</v>
      </c>
      <c r="N348" s="0" t="n">
        <f aca="false">VLOOKUP($A348,content_factors_backup!$A$2:$Q$468,N$525,FALSE())</f>
        <v>0</v>
      </c>
      <c r="O348" s="0" t="n">
        <f aca="false">VLOOKUP($A348,content_factors_backup!$A$2:$Q$468,O$525,FALSE())</f>
        <v>0</v>
      </c>
      <c r="P348" s="0" t="n">
        <f aca="false">VLOOKUP($A348,content_factors_backup!$A$2:$Q$468,P$525,FALSE())</f>
        <v>0</v>
      </c>
      <c r="Q348" s="0" t="n">
        <f aca="false">VLOOKUP($A348,content_factors_backup!$A$2:$Q$468,Q$525,FALSE())</f>
        <v>0</v>
      </c>
      <c r="R348" s="0" t="n">
        <f aca="false">VLOOKUP($A348,content_factors_backup!$A$2:$Q$468,R$525,FALSE())</f>
        <v>0</v>
      </c>
      <c r="S348" s="0" t="n">
        <f aca="false">VLOOKUP($A348,content_factors_backup!$A$2:$Q$468,S$525,FALSE())</f>
        <v>0</v>
      </c>
      <c r="T348" s="0" t="n">
        <f aca="false">VLOOKUP($A348,content_factors_backup!$A$2:$Q$468,T$525,FALSE())</f>
        <v>0</v>
      </c>
      <c r="U348" s="0" t="n">
        <f aca="false">VLOOKUP($A348,content_factors_backup!$A$2:$Q$468,U$525,FALSE())</f>
        <v>0</v>
      </c>
      <c r="V348" s="0" t="n">
        <f aca="false">VLOOKUP($A348,content_factors_backup!$A$2:$Q$468,V$525,FALSE())</f>
        <v>0</v>
      </c>
      <c r="W348" s="0" t="n">
        <f aca="false">VLOOKUP($A348,content_factors_backup!$A$2:$Q$468,W$525,FALSE())</f>
        <v>0</v>
      </c>
    </row>
    <row r="349" customFormat="false" ht="14.25" hidden="false" customHeight="false" outlineLevel="0" collapsed="false">
      <c r="A349" s="0" t="n">
        <v>828</v>
      </c>
      <c r="B349" s="0" t="s">
        <v>814</v>
      </c>
      <c r="C349" s="0" t="s">
        <v>815</v>
      </c>
      <c r="E349" s="0" t="s">
        <v>816</v>
      </c>
      <c r="F349" s="0" t="s">
        <v>816</v>
      </c>
      <c r="G349" s="0" t="n">
        <v>25020.01</v>
      </c>
      <c r="I349" s="0" t="n">
        <f aca="false">VLOOKUP($A349,content_factors_backup!$A$2:$Q$468,I$525,FALSE())</f>
        <v>90</v>
      </c>
      <c r="J349" s="0" t="n">
        <f aca="false">VLOOKUP($A349,content_factors_backup!$A$2:$Q$468,J$525,FALSE())</f>
        <v>0</v>
      </c>
      <c r="K349" s="0" t="n">
        <f aca="false">VLOOKUP($A349,content_factors_backup!$A$2:$Q$468,K$525,FALSE())</f>
        <v>0</v>
      </c>
      <c r="L349" s="0" t="n">
        <f aca="false">VLOOKUP($A349,content_factors_backup!$A$2:$Q$468,L$525,FALSE())</f>
        <v>0</v>
      </c>
      <c r="M349" s="0" t="n">
        <f aca="false">VLOOKUP($A349,content_factors_backup!$A$2:$Q$468,M$525,FALSE())</f>
        <v>0</v>
      </c>
      <c r="N349" s="0" t="n">
        <f aca="false">VLOOKUP($A349,content_factors_backup!$A$2:$Q$468,N$525,FALSE())</f>
        <v>0</v>
      </c>
      <c r="O349" s="0" t="n">
        <f aca="false">VLOOKUP($A349,content_factors_backup!$A$2:$Q$468,O$525,FALSE())</f>
        <v>0</v>
      </c>
      <c r="P349" s="0" t="n">
        <f aca="false">VLOOKUP($A349,content_factors_backup!$A$2:$Q$468,P$525,FALSE())</f>
        <v>0</v>
      </c>
      <c r="Q349" s="0" t="n">
        <f aca="false">VLOOKUP($A349,content_factors_backup!$A$2:$Q$468,Q$525,FALSE())</f>
        <v>0</v>
      </c>
      <c r="R349" s="0" t="n">
        <f aca="false">VLOOKUP($A349,content_factors_backup!$A$2:$Q$468,R$525,FALSE())</f>
        <v>0</v>
      </c>
      <c r="S349" s="0" t="n">
        <f aca="false">VLOOKUP($A349,content_factors_backup!$A$2:$Q$468,S$525,FALSE())</f>
        <v>0</v>
      </c>
      <c r="T349" s="0" t="n">
        <f aca="false">VLOOKUP($A349,content_factors_backup!$A$2:$Q$468,T$525,FALSE())</f>
        <v>0</v>
      </c>
      <c r="U349" s="0" t="n">
        <f aca="false">VLOOKUP($A349,content_factors_backup!$A$2:$Q$468,U$525,FALSE())</f>
        <v>0</v>
      </c>
      <c r="V349" s="0" t="n">
        <f aca="false">VLOOKUP($A349,content_factors_backup!$A$2:$Q$468,V$525,FALSE())</f>
        <v>0</v>
      </c>
      <c r="W349" s="0" t="n">
        <f aca="false">VLOOKUP($A349,content_factors_backup!$A$2:$Q$468,W$525,FALSE())</f>
        <v>0</v>
      </c>
    </row>
    <row r="350" customFormat="false" ht="14.25" hidden="false" customHeight="false" outlineLevel="0" collapsed="false">
      <c r="A350" s="0" t="n">
        <v>829</v>
      </c>
      <c r="B350" s="0" t="s">
        <v>817</v>
      </c>
      <c r="C350" s="0" t="s">
        <v>818</v>
      </c>
      <c r="E350" s="0" t="s">
        <v>819</v>
      </c>
      <c r="F350" s="0" t="s">
        <v>819</v>
      </c>
      <c r="G350" s="0" t="n">
        <v>25020.02</v>
      </c>
      <c r="I350" s="0" t="n">
        <f aca="false">VLOOKUP($A350,content_factors_backup!$A$2:$Q$468,I$525,FALSE())</f>
        <v>90</v>
      </c>
      <c r="J350" s="0" t="n">
        <f aca="false">VLOOKUP($A350,content_factors_backup!$A$2:$Q$468,J$525,FALSE())</f>
        <v>0</v>
      </c>
      <c r="K350" s="0" t="n">
        <f aca="false">VLOOKUP($A350,content_factors_backup!$A$2:$Q$468,K$525,FALSE())</f>
        <v>0</v>
      </c>
      <c r="L350" s="0" t="n">
        <f aca="false">VLOOKUP($A350,content_factors_backup!$A$2:$Q$468,L$525,FALSE())</f>
        <v>0</v>
      </c>
      <c r="M350" s="0" t="n">
        <f aca="false">VLOOKUP($A350,content_factors_backup!$A$2:$Q$468,M$525,FALSE())</f>
        <v>0</v>
      </c>
      <c r="N350" s="0" t="n">
        <f aca="false">VLOOKUP($A350,content_factors_backup!$A$2:$Q$468,N$525,FALSE())</f>
        <v>0</v>
      </c>
      <c r="O350" s="0" t="n">
        <f aca="false">VLOOKUP($A350,content_factors_backup!$A$2:$Q$468,O$525,FALSE())</f>
        <v>0</v>
      </c>
      <c r="P350" s="0" t="n">
        <f aca="false">VLOOKUP($A350,content_factors_backup!$A$2:$Q$468,P$525,FALSE())</f>
        <v>0</v>
      </c>
      <c r="Q350" s="0" t="n">
        <f aca="false">VLOOKUP($A350,content_factors_backup!$A$2:$Q$468,Q$525,FALSE())</f>
        <v>0</v>
      </c>
      <c r="R350" s="0" t="n">
        <f aca="false">VLOOKUP($A350,content_factors_backup!$A$2:$Q$468,R$525,FALSE())</f>
        <v>0</v>
      </c>
      <c r="S350" s="0" t="n">
        <f aca="false">VLOOKUP($A350,content_factors_backup!$A$2:$Q$468,S$525,FALSE())</f>
        <v>0</v>
      </c>
      <c r="T350" s="0" t="n">
        <f aca="false">VLOOKUP($A350,content_factors_backup!$A$2:$Q$468,T$525,FALSE())</f>
        <v>0</v>
      </c>
      <c r="U350" s="0" t="n">
        <f aca="false">VLOOKUP($A350,content_factors_backup!$A$2:$Q$468,U$525,FALSE())</f>
        <v>0</v>
      </c>
      <c r="V350" s="0" t="n">
        <f aca="false">VLOOKUP($A350,content_factors_backup!$A$2:$Q$468,V$525,FALSE())</f>
        <v>0</v>
      </c>
      <c r="W350" s="0" t="n">
        <f aca="false">VLOOKUP($A350,content_factors_backup!$A$2:$Q$468,W$525,FALSE())</f>
        <v>0</v>
      </c>
    </row>
    <row r="351" customFormat="false" ht="14.25" hidden="false" customHeight="false" outlineLevel="0" collapsed="false">
      <c r="A351" s="0" t="n">
        <v>831</v>
      </c>
      <c r="B351" s="0" t="s">
        <v>820</v>
      </c>
      <c r="C351" s="0" t="s">
        <v>821</v>
      </c>
      <c r="E351" s="0" t="s">
        <v>822</v>
      </c>
      <c r="F351" s="0" t="s">
        <v>822</v>
      </c>
      <c r="G351" s="0" t="n">
        <v>25090</v>
      </c>
      <c r="I351" s="0" t="n">
        <f aca="false">VLOOKUP($A351,content_factors_backup!$A$2:$Q$468,I$525,FALSE())</f>
        <v>90</v>
      </c>
      <c r="J351" s="0" t="n">
        <f aca="false">VLOOKUP($A351,content_factors_backup!$A$2:$Q$468,J$525,FALSE())</f>
        <v>0</v>
      </c>
      <c r="K351" s="0" t="n">
        <f aca="false">VLOOKUP($A351,content_factors_backup!$A$2:$Q$468,K$525,FALSE())</f>
        <v>0</v>
      </c>
      <c r="L351" s="0" t="n">
        <f aca="false">VLOOKUP($A351,content_factors_backup!$A$2:$Q$468,L$525,FALSE())</f>
        <v>0</v>
      </c>
      <c r="M351" s="0" t="n">
        <f aca="false">VLOOKUP($A351,content_factors_backup!$A$2:$Q$468,M$525,FALSE())</f>
        <v>0</v>
      </c>
      <c r="N351" s="0" t="n">
        <f aca="false">VLOOKUP($A351,content_factors_backup!$A$2:$Q$468,N$525,FALSE())</f>
        <v>0</v>
      </c>
      <c r="O351" s="0" t="n">
        <f aca="false">VLOOKUP($A351,content_factors_backup!$A$2:$Q$468,O$525,FALSE())</f>
        <v>0</v>
      </c>
      <c r="P351" s="0" t="n">
        <f aca="false">VLOOKUP($A351,content_factors_backup!$A$2:$Q$468,P$525,FALSE())</f>
        <v>0</v>
      </c>
      <c r="Q351" s="0" t="n">
        <f aca="false">VLOOKUP($A351,content_factors_backup!$A$2:$Q$468,Q$525,FALSE())</f>
        <v>0</v>
      </c>
      <c r="R351" s="0" t="n">
        <f aca="false">VLOOKUP($A351,content_factors_backup!$A$2:$Q$468,R$525,FALSE())</f>
        <v>0</v>
      </c>
      <c r="S351" s="0" t="n">
        <f aca="false">VLOOKUP($A351,content_factors_backup!$A$2:$Q$468,S$525,FALSE())</f>
        <v>0</v>
      </c>
      <c r="T351" s="0" t="n">
        <f aca="false">VLOOKUP($A351,content_factors_backup!$A$2:$Q$468,T$525,FALSE())</f>
        <v>0</v>
      </c>
      <c r="U351" s="0" t="n">
        <f aca="false">VLOOKUP($A351,content_factors_backup!$A$2:$Q$468,U$525,FALSE())</f>
        <v>0</v>
      </c>
      <c r="V351" s="0" t="n">
        <f aca="false">VLOOKUP($A351,content_factors_backup!$A$2:$Q$468,V$525,FALSE())</f>
        <v>0</v>
      </c>
      <c r="W351" s="0" t="n">
        <f aca="false">VLOOKUP($A351,content_factors_backup!$A$2:$Q$468,W$525,FALSE())</f>
        <v>0</v>
      </c>
    </row>
    <row r="352" customFormat="false" ht="14.25" hidden="false" customHeight="false" outlineLevel="0" collapsed="false">
      <c r="A352" s="0" t="n">
        <v>836</v>
      </c>
      <c r="B352" s="0" t="s">
        <v>823</v>
      </c>
      <c r="C352" s="0" t="s">
        <v>824</v>
      </c>
      <c r="E352" s="0" t="n">
        <v>400110</v>
      </c>
      <c r="F352" s="0" t="n">
        <v>400110</v>
      </c>
      <c r="G352" s="0" t="n">
        <v>1950.01</v>
      </c>
      <c r="I352" s="0" t="n">
        <f aca="false">VLOOKUP($A352,content_factors_backup!$A$2:$Q$468,I$525,FALSE())</f>
        <v>35</v>
      </c>
      <c r="J352" s="0" t="n">
        <f aca="false">VLOOKUP($A352,content_factors_backup!$A$2:$Q$468,J$525,FALSE())</f>
        <v>0</v>
      </c>
      <c r="K352" s="0" t="n">
        <f aca="false">VLOOKUP($A352,content_factors_backup!$A$2:$Q$468,K$525,FALSE())</f>
        <v>0</v>
      </c>
      <c r="L352" s="0" t="n">
        <f aca="false">VLOOKUP($A352,content_factors_backup!$A$2:$Q$468,L$525,FALSE())</f>
        <v>0</v>
      </c>
      <c r="M352" s="0" t="n">
        <f aca="false">VLOOKUP($A352,content_factors_backup!$A$2:$Q$468,M$525,FALSE())</f>
        <v>0</v>
      </c>
      <c r="N352" s="0" t="n">
        <f aca="false">VLOOKUP($A352,content_factors_backup!$A$2:$Q$468,N$525,FALSE())</f>
        <v>0</v>
      </c>
      <c r="O352" s="0" t="n">
        <f aca="false">VLOOKUP($A352,content_factors_backup!$A$2:$Q$468,O$525,FALSE())</f>
        <v>0</v>
      </c>
      <c r="P352" s="0" t="n">
        <f aca="false">VLOOKUP($A352,content_factors_backup!$A$2:$Q$468,P$525,FALSE())</f>
        <v>0</v>
      </c>
      <c r="Q352" s="0" t="n">
        <f aca="false">VLOOKUP($A352,content_factors_backup!$A$2:$Q$468,Q$525,FALSE())</f>
        <v>0</v>
      </c>
      <c r="R352" s="0" t="n">
        <f aca="false">VLOOKUP($A352,content_factors_backup!$A$2:$Q$468,R$525,FALSE())</f>
        <v>0</v>
      </c>
      <c r="S352" s="0" t="n">
        <f aca="false">VLOOKUP($A352,content_factors_backup!$A$2:$Q$468,S$525,FALSE())</f>
        <v>0</v>
      </c>
      <c r="T352" s="0" t="n">
        <f aca="false">VLOOKUP($A352,content_factors_backup!$A$2:$Q$468,T$525,FALSE())</f>
        <v>0</v>
      </c>
      <c r="U352" s="0" t="n">
        <f aca="false">VLOOKUP($A352,content_factors_backup!$A$2:$Q$468,U$525,FALSE())</f>
        <v>0</v>
      </c>
      <c r="V352" s="0" t="n">
        <f aca="false">VLOOKUP($A352,content_factors_backup!$A$2:$Q$468,V$525,FALSE())</f>
        <v>0</v>
      </c>
      <c r="W352" s="0" t="n">
        <f aca="false">VLOOKUP($A352,content_factors_backup!$A$2:$Q$468,W$525,FALSE())</f>
        <v>0</v>
      </c>
    </row>
    <row r="353" customFormat="false" ht="14.25" hidden="false" customHeight="false" outlineLevel="0" collapsed="false">
      <c r="A353" s="0" t="n">
        <v>837</v>
      </c>
      <c r="B353" s="0" t="s">
        <v>825</v>
      </c>
      <c r="C353" s="0" t="s">
        <v>826</v>
      </c>
      <c r="E353" s="0" t="s">
        <v>827</v>
      </c>
      <c r="F353" s="0" t="s">
        <v>827</v>
      </c>
      <c r="G353" s="0" t="n">
        <v>1950.02</v>
      </c>
      <c r="I353" s="0" t="n">
        <f aca="false">VLOOKUP($A353,content_factors_backup!$A$2:$Q$468,I$525,FALSE())</f>
        <v>35</v>
      </c>
      <c r="J353" s="0" t="n">
        <f aca="false">VLOOKUP($A353,content_factors_backup!$A$2:$Q$468,J$525,FALSE())</f>
        <v>0</v>
      </c>
      <c r="K353" s="0" t="n">
        <f aca="false">VLOOKUP($A353,content_factors_backup!$A$2:$Q$468,K$525,FALSE())</f>
        <v>0</v>
      </c>
      <c r="L353" s="0" t="n">
        <f aca="false">VLOOKUP($A353,content_factors_backup!$A$2:$Q$468,L$525,FALSE())</f>
        <v>0</v>
      </c>
      <c r="M353" s="0" t="n">
        <f aca="false">VLOOKUP($A353,content_factors_backup!$A$2:$Q$468,M$525,FALSE())</f>
        <v>0</v>
      </c>
      <c r="N353" s="0" t="n">
        <f aca="false">VLOOKUP($A353,content_factors_backup!$A$2:$Q$468,N$525,FALSE())</f>
        <v>0</v>
      </c>
      <c r="O353" s="0" t="n">
        <f aca="false">VLOOKUP($A353,content_factors_backup!$A$2:$Q$468,O$525,FALSE())</f>
        <v>0</v>
      </c>
      <c r="P353" s="0" t="n">
        <f aca="false">VLOOKUP($A353,content_factors_backup!$A$2:$Q$468,P$525,FALSE())</f>
        <v>0</v>
      </c>
      <c r="Q353" s="0" t="n">
        <f aca="false">VLOOKUP($A353,content_factors_backup!$A$2:$Q$468,Q$525,FALSE())</f>
        <v>0</v>
      </c>
      <c r="R353" s="0" t="n">
        <f aca="false">VLOOKUP($A353,content_factors_backup!$A$2:$Q$468,R$525,FALSE())</f>
        <v>0</v>
      </c>
      <c r="S353" s="0" t="n">
        <f aca="false">VLOOKUP($A353,content_factors_backup!$A$2:$Q$468,S$525,FALSE())</f>
        <v>0</v>
      </c>
      <c r="T353" s="0" t="n">
        <f aca="false">VLOOKUP($A353,content_factors_backup!$A$2:$Q$468,T$525,FALSE())</f>
        <v>0</v>
      </c>
      <c r="U353" s="0" t="n">
        <f aca="false">VLOOKUP($A353,content_factors_backup!$A$2:$Q$468,U$525,FALSE())</f>
        <v>0</v>
      </c>
      <c r="V353" s="0" t="n">
        <f aca="false">VLOOKUP($A353,content_factors_backup!$A$2:$Q$468,V$525,FALSE())</f>
        <v>0</v>
      </c>
      <c r="W353" s="0" t="n">
        <f aca="false">VLOOKUP($A353,content_factors_backup!$A$2:$Q$468,W$525,FALSE())</f>
        <v>0</v>
      </c>
    </row>
    <row r="354" customFormat="false" ht="14.25" hidden="false" customHeight="false" outlineLevel="0" collapsed="false">
      <c r="A354" s="0" t="n">
        <v>839</v>
      </c>
      <c r="B354" s="0" t="s">
        <v>828</v>
      </c>
      <c r="C354" s="0" t="s">
        <v>829</v>
      </c>
      <c r="E354" s="0" t="n">
        <v>400130</v>
      </c>
      <c r="F354" s="0" t="n">
        <v>400130</v>
      </c>
      <c r="G354" s="0" t="n">
        <v>3211</v>
      </c>
      <c r="I354" s="0" t="n">
        <f aca="false">VLOOKUP($A354,content_factors_backup!$A$2:$Q$468,I$525,FALSE())</f>
        <v>50</v>
      </c>
      <c r="J354" s="0" t="e">
        <f aca="false">VLOOKUP($A354,content_factors_backup!$A$2:$Q$468,J$525,FALSE())</f>
        <v>#N/A</v>
      </c>
      <c r="K354" s="0" t="e">
        <f aca="false">VLOOKUP($A354,content_factors_backup!$A$2:$Q$468,K$525,FALSE())</f>
        <v>#N/A</v>
      </c>
      <c r="L354" s="0" t="e">
        <f aca="false">VLOOKUP($A354,content_factors_backup!$A$2:$Q$468,L$525,FALSE())</f>
        <v>#N/A</v>
      </c>
      <c r="M354" s="0" t="e">
        <f aca="false">VLOOKUP($A354,content_factors_backup!$A$2:$Q$468,M$525,FALSE())</f>
        <v>#N/A</v>
      </c>
      <c r="N354" s="0" t="e">
        <f aca="false">VLOOKUP($A354,content_factors_backup!$A$2:$Q$468,N$525,FALSE())</f>
        <v>#N/A</v>
      </c>
      <c r="O354" s="0" t="e">
        <f aca="false">VLOOKUP($A354,content_factors_backup!$A$2:$Q$468,O$525,FALSE())</f>
        <v>#N/A</v>
      </c>
      <c r="P354" s="0" t="e">
        <f aca="false">VLOOKUP($A354,content_factors_backup!$A$2:$Q$468,P$525,FALSE())</f>
        <v>#N/A</v>
      </c>
      <c r="Q354" s="0" t="e">
        <f aca="false">VLOOKUP($A354,content_factors_backup!$A$2:$Q$468,Q$525,FALSE())</f>
        <v>#N/A</v>
      </c>
      <c r="R354" s="0" t="e">
        <f aca="false">VLOOKUP($A354,content_factors_backup!$A$2:$Q$468,R$525,FALSE())</f>
        <v>#N/A</v>
      </c>
      <c r="S354" s="0" t="e">
        <f aca="false">VLOOKUP($A354,content_factors_backup!$A$2:$Q$468,S$525,FALSE())</f>
        <v>#N/A</v>
      </c>
      <c r="T354" s="0" t="e">
        <f aca="false">VLOOKUP($A354,content_factors_backup!$A$2:$Q$468,T$525,FALSE())</f>
        <v>#N/A</v>
      </c>
      <c r="U354" s="0" t="e">
        <f aca="false">VLOOKUP($A354,content_factors_backup!$A$2:$Q$468,U$525,FALSE())</f>
        <v>#N/A</v>
      </c>
      <c r="V354" s="0" t="e">
        <f aca="false">VLOOKUP($A354,content_factors_backup!$A$2:$Q$468,V$525,FALSE())</f>
        <v>#N/A</v>
      </c>
      <c r="W354" s="0" t="e">
        <f aca="false">VLOOKUP($A354,content_factors_backup!$A$2:$Q$468,W$525,FALSE())</f>
        <v>#N/A</v>
      </c>
    </row>
    <row r="355" customFormat="false" ht="14.25" hidden="false" customHeight="false" outlineLevel="0" collapsed="false">
      <c r="A355" s="0" t="n">
        <v>843</v>
      </c>
      <c r="B355" s="0" t="s">
        <v>830</v>
      </c>
      <c r="C355" s="0" t="s">
        <v>831</v>
      </c>
      <c r="E355" s="0" t="n">
        <v>230910</v>
      </c>
      <c r="F355" s="0" t="n">
        <v>230910</v>
      </c>
      <c r="G355" s="0" t="n">
        <v>23311</v>
      </c>
      <c r="I355" s="0" t="n">
        <f aca="false">VLOOKUP($A355,content_factors_backup!$A$2:$Q$468,I$525,FALSE())</f>
        <v>90</v>
      </c>
      <c r="J355" s="0" t="e">
        <f aca="false">VLOOKUP($A355,content_factors_backup!$A$2:$Q$468,J$525,FALSE())</f>
        <v>#N/A</v>
      </c>
      <c r="K355" s="0" t="e">
        <f aca="false">VLOOKUP($A355,content_factors_backup!$A$2:$Q$468,K$525,FALSE())</f>
        <v>#N/A</v>
      </c>
      <c r="L355" s="0" t="e">
        <f aca="false">VLOOKUP($A355,content_factors_backup!$A$2:$Q$468,L$525,FALSE())</f>
        <v>#N/A</v>
      </c>
      <c r="M355" s="0" t="e">
        <f aca="false">VLOOKUP($A355,content_factors_backup!$A$2:$Q$468,M$525,FALSE())</f>
        <v>#N/A</v>
      </c>
      <c r="N355" s="0" t="e">
        <f aca="false">VLOOKUP($A355,content_factors_backup!$A$2:$Q$468,N$525,FALSE())</f>
        <v>#N/A</v>
      </c>
      <c r="O355" s="0" t="e">
        <f aca="false">VLOOKUP($A355,content_factors_backup!$A$2:$Q$468,O$525,FALSE())</f>
        <v>#N/A</v>
      </c>
      <c r="P355" s="0" t="e">
        <f aca="false">VLOOKUP($A355,content_factors_backup!$A$2:$Q$468,P$525,FALSE())</f>
        <v>#N/A</v>
      </c>
      <c r="Q355" s="0" t="e">
        <f aca="false">VLOOKUP($A355,content_factors_backup!$A$2:$Q$468,Q$525,FALSE())</f>
        <v>#N/A</v>
      </c>
      <c r="R355" s="0" t="e">
        <f aca="false">VLOOKUP($A355,content_factors_backup!$A$2:$Q$468,R$525,FALSE())</f>
        <v>#N/A</v>
      </c>
      <c r="S355" s="0" t="e">
        <f aca="false">VLOOKUP($A355,content_factors_backup!$A$2:$Q$468,S$525,FALSE())</f>
        <v>#N/A</v>
      </c>
      <c r="T355" s="0" t="e">
        <f aca="false">VLOOKUP($A355,content_factors_backup!$A$2:$Q$468,T$525,FALSE())</f>
        <v>#N/A</v>
      </c>
      <c r="U355" s="0" t="e">
        <f aca="false">VLOOKUP($A355,content_factors_backup!$A$2:$Q$468,U$525,FALSE())</f>
        <v>#N/A</v>
      </c>
      <c r="V355" s="0" t="e">
        <f aca="false">VLOOKUP($A355,content_factors_backup!$A$2:$Q$468,V$525,FALSE())</f>
        <v>#N/A</v>
      </c>
      <c r="W355" s="0" t="e">
        <f aca="false">VLOOKUP($A355,content_factors_backup!$A$2:$Q$468,W$525,FALSE())</f>
        <v>#N/A</v>
      </c>
    </row>
    <row r="356" customFormat="false" ht="14.25" hidden="false" customHeight="false" outlineLevel="0" collapsed="false">
      <c r="A356" s="0" t="n">
        <v>845</v>
      </c>
      <c r="B356" s="0" t="s">
        <v>832</v>
      </c>
      <c r="C356" s="0" t="s">
        <v>833</v>
      </c>
      <c r="E356" s="0" t="n">
        <v>230990</v>
      </c>
      <c r="F356" s="0" t="n">
        <v>230990</v>
      </c>
      <c r="G356" s="0" t="n">
        <v>23319.04</v>
      </c>
      <c r="I356" s="0" t="n">
        <f aca="false">VLOOKUP($A356,content_factors_backup!$A$2:$Q$468,I$525,FALSE())</f>
        <v>90</v>
      </c>
      <c r="J356" s="0" t="e">
        <f aca="false">VLOOKUP($A356,content_factors_backup!$A$2:$Q$468,J$525,FALSE())</f>
        <v>#N/A</v>
      </c>
      <c r="K356" s="0" t="e">
        <f aca="false">VLOOKUP($A356,content_factors_backup!$A$2:$Q$468,K$525,FALSE())</f>
        <v>#N/A</v>
      </c>
      <c r="L356" s="0" t="e">
        <f aca="false">VLOOKUP($A356,content_factors_backup!$A$2:$Q$468,L$525,FALSE())</f>
        <v>#N/A</v>
      </c>
      <c r="M356" s="0" t="e">
        <f aca="false">VLOOKUP($A356,content_factors_backup!$A$2:$Q$468,M$525,FALSE())</f>
        <v>#N/A</v>
      </c>
      <c r="N356" s="0" t="e">
        <f aca="false">VLOOKUP($A356,content_factors_backup!$A$2:$Q$468,N$525,FALSE())</f>
        <v>#N/A</v>
      </c>
      <c r="O356" s="0" t="e">
        <f aca="false">VLOOKUP($A356,content_factors_backup!$A$2:$Q$468,O$525,FALSE())</f>
        <v>#N/A</v>
      </c>
      <c r="P356" s="0" t="e">
        <f aca="false">VLOOKUP($A356,content_factors_backup!$A$2:$Q$468,P$525,FALSE())</f>
        <v>#N/A</v>
      </c>
      <c r="Q356" s="0" t="e">
        <f aca="false">VLOOKUP($A356,content_factors_backup!$A$2:$Q$468,Q$525,FALSE())</f>
        <v>#N/A</v>
      </c>
      <c r="R356" s="0" t="e">
        <f aca="false">VLOOKUP($A356,content_factors_backup!$A$2:$Q$468,R$525,FALSE())</f>
        <v>#N/A</v>
      </c>
      <c r="S356" s="0" t="e">
        <f aca="false">VLOOKUP($A356,content_factors_backup!$A$2:$Q$468,S$525,FALSE())</f>
        <v>#N/A</v>
      </c>
      <c r="T356" s="0" t="e">
        <f aca="false">VLOOKUP($A356,content_factors_backup!$A$2:$Q$468,T$525,FALSE())</f>
        <v>#N/A</v>
      </c>
      <c r="U356" s="0" t="e">
        <f aca="false">VLOOKUP($A356,content_factors_backup!$A$2:$Q$468,U$525,FALSE())</f>
        <v>#N/A</v>
      </c>
      <c r="V356" s="0" t="e">
        <f aca="false">VLOOKUP($A356,content_factors_backup!$A$2:$Q$468,V$525,FALSE())</f>
        <v>#N/A</v>
      </c>
      <c r="W356" s="0" t="e">
        <f aca="false">VLOOKUP($A356,content_factors_backup!$A$2:$Q$468,W$525,FALSE())</f>
        <v>#N/A</v>
      </c>
    </row>
    <row r="357" customFormat="false" ht="14.25" hidden="false" customHeight="false" outlineLevel="0" collapsed="false">
      <c r="A357" s="0" t="n">
        <v>846</v>
      </c>
      <c r="B357" s="0" t="s">
        <v>834</v>
      </c>
      <c r="C357" s="0" t="s">
        <v>835</v>
      </c>
      <c r="E357" s="0" t="n">
        <v>230310</v>
      </c>
      <c r="F357" s="0" t="n">
        <v>230310</v>
      </c>
      <c r="G357" s="0" t="n">
        <v>39130.04</v>
      </c>
      <c r="I357" s="0" t="n">
        <f aca="false">VLOOKUP($A357,content_factors_backup!$A$2:$Q$468,I$525,FALSE())</f>
        <v>90</v>
      </c>
      <c r="J357" s="0" t="n">
        <f aca="false">VLOOKUP($A357,content_factors_backup!$A$2:$Q$468,J$525,FALSE())</f>
        <v>362</v>
      </c>
      <c r="K357" s="0" t="n">
        <f aca="false">VLOOKUP($A357,content_factors_backup!$A$2:$Q$468,K$525,FALSE())</f>
        <v>8.12</v>
      </c>
      <c r="L357" s="0" t="n">
        <f aca="false">VLOOKUP($A357,content_factors_backup!$A$2:$Q$468,L$525,FALSE())</f>
        <v>7.3</v>
      </c>
      <c r="M357" s="0" t="n">
        <f aca="false">VLOOKUP($A357,content_factors_backup!$A$2:$Q$468,M$525,FALSE())</f>
        <v>1.82</v>
      </c>
      <c r="N357" s="0" t="n">
        <f aca="false">VLOOKUP($A357,content_factors_backup!$A$2:$Q$468,N$525,FALSE())</f>
        <v>3.45</v>
      </c>
      <c r="O357" s="0" t="n">
        <f aca="false">VLOOKUP($A357,content_factors_backup!$A$2:$Q$468,O$525,FALSE())</f>
        <v>6</v>
      </c>
      <c r="P357" s="0" t="n">
        <f aca="false">VLOOKUP($A357,content_factors_backup!$A$2:$Q$468,P$525,FALSE())</f>
        <v>25</v>
      </c>
      <c r="Q357" s="0" t="n">
        <f aca="false">VLOOKUP($A357,content_factors_backup!$A$2:$Q$468,Q$525,FALSE())</f>
        <v>0.201</v>
      </c>
      <c r="R357" s="0" t="n">
        <f aca="false">VLOOKUP($A357,content_factors_backup!$A$2:$Q$468,R$525,FALSE())</f>
        <v>21.6</v>
      </c>
      <c r="S357" s="0" t="n">
        <f aca="false">VLOOKUP($A357,content_factors_backup!$A$2:$Q$468,S$525,FALSE())</f>
        <v>287</v>
      </c>
      <c r="T357" s="0" t="n">
        <f aca="false">VLOOKUP($A357,content_factors_backup!$A$2:$Q$468,T$525,FALSE())</f>
        <v>0.42</v>
      </c>
      <c r="U357" s="0" t="n">
        <f aca="false">VLOOKUP($A357,content_factors_backup!$A$2:$Q$468,U$525,FALSE())</f>
        <v>0</v>
      </c>
      <c r="V357" s="0" t="n">
        <f aca="false">VLOOKUP($A357,content_factors_backup!$A$2:$Q$468,V$525,FALSE())</f>
        <v>0.3</v>
      </c>
      <c r="W357" s="0" t="n">
        <f aca="false">VLOOKUP($A357,content_factors_backup!$A$2:$Q$468,W$525,FALSE())</f>
        <v>0</v>
      </c>
    </row>
    <row r="358" customFormat="false" ht="14.25" hidden="false" customHeight="false" outlineLevel="0" collapsed="false">
      <c r="A358" s="0" t="n">
        <v>850</v>
      </c>
      <c r="B358" s="0" t="s">
        <v>836</v>
      </c>
      <c r="C358" s="0" t="s">
        <v>837</v>
      </c>
      <c r="E358" s="0" t="n">
        <v>230990</v>
      </c>
      <c r="F358" s="0" t="n">
        <v>230990</v>
      </c>
      <c r="G358" s="0" t="n">
        <v>23319.06</v>
      </c>
      <c r="I358" s="0" t="n">
        <f aca="false">VLOOKUP($A358,content_factors_backup!$A$2:$Q$468,I$525,FALSE())</f>
        <v>90</v>
      </c>
      <c r="J358" s="0" t="e">
        <f aca="false">VLOOKUP($A358,content_factors_backup!$A$2:$Q$468,J$525,FALSE())</f>
        <v>#N/A</v>
      </c>
      <c r="K358" s="0" t="e">
        <f aca="false">VLOOKUP($A358,content_factors_backup!$A$2:$Q$468,K$525,FALSE())</f>
        <v>#N/A</v>
      </c>
      <c r="L358" s="0" t="e">
        <f aca="false">VLOOKUP($A358,content_factors_backup!$A$2:$Q$468,L$525,FALSE())</f>
        <v>#N/A</v>
      </c>
      <c r="M358" s="0" t="e">
        <f aca="false">VLOOKUP($A358,content_factors_backup!$A$2:$Q$468,M$525,FALSE())</f>
        <v>#N/A</v>
      </c>
      <c r="N358" s="0" t="e">
        <f aca="false">VLOOKUP($A358,content_factors_backup!$A$2:$Q$468,N$525,FALSE())</f>
        <v>#N/A</v>
      </c>
      <c r="O358" s="0" t="e">
        <f aca="false">VLOOKUP($A358,content_factors_backup!$A$2:$Q$468,O$525,FALSE())</f>
        <v>#N/A</v>
      </c>
      <c r="P358" s="0" t="e">
        <f aca="false">VLOOKUP($A358,content_factors_backup!$A$2:$Q$468,P$525,FALSE())</f>
        <v>#N/A</v>
      </c>
      <c r="Q358" s="0" t="e">
        <f aca="false">VLOOKUP($A358,content_factors_backup!$A$2:$Q$468,Q$525,FALSE())</f>
        <v>#N/A</v>
      </c>
      <c r="R358" s="0" t="e">
        <f aca="false">VLOOKUP($A358,content_factors_backup!$A$2:$Q$468,R$525,FALSE())</f>
        <v>#N/A</v>
      </c>
      <c r="S358" s="0" t="e">
        <f aca="false">VLOOKUP($A358,content_factors_backup!$A$2:$Q$468,S$525,FALSE())</f>
        <v>#N/A</v>
      </c>
      <c r="T358" s="0" t="e">
        <f aca="false">VLOOKUP($A358,content_factors_backup!$A$2:$Q$468,T$525,FALSE())</f>
        <v>#N/A</v>
      </c>
      <c r="U358" s="0" t="e">
        <f aca="false">VLOOKUP($A358,content_factors_backup!$A$2:$Q$468,U$525,FALSE())</f>
        <v>#N/A</v>
      </c>
      <c r="V358" s="0" t="e">
        <f aca="false">VLOOKUP($A358,content_factors_backup!$A$2:$Q$468,V$525,FALSE())</f>
        <v>#N/A</v>
      </c>
      <c r="W358" s="0" t="e">
        <f aca="false">VLOOKUP($A358,content_factors_backup!$A$2:$Q$468,W$525,FALSE())</f>
        <v>#N/A</v>
      </c>
    </row>
    <row r="359" customFormat="false" ht="14.25" hidden="false" customHeight="false" outlineLevel="0" collapsed="false">
      <c r="A359" s="0" t="n">
        <v>853</v>
      </c>
      <c r="B359" s="0" t="s">
        <v>838</v>
      </c>
      <c r="C359" s="0" t="s">
        <v>839</v>
      </c>
      <c r="E359" s="0" t="n">
        <v>230990</v>
      </c>
      <c r="F359" s="0" t="n">
        <v>230990</v>
      </c>
      <c r="G359" s="0" t="n">
        <v>23319.09</v>
      </c>
      <c r="I359" s="0" t="n">
        <f aca="false">VLOOKUP($A359,content_factors_backup!$A$2:$Q$468,I$525,FALSE())</f>
        <v>100</v>
      </c>
      <c r="J359" s="0" t="e">
        <f aca="false">VLOOKUP($A359,content_factors_backup!$A$2:$Q$468,J$525,FALSE())</f>
        <v>#N/A</v>
      </c>
      <c r="K359" s="0" t="e">
        <f aca="false">VLOOKUP($A359,content_factors_backup!$A$2:$Q$468,K$525,FALSE())</f>
        <v>#N/A</v>
      </c>
      <c r="L359" s="0" t="e">
        <f aca="false">VLOOKUP($A359,content_factors_backup!$A$2:$Q$468,L$525,FALSE())</f>
        <v>#N/A</v>
      </c>
      <c r="M359" s="0" t="e">
        <f aca="false">VLOOKUP($A359,content_factors_backup!$A$2:$Q$468,M$525,FALSE())</f>
        <v>#N/A</v>
      </c>
      <c r="N359" s="0" t="e">
        <f aca="false">VLOOKUP($A359,content_factors_backup!$A$2:$Q$468,N$525,FALSE())</f>
        <v>#N/A</v>
      </c>
      <c r="O359" s="0" t="e">
        <f aca="false">VLOOKUP($A359,content_factors_backup!$A$2:$Q$468,O$525,FALSE())</f>
        <v>#N/A</v>
      </c>
      <c r="P359" s="0" t="e">
        <f aca="false">VLOOKUP($A359,content_factors_backup!$A$2:$Q$468,P$525,FALSE())</f>
        <v>#N/A</v>
      </c>
      <c r="Q359" s="0" t="e">
        <f aca="false">VLOOKUP($A359,content_factors_backup!$A$2:$Q$468,Q$525,FALSE())</f>
        <v>#N/A</v>
      </c>
      <c r="R359" s="0" t="e">
        <f aca="false">VLOOKUP($A359,content_factors_backup!$A$2:$Q$468,R$525,FALSE())</f>
        <v>#N/A</v>
      </c>
      <c r="S359" s="0" t="e">
        <f aca="false">VLOOKUP($A359,content_factors_backup!$A$2:$Q$468,S$525,FALSE())</f>
        <v>#N/A</v>
      </c>
      <c r="T359" s="0" t="e">
        <f aca="false">VLOOKUP($A359,content_factors_backup!$A$2:$Q$468,T$525,FALSE())</f>
        <v>#N/A</v>
      </c>
      <c r="U359" s="0" t="e">
        <f aca="false">VLOOKUP($A359,content_factors_backup!$A$2:$Q$468,U$525,FALSE())</f>
        <v>#N/A</v>
      </c>
      <c r="V359" s="0" t="e">
        <f aca="false">VLOOKUP($A359,content_factors_backup!$A$2:$Q$468,V$525,FALSE())</f>
        <v>#N/A</v>
      </c>
      <c r="W359" s="0" t="e">
        <f aca="false">VLOOKUP($A359,content_factors_backup!$A$2:$Q$468,W$525,FALSE())</f>
        <v>#N/A</v>
      </c>
    </row>
    <row r="360" customFormat="false" ht="14.25" hidden="false" customHeight="false" outlineLevel="0" collapsed="false">
      <c r="A360" s="0" t="n">
        <v>855</v>
      </c>
      <c r="B360" s="0" t="s">
        <v>840</v>
      </c>
      <c r="C360" s="0" t="s">
        <v>839</v>
      </c>
      <c r="E360" s="0" t="n">
        <v>230990</v>
      </c>
      <c r="F360" s="0" t="n">
        <v>230990</v>
      </c>
      <c r="G360" s="0" t="n">
        <v>23319.11</v>
      </c>
      <c r="I360" s="0" t="n">
        <f aca="false">VLOOKUP($A360,content_factors_backup!$A$2:$Q$468,I$525,FALSE())</f>
        <v>0</v>
      </c>
      <c r="J360" s="0" t="e">
        <f aca="false">VLOOKUP($A360,content_factors_backup!$A$2:$Q$468,J$525,FALSE())</f>
        <v>#N/A</v>
      </c>
      <c r="K360" s="0" t="e">
        <f aca="false">VLOOKUP($A360,content_factors_backup!$A$2:$Q$468,K$525,FALSE())</f>
        <v>#N/A</v>
      </c>
      <c r="L360" s="0" t="e">
        <f aca="false">VLOOKUP($A360,content_factors_backup!$A$2:$Q$468,L$525,FALSE())</f>
        <v>#N/A</v>
      </c>
      <c r="M360" s="0" t="e">
        <f aca="false">VLOOKUP($A360,content_factors_backup!$A$2:$Q$468,M$525,FALSE())</f>
        <v>#N/A</v>
      </c>
      <c r="N360" s="0" t="e">
        <f aca="false">VLOOKUP($A360,content_factors_backup!$A$2:$Q$468,N$525,FALSE())</f>
        <v>#N/A</v>
      </c>
      <c r="O360" s="0" t="e">
        <f aca="false">VLOOKUP($A360,content_factors_backup!$A$2:$Q$468,O$525,FALSE())</f>
        <v>#N/A</v>
      </c>
      <c r="P360" s="0" t="e">
        <f aca="false">VLOOKUP($A360,content_factors_backup!$A$2:$Q$468,P$525,FALSE())</f>
        <v>#N/A</v>
      </c>
      <c r="Q360" s="0" t="e">
        <f aca="false">VLOOKUP($A360,content_factors_backup!$A$2:$Q$468,Q$525,FALSE())</f>
        <v>#N/A</v>
      </c>
      <c r="R360" s="0" t="e">
        <f aca="false">VLOOKUP($A360,content_factors_backup!$A$2:$Q$468,R$525,FALSE())</f>
        <v>#N/A</v>
      </c>
      <c r="S360" s="0" t="e">
        <f aca="false">VLOOKUP($A360,content_factors_backup!$A$2:$Q$468,S$525,FALSE())</f>
        <v>#N/A</v>
      </c>
      <c r="T360" s="0" t="e">
        <f aca="false">VLOOKUP($A360,content_factors_backup!$A$2:$Q$468,T$525,FALSE())</f>
        <v>#N/A</v>
      </c>
      <c r="U360" s="0" t="e">
        <f aca="false">VLOOKUP($A360,content_factors_backup!$A$2:$Q$468,U$525,FALSE())</f>
        <v>#N/A</v>
      </c>
      <c r="V360" s="0" t="e">
        <f aca="false">VLOOKUP($A360,content_factors_backup!$A$2:$Q$468,V$525,FALSE())</f>
        <v>#N/A</v>
      </c>
      <c r="W360" s="0" t="e">
        <f aca="false">VLOOKUP($A360,content_factors_backup!$A$2:$Q$468,W$525,FALSE())</f>
        <v>#N/A</v>
      </c>
    </row>
    <row r="361" customFormat="false" ht="14.25" hidden="false" customHeight="false" outlineLevel="0" collapsed="false">
      <c r="A361" s="0" t="n">
        <v>858</v>
      </c>
      <c r="B361" s="0" t="s">
        <v>841</v>
      </c>
      <c r="C361" s="0" t="s">
        <v>842</v>
      </c>
      <c r="E361" s="0" t="n">
        <v>121490</v>
      </c>
      <c r="F361" s="0" t="n">
        <v>121490</v>
      </c>
      <c r="G361" s="0" t="n">
        <v>1919.1</v>
      </c>
      <c r="I361" s="0" t="n">
        <f aca="false">VLOOKUP($A361,content_factors_backup!$A$2:$Q$468,I$525,FALSE())</f>
        <v>0</v>
      </c>
      <c r="J361" s="0" t="e">
        <f aca="false">VLOOKUP($A361,content_factors_backup!$A$2:$Q$468,J$525,FALSE())</f>
        <v>#N/A</v>
      </c>
      <c r="K361" s="0" t="e">
        <f aca="false">VLOOKUP($A361,content_factors_backup!$A$2:$Q$468,K$525,FALSE())</f>
        <v>#N/A</v>
      </c>
      <c r="L361" s="0" t="e">
        <f aca="false">VLOOKUP($A361,content_factors_backup!$A$2:$Q$468,L$525,FALSE())</f>
        <v>#N/A</v>
      </c>
      <c r="M361" s="0" t="e">
        <f aca="false">VLOOKUP($A361,content_factors_backup!$A$2:$Q$468,M$525,FALSE())</f>
        <v>#N/A</v>
      </c>
      <c r="N361" s="0" t="e">
        <f aca="false">VLOOKUP($A361,content_factors_backup!$A$2:$Q$468,N$525,FALSE())</f>
        <v>#N/A</v>
      </c>
      <c r="O361" s="0" t="e">
        <f aca="false">VLOOKUP($A361,content_factors_backup!$A$2:$Q$468,O$525,FALSE())</f>
        <v>#N/A</v>
      </c>
      <c r="P361" s="0" t="e">
        <f aca="false">VLOOKUP($A361,content_factors_backup!$A$2:$Q$468,P$525,FALSE())</f>
        <v>#N/A</v>
      </c>
      <c r="Q361" s="0" t="e">
        <f aca="false">VLOOKUP($A361,content_factors_backup!$A$2:$Q$468,Q$525,FALSE())</f>
        <v>#N/A</v>
      </c>
      <c r="R361" s="0" t="e">
        <f aca="false">VLOOKUP($A361,content_factors_backup!$A$2:$Q$468,R$525,FALSE())</f>
        <v>#N/A</v>
      </c>
      <c r="S361" s="0" t="e">
        <f aca="false">VLOOKUP($A361,content_factors_backup!$A$2:$Q$468,S$525,FALSE())</f>
        <v>#N/A</v>
      </c>
      <c r="T361" s="0" t="e">
        <f aca="false">VLOOKUP($A361,content_factors_backup!$A$2:$Q$468,T$525,FALSE())</f>
        <v>#N/A</v>
      </c>
      <c r="U361" s="0" t="e">
        <f aca="false">VLOOKUP($A361,content_factors_backup!$A$2:$Q$468,U$525,FALSE())</f>
        <v>#N/A</v>
      </c>
      <c r="V361" s="0" t="e">
        <f aca="false">VLOOKUP($A361,content_factors_backup!$A$2:$Q$468,V$525,FALSE())</f>
        <v>#N/A</v>
      </c>
      <c r="W361" s="0" t="e">
        <f aca="false">VLOOKUP($A361,content_factors_backup!$A$2:$Q$468,W$525,FALSE())</f>
        <v>#N/A</v>
      </c>
    </row>
    <row r="362" customFormat="false" ht="14.25" hidden="false" customHeight="false" outlineLevel="0" collapsed="false">
      <c r="A362" s="0" t="n">
        <v>859</v>
      </c>
      <c r="B362" s="0" t="s">
        <v>843</v>
      </c>
      <c r="C362" s="0" t="s">
        <v>844</v>
      </c>
      <c r="E362" s="0" t="n">
        <v>121490</v>
      </c>
      <c r="F362" s="0" t="n">
        <v>121490</v>
      </c>
      <c r="G362" s="0" t="n">
        <v>1919.11</v>
      </c>
      <c r="I362" s="0" t="n">
        <f aca="false">VLOOKUP($A362,content_factors_backup!$A$2:$Q$468,I$525,FALSE())</f>
        <v>86</v>
      </c>
      <c r="J362" s="0" t="e">
        <f aca="false">VLOOKUP($A362,content_factors_backup!$A$2:$Q$468,J$525,FALSE())</f>
        <v>#N/A</v>
      </c>
      <c r="K362" s="0" t="e">
        <f aca="false">VLOOKUP($A362,content_factors_backup!$A$2:$Q$468,K$525,FALSE())</f>
        <v>#N/A</v>
      </c>
      <c r="L362" s="0" t="e">
        <f aca="false">VLOOKUP($A362,content_factors_backup!$A$2:$Q$468,L$525,FALSE())</f>
        <v>#N/A</v>
      </c>
      <c r="M362" s="0" t="e">
        <f aca="false">VLOOKUP($A362,content_factors_backup!$A$2:$Q$468,M$525,FALSE())</f>
        <v>#N/A</v>
      </c>
      <c r="N362" s="0" t="e">
        <f aca="false">VLOOKUP($A362,content_factors_backup!$A$2:$Q$468,N$525,FALSE())</f>
        <v>#N/A</v>
      </c>
      <c r="O362" s="0" t="e">
        <f aca="false">VLOOKUP($A362,content_factors_backup!$A$2:$Q$468,O$525,FALSE())</f>
        <v>#N/A</v>
      </c>
      <c r="P362" s="0" t="e">
        <f aca="false">VLOOKUP($A362,content_factors_backup!$A$2:$Q$468,P$525,FALSE())</f>
        <v>#N/A</v>
      </c>
      <c r="Q362" s="0" t="e">
        <f aca="false">VLOOKUP($A362,content_factors_backup!$A$2:$Q$468,Q$525,FALSE())</f>
        <v>#N/A</v>
      </c>
      <c r="R362" s="0" t="e">
        <f aca="false">VLOOKUP($A362,content_factors_backup!$A$2:$Q$468,R$525,FALSE())</f>
        <v>#N/A</v>
      </c>
      <c r="S362" s="0" t="e">
        <f aca="false">VLOOKUP($A362,content_factors_backup!$A$2:$Q$468,S$525,FALSE())</f>
        <v>#N/A</v>
      </c>
      <c r="T362" s="0" t="e">
        <f aca="false">VLOOKUP($A362,content_factors_backup!$A$2:$Q$468,T$525,FALSE())</f>
        <v>#N/A</v>
      </c>
      <c r="U362" s="0" t="e">
        <f aca="false">VLOOKUP($A362,content_factors_backup!$A$2:$Q$468,U$525,FALSE())</f>
        <v>#N/A</v>
      </c>
      <c r="V362" s="0" t="e">
        <f aca="false">VLOOKUP($A362,content_factors_backup!$A$2:$Q$468,V$525,FALSE())</f>
        <v>#N/A</v>
      </c>
      <c r="W362" s="0" t="e">
        <f aca="false">VLOOKUP($A362,content_factors_backup!$A$2:$Q$468,W$525,FALSE())</f>
        <v>#N/A</v>
      </c>
    </row>
    <row r="363" customFormat="false" ht="14.25" hidden="false" customHeight="false" outlineLevel="0" collapsed="false">
      <c r="A363" s="0" t="n">
        <v>862</v>
      </c>
      <c r="B363" s="0" t="s">
        <v>845</v>
      </c>
      <c r="C363" s="0" t="s">
        <v>846</v>
      </c>
      <c r="E363" s="0" t="n">
        <v>121410</v>
      </c>
      <c r="F363" s="0" t="n">
        <v>121410</v>
      </c>
      <c r="G363" s="0" t="n">
        <v>23320</v>
      </c>
      <c r="I363" s="0" t="n">
        <f aca="false">VLOOKUP($A363,content_factors_backup!$A$2:$Q$468,I$525,FALSE())</f>
        <v>90</v>
      </c>
      <c r="J363" s="0" t="e">
        <f aca="false">VLOOKUP($A363,content_factors_backup!$A$2:$Q$468,J$525,FALSE())</f>
        <v>#N/A</v>
      </c>
      <c r="K363" s="0" t="e">
        <f aca="false">VLOOKUP($A363,content_factors_backup!$A$2:$Q$468,K$525,FALSE())</f>
        <v>#N/A</v>
      </c>
      <c r="L363" s="0" t="e">
        <f aca="false">VLOOKUP($A363,content_factors_backup!$A$2:$Q$468,L$525,FALSE())</f>
        <v>#N/A</v>
      </c>
      <c r="M363" s="0" t="e">
        <f aca="false">VLOOKUP($A363,content_factors_backup!$A$2:$Q$468,M$525,FALSE())</f>
        <v>#N/A</v>
      </c>
      <c r="N363" s="0" t="e">
        <f aca="false">VLOOKUP($A363,content_factors_backup!$A$2:$Q$468,N$525,FALSE())</f>
        <v>#N/A</v>
      </c>
      <c r="O363" s="0" t="e">
        <f aca="false">VLOOKUP($A363,content_factors_backup!$A$2:$Q$468,O$525,FALSE())</f>
        <v>#N/A</v>
      </c>
      <c r="P363" s="0" t="e">
        <f aca="false">VLOOKUP($A363,content_factors_backup!$A$2:$Q$468,P$525,FALSE())</f>
        <v>#N/A</v>
      </c>
      <c r="Q363" s="0" t="e">
        <f aca="false">VLOOKUP($A363,content_factors_backup!$A$2:$Q$468,Q$525,FALSE())</f>
        <v>#N/A</v>
      </c>
      <c r="R363" s="0" t="e">
        <f aca="false">VLOOKUP($A363,content_factors_backup!$A$2:$Q$468,R$525,FALSE())</f>
        <v>#N/A</v>
      </c>
      <c r="S363" s="0" t="e">
        <f aca="false">VLOOKUP($A363,content_factors_backup!$A$2:$Q$468,S$525,FALSE())</f>
        <v>#N/A</v>
      </c>
      <c r="T363" s="0" t="e">
        <f aca="false">VLOOKUP($A363,content_factors_backup!$A$2:$Q$468,T$525,FALSE())</f>
        <v>#N/A</v>
      </c>
      <c r="U363" s="0" t="e">
        <f aca="false">VLOOKUP($A363,content_factors_backup!$A$2:$Q$468,U$525,FALSE())</f>
        <v>#N/A</v>
      </c>
      <c r="V363" s="0" t="e">
        <f aca="false">VLOOKUP($A363,content_factors_backup!$A$2:$Q$468,V$525,FALSE())</f>
        <v>#N/A</v>
      </c>
      <c r="W363" s="0" t="e">
        <f aca="false">VLOOKUP($A363,content_factors_backup!$A$2:$Q$468,W$525,FALSE())</f>
        <v>#N/A</v>
      </c>
    </row>
    <row r="364" customFormat="false" ht="14.25" hidden="false" customHeight="false" outlineLevel="0" collapsed="false">
      <c r="A364" s="0" t="n">
        <v>866</v>
      </c>
      <c r="B364" s="0" t="s">
        <v>847</v>
      </c>
      <c r="C364" s="0" t="s">
        <v>848</v>
      </c>
      <c r="E364" s="0" t="s">
        <v>849</v>
      </c>
      <c r="F364" s="0" t="s">
        <v>850</v>
      </c>
      <c r="G364" s="0" t="n">
        <v>2111</v>
      </c>
      <c r="I364" s="0" t="n">
        <f aca="false">VLOOKUP($A364,content_factors_backup!$A$2:$Q$468,I$525,FALSE())</f>
        <v>0</v>
      </c>
      <c r="J364" s="0" t="e">
        <f aca="false">VLOOKUP($A364,content_factors_backup!$A$2:$Q$468,J$525,FALSE())</f>
        <v>#N/A</v>
      </c>
      <c r="K364" s="0" t="e">
        <f aca="false">VLOOKUP($A364,content_factors_backup!$A$2:$Q$468,K$525,FALSE())</f>
        <v>#N/A</v>
      </c>
      <c r="L364" s="0" t="e">
        <f aca="false">VLOOKUP($A364,content_factors_backup!$A$2:$Q$468,L$525,FALSE())</f>
        <v>#N/A</v>
      </c>
      <c r="M364" s="0" t="e">
        <f aca="false">VLOOKUP($A364,content_factors_backup!$A$2:$Q$468,M$525,FALSE())</f>
        <v>#N/A</v>
      </c>
      <c r="N364" s="0" t="e">
        <f aca="false">VLOOKUP($A364,content_factors_backup!$A$2:$Q$468,N$525,FALSE())</f>
        <v>#N/A</v>
      </c>
      <c r="O364" s="0" t="e">
        <f aca="false">VLOOKUP($A364,content_factors_backup!$A$2:$Q$468,O$525,FALSE())</f>
        <v>#N/A</v>
      </c>
      <c r="P364" s="0" t="e">
        <f aca="false">VLOOKUP($A364,content_factors_backup!$A$2:$Q$468,P$525,FALSE())</f>
        <v>#N/A</v>
      </c>
      <c r="Q364" s="0" t="e">
        <f aca="false">VLOOKUP($A364,content_factors_backup!$A$2:$Q$468,Q$525,FALSE())</f>
        <v>#N/A</v>
      </c>
      <c r="R364" s="0" t="e">
        <f aca="false">VLOOKUP($A364,content_factors_backup!$A$2:$Q$468,R$525,FALSE())</f>
        <v>#N/A</v>
      </c>
      <c r="S364" s="0" t="e">
        <f aca="false">VLOOKUP($A364,content_factors_backup!$A$2:$Q$468,S$525,FALSE())</f>
        <v>#N/A</v>
      </c>
      <c r="T364" s="0" t="e">
        <f aca="false">VLOOKUP($A364,content_factors_backup!$A$2:$Q$468,T$525,FALSE())</f>
        <v>#N/A</v>
      </c>
      <c r="U364" s="0" t="e">
        <f aca="false">VLOOKUP($A364,content_factors_backup!$A$2:$Q$468,U$525,FALSE())</f>
        <v>#N/A</v>
      </c>
      <c r="V364" s="0" t="e">
        <f aca="false">VLOOKUP($A364,content_factors_backup!$A$2:$Q$468,V$525,FALSE())</f>
        <v>#N/A</v>
      </c>
      <c r="W364" s="0" t="e">
        <f aca="false">VLOOKUP($A364,content_factors_backup!$A$2:$Q$468,W$525,FALSE())</f>
        <v>#N/A</v>
      </c>
    </row>
    <row r="365" customFormat="false" ht="14.25" hidden="false" customHeight="false" outlineLevel="0" collapsed="false">
      <c r="A365" s="0" t="n">
        <v>867</v>
      </c>
      <c r="B365" s="0" t="s">
        <v>851</v>
      </c>
      <c r="C365" s="0" t="s">
        <v>852</v>
      </c>
      <c r="E365" s="0" t="s">
        <v>853</v>
      </c>
      <c r="F365" s="0" t="s">
        <v>853</v>
      </c>
      <c r="G365" s="0" t="n">
        <v>21111.01</v>
      </c>
      <c r="I365" s="0" t="n">
        <f aca="false">VLOOKUP($A365,content_factors_backup!$A$2:$Q$468,I$525,FALSE())</f>
        <v>45</v>
      </c>
      <c r="J365" s="0" t="n">
        <f aca="false">VLOOKUP($A365,content_factors_backup!$A$2:$Q$468,J$525,FALSE())</f>
        <v>130.85</v>
      </c>
      <c r="K365" s="0" t="n">
        <f aca="false">VLOOKUP($A365,content_factors_backup!$A$2:$Q$468,K$525,FALSE())</f>
        <v>20</v>
      </c>
      <c r="L365" s="0" t="n">
        <f aca="false">VLOOKUP($A365,content_factors_backup!$A$2:$Q$468,L$525,FALSE())</f>
        <v>0</v>
      </c>
      <c r="M365" s="0" t="n">
        <f aca="false">VLOOKUP($A365,content_factors_backup!$A$2:$Q$468,M$525,FALSE())</f>
        <v>4.295</v>
      </c>
      <c r="N365" s="0" t="n">
        <f aca="false">VLOOKUP($A365,content_factors_backup!$A$2:$Q$468,N$525,FALSE())</f>
        <v>2.45</v>
      </c>
      <c r="O365" s="0" t="n">
        <f aca="false">VLOOKUP($A365,content_factors_backup!$A$2:$Q$468,O$525,FALSE())</f>
        <v>8</v>
      </c>
      <c r="P365" s="0" t="n">
        <f aca="false">VLOOKUP($A365,content_factors_backup!$A$2:$Q$468,P$525,FALSE())</f>
        <v>7</v>
      </c>
      <c r="Q365" s="0" t="n">
        <f aca="false">VLOOKUP($A365,content_factors_backup!$A$2:$Q$468,Q$525,FALSE())</f>
        <v>0.18</v>
      </c>
      <c r="R365" s="0" t="n">
        <f aca="false">VLOOKUP($A365,content_factors_backup!$A$2:$Q$468,R$525,FALSE())</f>
        <v>0</v>
      </c>
      <c r="S365" s="0" t="n">
        <f aca="false">VLOOKUP($A365,content_factors_backup!$A$2:$Q$468,S$525,FALSE())</f>
        <v>325</v>
      </c>
      <c r="T365" s="0" t="n">
        <f aca="false">VLOOKUP($A365,content_factors_backup!$A$2:$Q$468,T$525,FALSE())</f>
        <v>0.268147031084254</v>
      </c>
      <c r="U365" s="0" t="n">
        <f aca="false">VLOOKUP($A365,content_factors_backup!$A$2:$Q$468,U$525,FALSE())</f>
        <v>1.5969321383876</v>
      </c>
      <c r="V365" s="0" t="n">
        <f aca="false">VLOOKUP($A365,content_factors_backup!$A$2:$Q$468,V$525,FALSE())</f>
        <v>1.06374802268471</v>
      </c>
      <c r="W365" s="0" t="n">
        <f aca="false">VLOOKUP($A365,content_factors_backup!$A$2:$Q$468,W$525,FALSE())</f>
        <v>0</v>
      </c>
    </row>
    <row r="366" customFormat="false" ht="14.25" hidden="false" customHeight="false" outlineLevel="0" collapsed="false">
      <c r="A366" s="0" t="n">
        <v>868</v>
      </c>
      <c r="B366" s="0" t="s">
        <v>854</v>
      </c>
      <c r="C366" s="0" t="s">
        <v>855</v>
      </c>
      <c r="E366" s="0" t="s">
        <v>856</v>
      </c>
      <c r="F366" s="0" t="s">
        <v>856</v>
      </c>
      <c r="G366" s="0" t="n">
        <v>21151</v>
      </c>
      <c r="I366" s="0" t="n">
        <f aca="false">VLOOKUP($A366,content_factors_backup!$A$2:$Q$468,I$525,FALSE())</f>
        <v>50</v>
      </c>
      <c r="J366" s="0" t="n">
        <f aca="false">VLOOKUP($A366,content_factors_backup!$A$2:$Q$468,J$525,FALSE())</f>
        <v>133.25</v>
      </c>
      <c r="K366" s="0" t="n">
        <f aca="false">VLOOKUP($A366,content_factors_backup!$A$2:$Q$468,K$525,FALSE())</f>
        <v>15.85</v>
      </c>
      <c r="L366" s="0" t="n">
        <f aca="false">VLOOKUP($A366,content_factors_backup!$A$2:$Q$468,L$525,FALSE())</f>
        <v>0</v>
      </c>
      <c r="M366" s="0" t="n">
        <f aca="false">VLOOKUP($A366,content_factors_backup!$A$2:$Q$468,M$525,FALSE())</f>
        <v>2.395</v>
      </c>
      <c r="N366" s="0" t="n">
        <f aca="false">VLOOKUP($A366,content_factors_backup!$A$2:$Q$468,N$525,FALSE())</f>
        <v>4.7</v>
      </c>
      <c r="O366" s="0" t="n">
        <f aca="false">VLOOKUP($A366,content_factors_backup!$A$2:$Q$468,O$525,FALSE())</f>
        <v>9</v>
      </c>
      <c r="P366" s="0" t="n">
        <f aca="false">VLOOKUP($A366,content_factors_backup!$A$2:$Q$468,P$525,FALSE())</f>
        <v>5</v>
      </c>
      <c r="Q366" s="0" t="n">
        <f aca="false">VLOOKUP($A366,content_factors_backup!$A$2:$Q$468,Q$525,FALSE())</f>
        <v>0.37</v>
      </c>
      <c r="R366" s="0" t="n">
        <f aca="false">VLOOKUP($A366,content_factors_backup!$A$2:$Q$468,R$525,FALSE())</f>
        <v>264.05</v>
      </c>
      <c r="S366" s="0" t="n">
        <f aca="false">VLOOKUP($A366,content_factors_backup!$A$2:$Q$468,S$525,FALSE())</f>
        <v>275</v>
      </c>
      <c r="T366" s="0" t="n">
        <f aca="false">VLOOKUP($A366,content_factors_backup!$A$2:$Q$468,T$525,FALSE())</f>
        <v>0.51</v>
      </c>
      <c r="U366" s="0" t="n">
        <f aca="false">VLOOKUP($A366,content_factors_backup!$A$2:$Q$468,U$525,FALSE())</f>
        <v>49.04</v>
      </c>
      <c r="V366" s="0" t="n">
        <f aca="false">VLOOKUP($A366,content_factors_backup!$A$2:$Q$468,V$525,FALSE())</f>
        <v>3.3</v>
      </c>
      <c r="W366" s="0" t="n">
        <f aca="false">VLOOKUP($A366,content_factors_backup!$A$2:$Q$468,W$525,FALSE())</f>
        <v>30</v>
      </c>
    </row>
    <row r="367" customFormat="false" ht="14.25" hidden="false" customHeight="false" outlineLevel="0" collapsed="false">
      <c r="A367" s="0" t="n">
        <v>869</v>
      </c>
      <c r="B367" s="0" t="s">
        <v>857</v>
      </c>
      <c r="C367" s="0" t="s">
        <v>858</v>
      </c>
      <c r="E367" s="0" t="n">
        <v>150200</v>
      </c>
      <c r="F367" s="0" t="n">
        <v>150290</v>
      </c>
      <c r="G367" s="0" t="n">
        <v>21512</v>
      </c>
      <c r="I367" s="0" t="n">
        <f aca="false">VLOOKUP($A367,content_factors_backup!$A$2:$Q$468,I$525,FALSE())</f>
        <v>100</v>
      </c>
      <c r="J367" s="0" t="n">
        <f aca="false">VLOOKUP($A367,content_factors_backup!$A$2:$Q$468,J$525,FALSE())</f>
        <v>899.1</v>
      </c>
      <c r="K367" s="0" t="n">
        <f aca="false">VLOOKUP($A367,content_factors_backup!$A$2:$Q$468,K$525,FALSE())</f>
        <v>0</v>
      </c>
      <c r="L367" s="0" t="n">
        <f aca="false">VLOOKUP($A367,content_factors_backup!$A$2:$Q$468,L$525,FALSE())</f>
        <v>0</v>
      </c>
      <c r="M367" s="0" t="n">
        <f aca="false">VLOOKUP($A367,content_factors_backup!$A$2:$Q$468,M$525,FALSE())</f>
        <v>0</v>
      </c>
      <c r="N367" s="0" t="n">
        <f aca="false">VLOOKUP($A367,content_factors_backup!$A$2:$Q$468,N$525,FALSE())</f>
        <v>0</v>
      </c>
      <c r="O367" s="0" t="n">
        <f aca="false">VLOOKUP($A367,content_factors_backup!$A$2:$Q$468,O$525,FALSE())</f>
        <v>0</v>
      </c>
      <c r="P367" s="0" t="n">
        <f aca="false">VLOOKUP($A367,content_factors_backup!$A$2:$Q$468,P$525,FALSE())</f>
        <v>0</v>
      </c>
      <c r="Q367" s="0" t="n">
        <f aca="false">VLOOKUP($A367,content_factors_backup!$A$2:$Q$468,Q$525,FALSE())</f>
        <v>0</v>
      </c>
      <c r="R367" s="0" t="n">
        <f aca="false">VLOOKUP($A367,content_factors_backup!$A$2:$Q$468,R$525,FALSE())</f>
        <v>79.8</v>
      </c>
      <c r="S367" s="0" t="n">
        <f aca="false">VLOOKUP($A367,content_factors_backup!$A$2:$Q$468,S$525,FALSE())</f>
        <v>0</v>
      </c>
      <c r="T367" s="0" t="n">
        <f aca="false">VLOOKUP($A367,content_factors_backup!$A$2:$Q$468,T$525,FALSE())</f>
        <v>2.58254523416268</v>
      </c>
      <c r="U367" s="0" t="n">
        <f aca="false">VLOOKUP($A367,content_factors_backup!$A$2:$Q$468,U$525,FALSE())</f>
        <v>0</v>
      </c>
      <c r="V367" s="0" t="n">
        <f aca="false">VLOOKUP($A367,content_factors_backup!$A$2:$Q$468,V$525,FALSE())</f>
        <v>0</v>
      </c>
      <c r="W367" s="0" t="n">
        <f aca="false">VLOOKUP($A367,content_factors_backup!$A$2:$Q$468,W$525,FALSE())</f>
        <v>0</v>
      </c>
    </row>
    <row r="368" customFormat="false" ht="14.25" hidden="false" customHeight="false" outlineLevel="0" collapsed="false">
      <c r="A368" s="0" t="n">
        <v>870</v>
      </c>
      <c r="B368" s="0" t="s">
        <v>859</v>
      </c>
      <c r="C368" s="0" t="s">
        <v>860</v>
      </c>
      <c r="E368" s="0" t="s">
        <v>861</v>
      </c>
      <c r="F368" s="0" t="s">
        <v>861</v>
      </c>
      <c r="G368" s="0" t="n">
        <v>21111.02</v>
      </c>
      <c r="I368" s="0" t="n">
        <f aca="false">VLOOKUP($A368,content_factors_backup!$A$2:$Q$468,I$525,FALSE())</f>
        <v>45</v>
      </c>
      <c r="J368" s="0" t="n">
        <f aca="false">VLOOKUP($A368,content_factors_backup!$A$2:$Q$468,J$525,FALSE())</f>
        <v>173</v>
      </c>
      <c r="K368" s="0" t="n">
        <f aca="false">VLOOKUP($A368,content_factors_backup!$A$2:$Q$468,K$525,FALSE())</f>
        <v>22.24</v>
      </c>
      <c r="L368" s="0" t="n">
        <f aca="false">VLOOKUP($A368,content_factors_backup!$A$2:$Q$468,L$525,FALSE())</f>
        <v>0</v>
      </c>
      <c r="M368" s="0" t="n">
        <f aca="false">VLOOKUP($A368,content_factors_backup!$A$2:$Q$468,M$525,FALSE())</f>
        <v>2.8</v>
      </c>
      <c r="N368" s="0" t="n">
        <f aca="false">VLOOKUP($A368,content_factors_backup!$A$2:$Q$468,N$525,FALSE())</f>
        <v>2.04</v>
      </c>
      <c r="O368" s="0" t="n">
        <f aca="false">VLOOKUP($A368,content_factors_backup!$A$2:$Q$468,O$525,FALSE())</f>
        <v>3</v>
      </c>
      <c r="P368" s="0" t="n">
        <f aca="false">VLOOKUP($A368,content_factors_backup!$A$2:$Q$468,P$525,FALSE())</f>
        <v>9</v>
      </c>
      <c r="Q368" s="0" t="n">
        <f aca="false">VLOOKUP($A368,content_factors_backup!$A$2:$Q$468,Q$525,FALSE())</f>
        <v>0.18</v>
      </c>
      <c r="R368" s="0" t="n">
        <f aca="false">VLOOKUP($A368,content_factors_backup!$A$2:$Q$468,R$525,FALSE())</f>
        <v>92.9</v>
      </c>
      <c r="S368" s="0" t="n">
        <f aca="false">VLOOKUP($A368,content_factors_backup!$A$2:$Q$468,S$525,FALSE())</f>
        <v>371</v>
      </c>
      <c r="T368" s="0" t="n">
        <f aca="false">VLOOKUP($A368,content_factors_backup!$A$2:$Q$468,T$525,FALSE())</f>
        <v>0</v>
      </c>
      <c r="U368" s="0" t="n">
        <f aca="false">VLOOKUP($A368,content_factors_backup!$A$2:$Q$468,U$525,FALSE())</f>
        <v>2.79</v>
      </c>
      <c r="V368" s="0" t="n">
        <f aca="false">VLOOKUP($A368,content_factors_backup!$A$2:$Q$468,V$525,FALSE())</f>
        <v>0</v>
      </c>
      <c r="W368" s="0" t="n">
        <f aca="false">VLOOKUP($A368,content_factors_backup!$A$2:$Q$468,W$525,FALSE())</f>
        <v>0</v>
      </c>
    </row>
    <row r="369" customFormat="false" ht="14.25" hidden="false" customHeight="false" outlineLevel="0" collapsed="false">
      <c r="A369" s="0" t="n">
        <v>874</v>
      </c>
      <c r="B369" s="0" t="s">
        <v>862</v>
      </c>
      <c r="C369" s="0" t="s">
        <v>863</v>
      </c>
      <c r="E369" s="0" t="n">
        <v>160100</v>
      </c>
      <c r="F369" s="0" t="n">
        <v>160100</v>
      </c>
      <c r="G369" s="0" t="n">
        <v>21184.01</v>
      </c>
      <c r="I369" s="0" t="n">
        <f aca="false">VLOOKUP($A369,content_factors_backup!$A$2:$Q$468,I$525,FALSE())</f>
        <v>50</v>
      </c>
      <c r="J369" s="0" t="n">
        <f aca="false">VLOOKUP($A369,content_factors_backup!$A$2:$Q$468,J$525,FALSE())</f>
        <v>312</v>
      </c>
      <c r="K369" s="0" t="n">
        <f aca="false">VLOOKUP($A369,content_factors_backup!$A$2:$Q$468,K$525,FALSE())</f>
        <v>14.11</v>
      </c>
      <c r="L369" s="0" t="n">
        <f aca="false">VLOOKUP($A369,content_factors_backup!$A$2:$Q$468,L$525,FALSE())</f>
        <v>0</v>
      </c>
      <c r="M369" s="0" t="n">
        <f aca="false">VLOOKUP($A369,content_factors_backup!$A$2:$Q$468,M$525,FALSE())</f>
        <v>2.8</v>
      </c>
      <c r="N369" s="0" t="n">
        <f aca="false">VLOOKUP($A369,content_factors_backup!$A$2:$Q$468,N$525,FALSE())</f>
        <v>1.76</v>
      </c>
      <c r="O369" s="0" t="n">
        <f aca="false">VLOOKUP($A369,content_factors_backup!$A$2:$Q$468,O$525,FALSE())</f>
        <v>7</v>
      </c>
      <c r="P369" s="0" t="n">
        <f aca="false">VLOOKUP($A369,content_factors_backup!$A$2:$Q$468,P$525,FALSE())</f>
        <v>4</v>
      </c>
      <c r="Q369" s="0" t="n">
        <f aca="false">VLOOKUP($A369,content_factors_backup!$A$2:$Q$468,Q$525,FALSE())</f>
        <v>0.14</v>
      </c>
      <c r="R369" s="0" t="n">
        <f aca="false">VLOOKUP($A369,content_factors_backup!$A$2:$Q$468,R$525,FALSE())</f>
        <v>0</v>
      </c>
      <c r="S369" s="0" t="n">
        <f aca="false">VLOOKUP($A369,content_factors_backup!$A$2:$Q$468,S$525,FALSE())</f>
        <v>176</v>
      </c>
      <c r="T369" s="0" t="n">
        <f aca="false">VLOOKUP($A369,content_factors_backup!$A$2:$Q$468,T$525,FALSE())</f>
        <v>0</v>
      </c>
      <c r="U369" s="0" t="n">
        <f aca="false">VLOOKUP($A369,content_factors_backup!$A$2:$Q$468,U$525,FALSE())</f>
        <v>1.86</v>
      </c>
      <c r="V369" s="0" t="n">
        <f aca="false">VLOOKUP($A369,content_factors_backup!$A$2:$Q$468,V$525,FALSE())</f>
        <v>0</v>
      </c>
      <c r="W369" s="0" t="n">
        <f aca="false">VLOOKUP($A369,content_factors_backup!$A$2:$Q$468,W$525,FALSE())</f>
        <v>0</v>
      </c>
    </row>
    <row r="370" customFormat="false" ht="14.25" hidden="false" customHeight="false" outlineLevel="0" collapsed="false">
      <c r="A370" s="0" t="n">
        <v>875</v>
      </c>
      <c r="B370" s="0" t="s">
        <v>864</v>
      </c>
      <c r="C370" s="0" t="s">
        <v>865</v>
      </c>
      <c r="E370" s="0" t="n">
        <v>160250</v>
      </c>
      <c r="F370" s="0" t="n">
        <v>160250</v>
      </c>
      <c r="G370" s="0" t="s">
        <v>866</v>
      </c>
      <c r="I370" s="0" t="n">
        <f aca="false">VLOOKUP($A370,content_factors_backup!$A$2:$Q$468,I$525,FALSE())</f>
        <v>50</v>
      </c>
      <c r="J370" s="0" t="n">
        <f aca="false">VLOOKUP($A370,content_factors_backup!$A$2:$Q$468,J$525,FALSE())</f>
        <v>295</v>
      </c>
      <c r="K370" s="0" t="n">
        <f aca="false">VLOOKUP($A370,content_factors_backup!$A$2:$Q$468,K$525,FALSE())</f>
        <v>23.05</v>
      </c>
      <c r="L370" s="0" t="n">
        <f aca="false">VLOOKUP($A370,content_factors_backup!$A$2:$Q$468,L$525,FALSE())</f>
        <v>0</v>
      </c>
      <c r="M370" s="0" t="n">
        <f aca="false">VLOOKUP($A370,content_factors_backup!$A$2:$Q$468,M$525,FALSE())</f>
        <v>4.84</v>
      </c>
      <c r="N370" s="0" t="n">
        <f aca="false">VLOOKUP($A370,content_factors_backup!$A$2:$Q$468,N$525,FALSE())</f>
        <v>2.42</v>
      </c>
      <c r="O370" s="0" t="n">
        <f aca="false">VLOOKUP($A370,content_factors_backup!$A$2:$Q$468,O$525,FALSE())</f>
        <v>11</v>
      </c>
      <c r="P370" s="0" t="n">
        <f aca="false">VLOOKUP($A370,content_factors_backup!$A$2:$Q$468,P$525,FALSE())</f>
        <v>21</v>
      </c>
      <c r="Q370" s="0" t="n">
        <f aca="false">VLOOKUP($A370,content_factors_backup!$A$2:$Q$468,Q$525,FALSE())</f>
        <v>0.176</v>
      </c>
      <c r="R370" s="0" t="n">
        <f aca="false">VLOOKUP($A370,content_factors_backup!$A$2:$Q$468,R$525,FALSE())</f>
        <v>74.6</v>
      </c>
      <c r="S370" s="0" t="n">
        <f aca="false">VLOOKUP($A370,content_factors_backup!$A$2:$Q$468,S$525,FALSE())</f>
        <v>305</v>
      </c>
      <c r="T370" s="0" t="n">
        <f aca="false">VLOOKUP($A370,content_factors_backup!$A$2:$Q$468,T$525,FALSE())</f>
        <v>0</v>
      </c>
      <c r="U370" s="0" t="n">
        <f aca="false">VLOOKUP($A370,content_factors_backup!$A$2:$Q$468,U$525,FALSE())</f>
        <v>2.65</v>
      </c>
      <c r="V370" s="0" t="n">
        <f aca="false">VLOOKUP($A370,content_factors_backup!$A$2:$Q$468,V$525,FALSE())</f>
        <v>2.3</v>
      </c>
      <c r="W370" s="0" t="n">
        <f aca="false">VLOOKUP($A370,content_factors_backup!$A$2:$Q$468,W$525,FALSE())</f>
        <v>0</v>
      </c>
    </row>
    <row r="371" customFormat="false" ht="14.25" hidden="false" customHeight="false" outlineLevel="0" collapsed="false">
      <c r="A371" s="0" t="n">
        <v>882</v>
      </c>
      <c r="B371" s="0" t="s">
        <v>867</v>
      </c>
      <c r="C371" s="0" t="s">
        <v>868</v>
      </c>
      <c r="E371" s="0" t="s">
        <v>869</v>
      </c>
      <c r="F371" s="0" t="s">
        <v>870</v>
      </c>
      <c r="G371" s="0" t="n">
        <v>2211</v>
      </c>
      <c r="I371" s="0" t="n">
        <f aca="false">VLOOKUP($A371,content_factors_backup!$A$2:$Q$468,I$525,FALSE())</f>
        <v>13</v>
      </c>
      <c r="J371" s="0" t="n">
        <f aca="false">VLOOKUP($A371,content_factors_backup!$A$2:$Q$468,J$525,FALSE())</f>
        <v>57.1</v>
      </c>
      <c r="K371" s="0" t="n">
        <f aca="false">VLOOKUP($A371,content_factors_backup!$A$2:$Q$468,K$525,FALSE())</f>
        <v>3.25</v>
      </c>
      <c r="L371" s="0" t="n">
        <f aca="false">VLOOKUP($A371,content_factors_backup!$A$2:$Q$468,L$525,FALSE())</f>
        <v>0</v>
      </c>
      <c r="M371" s="0" t="n">
        <f aca="false">VLOOKUP($A371,content_factors_backup!$A$2:$Q$468,M$525,FALSE())</f>
        <v>0.38</v>
      </c>
      <c r="N371" s="0" t="n">
        <f aca="false">VLOOKUP($A371,content_factors_backup!$A$2:$Q$468,N$525,FALSE())</f>
        <v>0.15740988</v>
      </c>
      <c r="O371" s="0" t="n">
        <f aca="false">VLOOKUP($A371,content_factors_backup!$A$2:$Q$468,O$525,FALSE())</f>
        <v>116.5</v>
      </c>
      <c r="P371" s="0" t="n">
        <f aca="false">VLOOKUP($A371,content_factors_backup!$A$2:$Q$468,P$525,FALSE())</f>
        <v>6.5</v>
      </c>
      <c r="Q371" s="0" t="n">
        <f aca="false">VLOOKUP($A371,content_factors_backup!$A$2:$Q$468,Q$525,FALSE())</f>
        <v>0.0548197595</v>
      </c>
      <c r="R371" s="0" t="n">
        <f aca="false">VLOOKUP($A371,content_factors_backup!$A$2:$Q$468,R$525,FALSE())</f>
        <v>7.997106487</v>
      </c>
      <c r="S371" s="0" t="n">
        <f aca="false">VLOOKUP($A371,content_factors_backup!$A$2:$Q$468,S$525,FALSE())</f>
        <v>130</v>
      </c>
      <c r="T371" s="0" t="n">
        <f aca="false">VLOOKUP($A371,content_factors_backup!$A$2:$Q$468,T$525,FALSE())</f>
        <v>0.07</v>
      </c>
      <c r="U371" s="0" t="n">
        <f aca="false">VLOOKUP($A371,content_factors_backup!$A$2:$Q$468,U$525,FALSE())</f>
        <v>0.525</v>
      </c>
      <c r="V371" s="0" t="n">
        <f aca="false">VLOOKUP($A371,content_factors_backup!$A$2:$Q$468,V$525,FALSE())</f>
        <v>0.3</v>
      </c>
      <c r="W371" s="0" t="n">
        <f aca="false">VLOOKUP($A371,content_factors_backup!$A$2:$Q$468,W$525,FALSE())</f>
        <v>32.17623498</v>
      </c>
    </row>
    <row r="372" customFormat="false" ht="14.25" hidden="false" customHeight="false" outlineLevel="0" collapsed="false">
      <c r="A372" s="0" t="n">
        <v>885</v>
      </c>
      <c r="B372" s="0" t="s">
        <v>871</v>
      </c>
      <c r="C372" s="0" t="s">
        <v>872</v>
      </c>
      <c r="E372" s="0" t="s">
        <v>869</v>
      </c>
      <c r="F372" s="0" t="s">
        <v>870</v>
      </c>
      <c r="G372" s="0" t="n">
        <v>22120</v>
      </c>
      <c r="I372" s="0" t="n">
        <f aca="false">VLOOKUP($A372,content_factors_backup!$A$2:$Q$468,I$525,FALSE())</f>
        <v>40</v>
      </c>
      <c r="J372" s="0" t="n">
        <f aca="false">VLOOKUP($A372,content_factors_backup!$A$2:$Q$468,J$525,FALSE())</f>
        <v>288.86</v>
      </c>
      <c r="K372" s="0" t="n">
        <f aca="false">VLOOKUP($A372,content_factors_backup!$A$2:$Q$468,K$525,FALSE())</f>
        <v>2.25</v>
      </c>
      <c r="L372" s="0" t="n">
        <f aca="false">VLOOKUP($A372,content_factors_backup!$A$2:$Q$468,L$525,FALSE())</f>
        <v>0</v>
      </c>
      <c r="M372" s="0" t="n">
        <f aca="false">VLOOKUP($A372,content_factors_backup!$A$2:$Q$468,M$525,FALSE())</f>
        <v>0.23</v>
      </c>
      <c r="N372" s="0" t="n">
        <f aca="false">VLOOKUP($A372,content_factors_backup!$A$2:$Q$468,N$525,FALSE())</f>
        <v>0.1</v>
      </c>
      <c r="O372" s="0" t="n">
        <f aca="false">VLOOKUP($A372,content_factors_backup!$A$2:$Q$468,O$525,FALSE())</f>
        <v>67</v>
      </c>
      <c r="P372" s="0" t="n">
        <f aca="false">VLOOKUP($A372,content_factors_backup!$A$2:$Q$468,P$525,FALSE())</f>
        <v>7.4</v>
      </c>
      <c r="Q372" s="0" t="n">
        <f aca="false">VLOOKUP($A372,content_factors_backup!$A$2:$Q$468,Q$525,FALSE())</f>
        <v>0.14</v>
      </c>
      <c r="R372" s="0" t="n">
        <f aca="false">VLOOKUP($A372,content_factors_backup!$A$2:$Q$468,R$525,FALSE())</f>
        <v>16.8</v>
      </c>
      <c r="S372" s="0" t="n">
        <f aca="false">VLOOKUP($A372,content_factors_backup!$A$2:$Q$468,S$525,FALSE())</f>
        <v>84</v>
      </c>
      <c r="T372" s="0" t="n">
        <f aca="false">VLOOKUP($A372,content_factors_backup!$A$2:$Q$468,T$525,FALSE())</f>
        <v>2.32</v>
      </c>
      <c r="U372" s="0" t="n">
        <f aca="false">VLOOKUP($A372,content_factors_backup!$A$2:$Q$468,U$525,FALSE())</f>
        <v>0.305</v>
      </c>
      <c r="V372" s="0" t="n">
        <f aca="false">VLOOKUP($A372,content_factors_backup!$A$2:$Q$468,V$525,FALSE())</f>
        <v>7</v>
      </c>
      <c r="W372" s="0" t="n">
        <f aca="false">VLOOKUP($A372,content_factors_backup!$A$2:$Q$468,W$525,FALSE())</f>
        <v>297</v>
      </c>
    </row>
    <row r="373" customFormat="false" ht="14.25" hidden="false" customHeight="false" outlineLevel="0" collapsed="false">
      <c r="A373" s="0" t="n">
        <v>886</v>
      </c>
      <c r="B373" s="0" t="s">
        <v>873</v>
      </c>
      <c r="C373" s="0" t="s">
        <v>874</v>
      </c>
      <c r="E373" s="0" t="s">
        <v>875</v>
      </c>
      <c r="F373" s="0" t="s">
        <v>875</v>
      </c>
      <c r="G373" s="0" t="n">
        <v>22241.01</v>
      </c>
      <c r="I373" s="0" t="n">
        <f aca="false">VLOOKUP($A373,content_factors_backup!$A$2:$Q$468,I$525,FALSE())</f>
        <v>84.5</v>
      </c>
      <c r="J373" s="0" t="n">
        <f aca="false">VLOOKUP($A373,content_factors_backup!$A$2:$Q$468,J$525,FALSE())</f>
        <v>743.75</v>
      </c>
      <c r="K373" s="0" t="n">
        <f aca="false">VLOOKUP($A373,content_factors_backup!$A$2:$Q$468,K$525,FALSE())</f>
        <v>0.825</v>
      </c>
      <c r="L373" s="0" t="n">
        <f aca="false">VLOOKUP($A373,content_factors_backup!$A$2:$Q$468,L$525,FALSE())</f>
        <v>0</v>
      </c>
      <c r="M373" s="0" t="n">
        <f aca="false">VLOOKUP($A373,content_factors_backup!$A$2:$Q$468,M$525,FALSE())</f>
        <v>0.1</v>
      </c>
      <c r="N373" s="0" t="n">
        <f aca="false">VLOOKUP($A373,content_factors_backup!$A$2:$Q$468,N$525,FALSE())</f>
        <v>0.2</v>
      </c>
      <c r="O373" s="0" t="n">
        <f aca="false">VLOOKUP($A373,content_factors_backup!$A$2:$Q$468,O$525,FALSE())</f>
        <v>22</v>
      </c>
      <c r="P373" s="0" t="n">
        <f aca="false">VLOOKUP($A373,content_factors_backup!$A$2:$Q$468,P$525,FALSE())</f>
        <v>3</v>
      </c>
      <c r="Q373" s="0" t="n">
        <f aca="false">VLOOKUP($A373,content_factors_backup!$A$2:$Q$468,Q$525,FALSE())</f>
        <v>0.032</v>
      </c>
      <c r="R373" s="0" t="n">
        <f aca="false">VLOOKUP($A373,content_factors_backup!$A$2:$Q$468,R$525,FALSE())</f>
        <v>18.8</v>
      </c>
      <c r="S373" s="0" t="n">
        <f aca="false">VLOOKUP($A373,content_factors_backup!$A$2:$Q$468,S$525,FALSE())</f>
        <v>17</v>
      </c>
      <c r="T373" s="0" t="n">
        <f aca="false">VLOOKUP($A373,content_factors_backup!$A$2:$Q$468,T$525,FALSE())</f>
        <v>2.32</v>
      </c>
      <c r="U373" s="0" t="n">
        <f aca="false">VLOOKUP($A373,content_factors_backup!$A$2:$Q$468,U$525,FALSE())</f>
        <v>0.135</v>
      </c>
      <c r="V373" s="0" t="n">
        <f aca="false">VLOOKUP($A373,content_factors_backup!$A$2:$Q$468,V$525,FALSE())</f>
        <v>7</v>
      </c>
      <c r="W373" s="0" t="n">
        <f aca="false">VLOOKUP($A373,content_factors_backup!$A$2:$Q$468,W$525,FALSE())</f>
        <v>685</v>
      </c>
    </row>
    <row r="374" customFormat="false" ht="14.25" hidden="false" customHeight="false" outlineLevel="0" collapsed="false">
      <c r="A374" s="0" t="n">
        <v>888</v>
      </c>
      <c r="B374" s="0" t="s">
        <v>876</v>
      </c>
      <c r="C374" s="0" t="s">
        <v>877</v>
      </c>
      <c r="E374" s="0" t="s">
        <v>878</v>
      </c>
      <c r="F374" s="0" t="s">
        <v>878</v>
      </c>
      <c r="G374" s="0" t="n">
        <v>22110.02</v>
      </c>
      <c r="I374" s="0" t="n">
        <f aca="false">VLOOKUP($A374,content_factors_backup!$A$2:$Q$468,I$525,FALSE())</f>
        <v>10</v>
      </c>
      <c r="J374" s="0" t="n">
        <f aca="false">VLOOKUP($A374,content_factors_backup!$A$2:$Q$468,J$525,FALSE())</f>
        <v>34</v>
      </c>
      <c r="K374" s="0" t="n">
        <f aca="false">VLOOKUP($A374,content_factors_backup!$A$2:$Q$468,K$525,FALSE())</f>
        <v>3.37</v>
      </c>
      <c r="L374" s="0" t="n">
        <f aca="false">VLOOKUP($A374,content_factors_backup!$A$2:$Q$468,L$525,FALSE())</f>
        <v>0</v>
      </c>
      <c r="M374" s="0" t="n">
        <f aca="false">VLOOKUP($A374,content_factors_backup!$A$2:$Q$468,M$525,FALSE())</f>
        <v>0.42</v>
      </c>
      <c r="N374" s="0" t="n">
        <f aca="false">VLOOKUP($A374,content_factors_backup!$A$2:$Q$468,N$525,FALSE())</f>
        <v>0.03</v>
      </c>
      <c r="O374" s="0" t="n">
        <f aca="false">VLOOKUP($A374,content_factors_backup!$A$2:$Q$468,O$525,FALSE())</f>
        <v>122</v>
      </c>
      <c r="P374" s="0" t="n">
        <f aca="false">VLOOKUP($A374,content_factors_backup!$A$2:$Q$468,P$525,FALSE())</f>
        <v>5</v>
      </c>
      <c r="Q374" s="0" t="n">
        <f aca="false">VLOOKUP($A374,content_factors_backup!$A$2:$Q$468,Q$525,FALSE())</f>
        <v>0.182</v>
      </c>
      <c r="R374" s="0" t="n">
        <f aca="false">VLOOKUP($A374,content_factors_backup!$A$2:$Q$468,R$525,FALSE())</f>
        <v>15.6</v>
      </c>
      <c r="S374" s="0" t="n">
        <f aca="false">VLOOKUP($A374,content_factors_backup!$A$2:$Q$468,S$525,FALSE())</f>
        <v>156</v>
      </c>
      <c r="T374" s="0" t="n">
        <f aca="false">VLOOKUP($A374,content_factors_backup!$A$2:$Q$468,T$525,FALSE())</f>
        <v>0.01</v>
      </c>
      <c r="U374" s="0" t="n">
        <f aca="false">VLOOKUP($A374,content_factors_backup!$A$2:$Q$468,U$525,FALSE())</f>
        <v>0.5</v>
      </c>
      <c r="V374" s="0" t="n">
        <f aca="false">VLOOKUP($A374,content_factors_backup!$A$2:$Q$468,V$525,FALSE())</f>
        <v>0</v>
      </c>
      <c r="W374" s="0" t="n">
        <f aca="false">VLOOKUP($A374,content_factors_backup!$A$2:$Q$468,W$525,FALSE())</f>
        <v>2</v>
      </c>
    </row>
    <row r="375" customFormat="false" ht="14.25" hidden="false" customHeight="false" outlineLevel="0" collapsed="false">
      <c r="A375" s="0" t="n">
        <v>889</v>
      </c>
      <c r="B375" s="0" t="s">
        <v>879</v>
      </c>
      <c r="C375" s="0" t="s">
        <v>880</v>
      </c>
      <c r="E375" s="0" t="n">
        <v>40299</v>
      </c>
      <c r="F375" s="0" t="n">
        <v>40299</v>
      </c>
      <c r="G375" s="0" t="n">
        <v>22222.01</v>
      </c>
      <c r="I375" s="0" t="n">
        <f aca="false">VLOOKUP($A375,content_factors_backup!$A$2:$Q$468,I$525,FALSE())</f>
        <v>73</v>
      </c>
      <c r="J375" s="0" t="n">
        <f aca="false">VLOOKUP($A375,content_factors_backup!$A$2:$Q$468,J$525,FALSE())</f>
        <v>321</v>
      </c>
      <c r="K375" s="0" t="n">
        <f aca="false">VLOOKUP($A375,content_factors_backup!$A$2:$Q$468,K$525,FALSE())</f>
        <v>7.91</v>
      </c>
      <c r="L375" s="0" t="n">
        <f aca="false">VLOOKUP($A375,content_factors_backup!$A$2:$Q$468,L$525,FALSE())</f>
        <v>0</v>
      </c>
      <c r="M375" s="0" t="n">
        <f aca="false">VLOOKUP($A375,content_factors_backup!$A$2:$Q$468,M$525,FALSE())</f>
        <v>0.94</v>
      </c>
      <c r="N375" s="0" t="n">
        <f aca="false">VLOOKUP($A375,content_factors_backup!$A$2:$Q$468,N$525,FALSE())</f>
        <v>0.19</v>
      </c>
      <c r="O375" s="0" t="n">
        <f aca="false">VLOOKUP($A375,content_factors_backup!$A$2:$Q$468,O$525,FALSE())</f>
        <v>284</v>
      </c>
      <c r="P375" s="0" t="n">
        <f aca="false">VLOOKUP($A375,content_factors_backup!$A$2:$Q$468,P$525,FALSE())</f>
        <v>11</v>
      </c>
      <c r="Q375" s="0" t="n">
        <f aca="false">VLOOKUP($A375,content_factors_backup!$A$2:$Q$468,Q$525,FALSE())</f>
        <v>0.416</v>
      </c>
      <c r="R375" s="0" t="n">
        <f aca="false">VLOOKUP($A375,content_factors_backup!$A$2:$Q$468,R$525,FALSE())</f>
        <v>89.1</v>
      </c>
      <c r="S375" s="0" t="n">
        <f aca="false">VLOOKUP($A375,content_factors_backup!$A$2:$Q$468,S$525,FALSE())</f>
        <v>371</v>
      </c>
      <c r="T375" s="0" t="n">
        <f aca="false">VLOOKUP($A375,content_factors_backup!$A$2:$Q$468,T$525,FALSE())</f>
        <v>0.16</v>
      </c>
      <c r="U375" s="0" t="n">
        <f aca="false">VLOOKUP($A375,content_factors_backup!$A$2:$Q$468,U$525,FALSE())</f>
        <v>0.44</v>
      </c>
      <c r="V375" s="0" t="n">
        <f aca="false">VLOOKUP($A375,content_factors_backup!$A$2:$Q$468,V$525,FALSE())</f>
        <v>0.6</v>
      </c>
      <c r="W375" s="0" t="n">
        <f aca="false">VLOOKUP($A375,content_factors_backup!$A$2:$Q$468,W$525,FALSE())</f>
        <v>74</v>
      </c>
    </row>
    <row r="376" customFormat="false" ht="14.25" hidden="false" customHeight="false" outlineLevel="0" collapsed="false">
      <c r="A376" s="0" t="n">
        <v>890</v>
      </c>
      <c r="B376" s="0" t="s">
        <v>881</v>
      </c>
      <c r="C376" s="0" t="s">
        <v>882</v>
      </c>
      <c r="E376" s="0" t="n">
        <v>40410</v>
      </c>
      <c r="F376" s="0" t="n">
        <v>40410</v>
      </c>
      <c r="G376" s="0" t="n">
        <v>22130.03</v>
      </c>
      <c r="I376" s="0" t="n">
        <f aca="false">VLOOKUP($A376,content_factors_backup!$A$2:$Q$468,I$525,FALSE())</f>
        <v>73</v>
      </c>
      <c r="J376" s="0" t="n">
        <f aca="false">VLOOKUP($A376,content_factors_backup!$A$2:$Q$468,J$525,FALSE())</f>
        <v>27</v>
      </c>
      <c r="K376" s="0" t="n">
        <f aca="false">VLOOKUP($A376,content_factors_backup!$A$2:$Q$468,K$525,FALSE())</f>
        <v>0.85</v>
      </c>
      <c r="L376" s="0" t="n">
        <f aca="false">VLOOKUP($A376,content_factors_backup!$A$2:$Q$468,L$525,FALSE())</f>
        <v>0</v>
      </c>
      <c r="M376" s="0" t="n">
        <f aca="false">VLOOKUP($A376,content_factors_backup!$A$2:$Q$468,M$525,FALSE())</f>
        <v>0.13</v>
      </c>
      <c r="N376" s="0" t="n">
        <f aca="false">VLOOKUP($A376,content_factors_backup!$A$2:$Q$468,N$525,FALSE())</f>
        <v>0.06</v>
      </c>
      <c r="O376" s="0" t="n">
        <f aca="false">VLOOKUP($A376,content_factors_backup!$A$2:$Q$468,O$525,FALSE())</f>
        <v>47</v>
      </c>
      <c r="P376" s="0" t="n">
        <f aca="false">VLOOKUP($A376,content_factors_backup!$A$2:$Q$468,P$525,FALSE())</f>
        <v>1</v>
      </c>
      <c r="Q376" s="0" t="n">
        <f aca="false">VLOOKUP($A376,content_factors_backup!$A$2:$Q$468,Q$525,FALSE())</f>
        <v>0.158</v>
      </c>
      <c r="R376" s="0" t="n">
        <f aca="false">VLOOKUP($A376,content_factors_backup!$A$2:$Q$468,R$525,FALSE())</f>
        <v>16</v>
      </c>
      <c r="S376" s="0" t="n">
        <f aca="false">VLOOKUP($A376,content_factors_backup!$A$2:$Q$468,S$525,FALSE())</f>
        <v>161</v>
      </c>
      <c r="T376" s="0" t="n">
        <f aca="false">VLOOKUP($A376,content_factors_backup!$A$2:$Q$468,T$525,FALSE())</f>
        <v>0</v>
      </c>
      <c r="U376" s="0" t="n">
        <f aca="false">VLOOKUP($A376,content_factors_backup!$A$2:$Q$468,U$525,FALSE())</f>
        <v>0.28</v>
      </c>
      <c r="V376" s="0" t="n">
        <f aca="false">VLOOKUP($A376,content_factors_backup!$A$2:$Q$468,V$525,FALSE())</f>
        <v>0</v>
      </c>
      <c r="W376" s="0" t="n">
        <f aca="false">VLOOKUP($A376,content_factors_backup!$A$2:$Q$468,W$525,FALSE())</f>
        <v>3</v>
      </c>
    </row>
    <row r="377" customFormat="false" ht="14.25" hidden="false" customHeight="false" outlineLevel="0" collapsed="false">
      <c r="A377" s="0" t="n">
        <v>891</v>
      </c>
      <c r="B377" s="0" t="s">
        <v>883</v>
      </c>
      <c r="C377" s="0" t="s">
        <v>884</v>
      </c>
      <c r="E377" s="0" t="n">
        <v>40310</v>
      </c>
      <c r="F377" s="0" t="n">
        <v>40310</v>
      </c>
      <c r="G377" s="0" t="n">
        <v>22230.01</v>
      </c>
      <c r="I377" s="0" t="n">
        <f aca="false">VLOOKUP($A377,content_factors_backup!$A$2:$Q$468,I$525,FALSE())</f>
        <v>12</v>
      </c>
      <c r="J377" s="0" t="e">
        <f aca="false">VLOOKUP($A377,content_factors_backup!$A$2:$Q$468,J$525,FALSE())</f>
        <v>#N/A</v>
      </c>
      <c r="K377" s="0" t="e">
        <f aca="false">VLOOKUP($A377,content_factors_backup!$A$2:$Q$468,K$525,FALSE())</f>
        <v>#N/A</v>
      </c>
      <c r="L377" s="0" t="e">
        <f aca="false">VLOOKUP($A377,content_factors_backup!$A$2:$Q$468,L$525,FALSE())</f>
        <v>#N/A</v>
      </c>
      <c r="M377" s="0" t="e">
        <f aca="false">VLOOKUP($A377,content_factors_backup!$A$2:$Q$468,M$525,FALSE())</f>
        <v>#N/A</v>
      </c>
      <c r="N377" s="0" t="e">
        <f aca="false">VLOOKUP($A377,content_factors_backup!$A$2:$Q$468,N$525,FALSE())</f>
        <v>#N/A</v>
      </c>
      <c r="O377" s="0" t="e">
        <f aca="false">VLOOKUP($A377,content_factors_backup!$A$2:$Q$468,O$525,FALSE())</f>
        <v>#N/A</v>
      </c>
      <c r="P377" s="0" t="e">
        <f aca="false">VLOOKUP($A377,content_factors_backup!$A$2:$Q$468,P$525,FALSE())</f>
        <v>#N/A</v>
      </c>
      <c r="Q377" s="0" t="e">
        <f aca="false">VLOOKUP($A377,content_factors_backup!$A$2:$Q$468,Q$525,FALSE())</f>
        <v>#N/A</v>
      </c>
      <c r="R377" s="0" t="e">
        <f aca="false">VLOOKUP($A377,content_factors_backup!$A$2:$Q$468,R$525,FALSE())</f>
        <v>#N/A</v>
      </c>
      <c r="S377" s="0" t="e">
        <f aca="false">VLOOKUP($A377,content_factors_backup!$A$2:$Q$468,S$525,FALSE())</f>
        <v>#N/A</v>
      </c>
      <c r="T377" s="0" t="e">
        <f aca="false">VLOOKUP($A377,content_factors_backup!$A$2:$Q$468,T$525,FALSE())</f>
        <v>#N/A</v>
      </c>
      <c r="U377" s="0" t="e">
        <f aca="false">VLOOKUP($A377,content_factors_backup!$A$2:$Q$468,U$525,FALSE())</f>
        <v>#N/A</v>
      </c>
      <c r="V377" s="0" t="e">
        <f aca="false">VLOOKUP($A377,content_factors_backup!$A$2:$Q$468,V$525,FALSE())</f>
        <v>#N/A</v>
      </c>
      <c r="W377" s="0" t="e">
        <f aca="false">VLOOKUP($A377,content_factors_backup!$A$2:$Q$468,W$525,FALSE())</f>
        <v>#N/A</v>
      </c>
    </row>
    <row r="378" customFormat="false" ht="14.25" hidden="false" customHeight="false" outlineLevel="0" collapsed="false">
      <c r="A378" s="0" t="n">
        <v>892</v>
      </c>
      <c r="B378" s="0" t="s">
        <v>885</v>
      </c>
      <c r="C378" s="0" t="s">
        <v>886</v>
      </c>
      <c r="E378" s="0" t="n">
        <v>40310</v>
      </c>
      <c r="F378" s="0" t="n">
        <v>40310</v>
      </c>
      <c r="G378" s="0" t="n">
        <v>22230.02</v>
      </c>
      <c r="I378" s="0" t="n">
        <f aca="false">VLOOKUP($A378,content_factors_backup!$A$2:$Q$468,I$525,FALSE())</f>
        <v>12</v>
      </c>
      <c r="J378" s="0" t="n">
        <f aca="false">VLOOKUP($A378,content_factors_backup!$A$2:$Q$468,J$525,FALSE())</f>
        <v>73</v>
      </c>
      <c r="K378" s="0" t="n">
        <f aca="false">VLOOKUP($A378,content_factors_backup!$A$2:$Q$468,K$525,FALSE())</f>
        <v>3.8</v>
      </c>
      <c r="L378" s="0" t="n">
        <f aca="false">VLOOKUP($A378,content_factors_backup!$A$2:$Q$468,L$525,FALSE())</f>
        <v>0</v>
      </c>
      <c r="M378" s="0" t="n">
        <f aca="false">VLOOKUP($A378,content_factors_backup!$A$2:$Q$468,M$525,FALSE())</f>
        <v>0.58</v>
      </c>
      <c r="N378" s="0" t="n">
        <f aca="false">VLOOKUP($A378,content_factors_backup!$A$2:$Q$468,N$525,FALSE())</f>
        <v>0.1</v>
      </c>
      <c r="O378" s="0" t="n">
        <f aca="false">VLOOKUP($A378,content_factors_backup!$A$2:$Q$468,O$525,FALSE())</f>
        <v>152</v>
      </c>
      <c r="P378" s="0" t="n">
        <f aca="false">VLOOKUP($A378,content_factors_backup!$A$2:$Q$468,P$525,FALSE())</f>
        <v>12</v>
      </c>
      <c r="Q378" s="0" t="n">
        <f aca="false">VLOOKUP($A378,content_factors_backup!$A$2:$Q$468,Q$525,FALSE())</f>
        <v>0.2</v>
      </c>
      <c r="R378" s="0" t="n">
        <f aca="false">VLOOKUP($A378,content_factors_backup!$A$2:$Q$468,R$525,FALSE())</f>
        <v>0</v>
      </c>
      <c r="S378" s="0" t="n">
        <f aca="false">VLOOKUP($A378,content_factors_backup!$A$2:$Q$468,S$525,FALSE())</f>
        <v>209</v>
      </c>
      <c r="T378" s="0" t="n">
        <f aca="false">VLOOKUP($A378,content_factors_backup!$A$2:$Q$468,T$525,FALSE())</f>
        <v>0.07</v>
      </c>
      <c r="U378" s="0" t="n">
        <f aca="false">VLOOKUP($A378,content_factors_backup!$A$2:$Q$468,U$525,FALSE())</f>
        <v>0.375</v>
      </c>
      <c r="V378" s="0" t="n">
        <f aca="false">VLOOKUP($A378,content_factors_backup!$A$2:$Q$468,V$525,FALSE())</f>
        <v>0.3</v>
      </c>
      <c r="W378" s="0" t="n">
        <f aca="false">VLOOKUP($A378,content_factors_backup!$A$2:$Q$468,W$525,FALSE())</f>
        <v>30</v>
      </c>
    </row>
    <row r="379" customFormat="false" ht="14.25" hidden="false" customHeight="false" outlineLevel="0" collapsed="false">
      <c r="A379" s="0" t="n">
        <v>893</v>
      </c>
      <c r="B379" s="0" t="s">
        <v>887</v>
      </c>
      <c r="C379" s="0" t="s">
        <v>888</v>
      </c>
      <c r="E379" s="0" t="n">
        <v>40390</v>
      </c>
      <c r="F379" s="0" t="n">
        <v>40390</v>
      </c>
      <c r="G379" s="0" t="n">
        <v>22230.03</v>
      </c>
      <c r="I379" s="0" t="n">
        <f aca="false">VLOOKUP($A379,content_factors_backup!$A$2:$Q$468,I$525,FALSE())</f>
        <v>12</v>
      </c>
      <c r="J379" s="0" t="n">
        <f aca="false">VLOOKUP($A379,content_factors_backup!$A$2:$Q$468,J$525,FALSE())</f>
        <v>73</v>
      </c>
      <c r="K379" s="0" t="n">
        <f aca="false">VLOOKUP($A379,content_factors_backup!$A$2:$Q$468,K$525,FALSE())</f>
        <v>3.8</v>
      </c>
      <c r="L379" s="0" t="n">
        <f aca="false">VLOOKUP($A379,content_factors_backup!$A$2:$Q$468,L$525,FALSE())</f>
        <v>0</v>
      </c>
      <c r="M379" s="0" t="n">
        <f aca="false">VLOOKUP($A379,content_factors_backup!$A$2:$Q$468,M$525,FALSE())</f>
        <v>0.58</v>
      </c>
      <c r="N379" s="0" t="n">
        <f aca="false">VLOOKUP($A379,content_factors_backup!$A$2:$Q$468,N$525,FALSE())</f>
        <v>0.1</v>
      </c>
      <c r="O379" s="0" t="n">
        <f aca="false">VLOOKUP($A379,content_factors_backup!$A$2:$Q$468,O$525,FALSE())</f>
        <v>152</v>
      </c>
      <c r="P379" s="0" t="n">
        <f aca="false">VLOOKUP($A379,content_factors_backup!$A$2:$Q$468,P$525,FALSE())</f>
        <v>12</v>
      </c>
      <c r="Q379" s="0" t="n">
        <f aca="false">VLOOKUP($A379,content_factors_backup!$A$2:$Q$468,Q$525,FALSE())</f>
        <v>0.2</v>
      </c>
      <c r="R379" s="0" t="n">
        <f aca="false">VLOOKUP($A379,content_factors_backup!$A$2:$Q$468,R$525,FALSE())</f>
        <v>0</v>
      </c>
      <c r="S379" s="0" t="n">
        <f aca="false">VLOOKUP($A379,content_factors_backup!$A$2:$Q$468,S$525,FALSE())</f>
        <v>209</v>
      </c>
      <c r="T379" s="0" t="n">
        <f aca="false">VLOOKUP($A379,content_factors_backup!$A$2:$Q$468,T$525,FALSE())</f>
        <v>0.07</v>
      </c>
      <c r="U379" s="0" t="n">
        <f aca="false">VLOOKUP($A379,content_factors_backup!$A$2:$Q$468,U$525,FALSE())</f>
        <v>0.375</v>
      </c>
      <c r="V379" s="0" t="n">
        <f aca="false">VLOOKUP($A379,content_factors_backup!$A$2:$Q$468,V$525,FALSE())</f>
        <v>0.3</v>
      </c>
      <c r="W379" s="0" t="n">
        <f aca="false">VLOOKUP($A379,content_factors_backup!$A$2:$Q$468,W$525,FALSE())</f>
        <v>30</v>
      </c>
    </row>
    <row r="380" customFormat="false" ht="14.25" hidden="false" customHeight="false" outlineLevel="0" collapsed="false">
      <c r="A380" s="0" t="n">
        <v>894</v>
      </c>
      <c r="B380" s="0" t="s">
        <v>889</v>
      </c>
      <c r="C380" s="0" t="s">
        <v>890</v>
      </c>
      <c r="E380" s="0" t="n">
        <v>40291</v>
      </c>
      <c r="F380" s="0" t="n">
        <v>40291</v>
      </c>
      <c r="G380" s="0" t="n">
        <v>22221.01</v>
      </c>
      <c r="I380" s="0" t="n">
        <f aca="false">VLOOKUP($A380,content_factors_backup!$A$2:$Q$468,I$525,FALSE())</f>
        <v>27</v>
      </c>
      <c r="J380" s="0" t="n">
        <f aca="false">VLOOKUP($A380,content_factors_backup!$A$2:$Q$468,J$525,FALSE())</f>
        <v>135</v>
      </c>
      <c r="K380" s="0" t="n">
        <f aca="false">VLOOKUP($A380,content_factors_backup!$A$2:$Q$468,K$525,FALSE())</f>
        <v>6.81</v>
      </c>
      <c r="L380" s="0" t="n">
        <f aca="false">VLOOKUP($A380,content_factors_backup!$A$2:$Q$468,L$525,FALSE())</f>
        <v>0</v>
      </c>
      <c r="M380" s="0" t="n">
        <f aca="false">VLOOKUP($A380,content_factors_backup!$A$2:$Q$468,M$525,FALSE())</f>
        <v>0.77</v>
      </c>
      <c r="N380" s="0" t="n">
        <f aca="false">VLOOKUP($A380,content_factors_backup!$A$2:$Q$468,N$525,FALSE())</f>
        <v>0.19</v>
      </c>
      <c r="O380" s="0" t="n">
        <f aca="false">VLOOKUP($A380,content_factors_backup!$A$2:$Q$468,O$525,FALSE())</f>
        <v>261</v>
      </c>
      <c r="P380" s="0" t="n">
        <f aca="false">VLOOKUP($A380,content_factors_backup!$A$2:$Q$468,P$525,FALSE())</f>
        <v>8</v>
      </c>
      <c r="Q380" s="0" t="n">
        <f aca="false">VLOOKUP($A380,content_factors_backup!$A$2:$Q$468,Q$525,FALSE())</f>
        <v>0.316</v>
      </c>
      <c r="R380" s="0" t="n">
        <f aca="false">VLOOKUP($A380,content_factors_backup!$A$2:$Q$468,R$525,FALSE())</f>
        <v>31.3</v>
      </c>
      <c r="S380" s="0" t="n">
        <f aca="false">VLOOKUP($A380,content_factors_backup!$A$2:$Q$468,S$525,FALSE())</f>
        <v>303</v>
      </c>
      <c r="T380" s="0" t="n">
        <f aca="false">VLOOKUP($A380,content_factors_backup!$A$2:$Q$468,T$525,FALSE())</f>
        <v>0.16</v>
      </c>
      <c r="U380" s="0" t="n">
        <f aca="false">VLOOKUP($A380,content_factors_backup!$A$2:$Q$468,U$525,FALSE())</f>
        <v>0.16</v>
      </c>
      <c r="V380" s="0" t="n">
        <f aca="false">VLOOKUP($A380,content_factors_backup!$A$2:$Q$468,V$525,FALSE())</f>
        <v>0.6</v>
      </c>
      <c r="W380" s="0" t="n">
        <f aca="false">VLOOKUP($A380,content_factors_backup!$A$2:$Q$468,W$525,FALSE())</f>
        <v>65</v>
      </c>
    </row>
    <row r="381" customFormat="false" ht="14.25" hidden="false" customHeight="false" outlineLevel="0" collapsed="false">
      <c r="A381" s="0" t="n">
        <v>897</v>
      </c>
      <c r="B381" s="0" t="s">
        <v>891</v>
      </c>
      <c r="C381" s="0" t="s">
        <v>892</v>
      </c>
      <c r="E381" s="0" t="s">
        <v>893</v>
      </c>
      <c r="F381" s="0" t="s">
        <v>893</v>
      </c>
      <c r="G381" s="0" t="n">
        <v>22211</v>
      </c>
      <c r="I381" s="0" t="n">
        <f aca="false">VLOOKUP($A381,content_factors_backup!$A$2:$Q$468,I$525,FALSE())</f>
        <v>98</v>
      </c>
      <c r="J381" s="0" t="n">
        <f aca="false">VLOOKUP($A381,content_factors_backup!$A$2:$Q$468,J$525,FALSE())</f>
        <v>57.1</v>
      </c>
      <c r="K381" s="0" t="n">
        <f aca="false">VLOOKUP($A381,content_factors_backup!$A$2:$Q$468,K$525,FALSE())</f>
        <v>3.25</v>
      </c>
      <c r="L381" s="0" t="n">
        <f aca="false">VLOOKUP($A381,content_factors_backup!$A$2:$Q$468,L$525,FALSE())</f>
        <v>0</v>
      </c>
      <c r="M381" s="0" t="n">
        <f aca="false">VLOOKUP($A381,content_factors_backup!$A$2:$Q$468,M$525,FALSE())</f>
        <v>0.38</v>
      </c>
      <c r="N381" s="0" t="n">
        <f aca="false">VLOOKUP($A381,content_factors_backup!$A$2:$Q$468,N$525,FALSE())</f>
        <v>0.15740988</v>
      </c>
      <c r="O381" s="0" t="n">
        <f aca="false">VLOOKUP($A381,content_factors_backup!$A$2:$Q$468,O$525,FALSE())</f>
        <v>116.5</v>
      </c>
      <c r="P381" s="0" t="n">
        <f aca="false">VLOOKUP($A381,content_factors_backup!$A$2:$Q$468,P$525,FALSE())</f>
        <v>6.5</v>
      </c>
      <c r="Q381" s="0" t="n">
        <f aca="false">VLOOKUP($A381,content_factors_backup!$A$2:$Q$468,Q$525,FALSE())</f>
        <v>0.0548197595</v>
      </c>
      <c r="R381" s="0" t="n">
        <f aca="false">VLOOKUP($A381,content_factors_backup!$A$2:$Q$468,R$525,FALSE())</f>
        <v>7.997106487</v>
      </c>
      <c r="S381" s="0" t="n">
        <f aca="false">VLOOKUP($A381,content_factors_backup!$A$2:$Q$468,S$525,FALSE())</f>
        <v>130</v>
      </c>
      <c r="T381" s="0" t="n">
        <f aca="false">VLOOKUP($A381,content_factors_backup!$A$2:$Q$468,T$525,FALSE())</f>
        <v>0.07</v>
      </c>
      <c r="U381" s="0" t="n">
        <f aca="false">VLOOKUP($A381,content_factors_backup!$A$2:$Q$468,U$525,FALSE())</f>
        <v>0.525</v>
      </c>
      <c r="V381" s="0" t="n">
        <f aca="false">VLOOKUP($A381,content_factors_backup!$A$2:$Q$468,V$525,FALSE())</f>
        <v>0.3</v>
      </c>
      <c r="W381" s="0" t="n">
        <f aca="false">VLOOKUP($A381,content_factors_backup!$A$2:$Q$468,W$525,FALSE())</f>
        <v>32.17623498</v>
      </c>
    </row>
    <row r="382" customFormat="false" ht="14.25" hidden="false" customHeight="false" outlineLevel="0" collapsed="false">
      <c r="A382" s="0" t="n">
        <v>898</v>
      </c>
      <c r="B382" s="0" t="s">
        <v>894</v>
      </c>
      <c r="C382" s="0" t="s">
        <v>895</v>
      </c>
      <c r="E382" s="0" t="n">
        <v>40210</v>
      </c>
      <c r="F382" s="0" t="n">
        <v>40210</v>
      </c>
      <c r="G382" s="0" t="n">
        <v>22212</v>
      </c>
      <c r="I382" s="0" t="n">
        <f aca="false">VLOOKUP($A382,content_factors_backup!$A$2:$Q$468,I$525,FALSE())</f>
        <v>98</v>
      </c>
      <c r="J382" s="0" t="n">
        <f aca="false">VLOOKUP($A382,content_factors_backup!$A$2:$Q$468,J$525,FALSE())</f>
        <v>362</v>
      </c>
      <c r="K382" s="0" t="n">
        <f aca="false">VLOOKUP($A382,content_factors_backup!$A$2:$Q$468,K$525,FALSE())</f>
        <v>36.16</v>
      </c>
      <c r="L382" s="0" t="n">
        <f aca="false">VLOOKUP($A382,content_factors_backup!$A$2:$Q$468,L$525,FALSE())</f>
        <v>0</v>
      </c>
      <c r="M382" s="0" t="n">
        <f aca="false">VLOOKUP($A382,content_factors_backup!$A$2:$Q$468,M$525,FALSE())</f>
        <v>4.08</v>
      </c>
      <c r="N382" s="0" t="n">
        <f aca="false">VLOOKUP($A382,content_factors_backup!$A$2:$Q$468,N$525,FALSE())</f>
        <v>0.32</v>
      </c>
      <c r="O382" s="0" t="n">
        <f aca="false">VLOOKUP($A382,content_factors_backup!$A$2:$Q$468,O$525,FALSE())</f>
        <v>1257</v>
      </c>
      <c r="P382" s="0" t="n">
        <f aca="false">VLOOKUP($A382,content_factors_backup!$A$2:$Q$468,P$525,FALSE())</f>
        <v>50</v>
      </c>
      <c r="Q382" s="0" t="n">
        <f aca="false">VLOOKUP($A382,content_factors_backup!$A$2:$Q$468,Q$525,FALSE())</f>
        <v>1.55</v>
      </c>
      <c r="R382" s="0" t="n">
        <f aca="false">VLOOKUP($A382,content_factors_backup!$A$2:$Q$468,R$525,FALSE())</f>
        <v>169.2</v>
      </c>
      <c r="S382" s="0" t="n">
        <f aca="false">VLOOKUP($A382,content_factors_backup!$A$2:$Q$468,S$525,FALSE())</f>
        <v>1794</v>
      </c>
      <c r="T382" s="0" t="n">
        <f aca="false">VLOOKUP($A382,content_factors_backup!$A$2:$Q$468,T$525,FALSE())</f>
        <v>0</v>
      </c>
      <c r="U382" s="0" t="n">
        <f aca="false">VLOOKUP($A382,content_factors_backup!$A$2:$Q$468,U$525,FALSE())</f>
        <v>4.03</v>
      </c>
      <c r="V382" s="0" t="n">
        <f aca="false">VLOOKUP($A382,content_factors_backup!$A$2:$Q$468,V$525,FALSE())</f>
        <v>0.1</v>
      </c>
      <c r="W382" s="0" t="n">
        <f aca="false">VLOOKUP($A382,content_factors_backup!$A$2:$Q$468,W$525,FALSE())</f>
        <v>6</v>
      </c>
    </row>
    <row r="383" customFormat="false" ht="14.25" hidden="false" customHeight="false" outlineLevel="0" collapsed="false">
      <c r="A383" s="0" t="n">
        <v>900</v>
      </c>
      <c r="B383" s="0" t="s">
        <v>896</v>
      </c>
      <c r="C383" s="0" t="s">
        <v>897</v>
      </c>
      <c r="E383" s="0" t="n">
        <v>40410</v>
      </c>
      <c r="F383" s="0" t="n">
        <v>40410</v>
      </c>
      <c r="G383" s="0" t="n">
        <v>22130.02</v>
      </c>
      <c r="I383" s="0" t="n">
        <f aca="false">VLOOKUP($A383,content_factors_backup!$A$2:$Q$468,I$525,FALSE())</f>
        <v>98</v>
      </c>
      <c r="J383" s="0" t="n">
        <f aca="false">VLOOKUP($A383,content_factors_backup!$A$2:$Q$468,J$525,FALSE())</f>
        <v>27</v>
      </c>
      <c r="K383" s="0" t="n">
        <f aca="false">VLOOKUP($A383,content_factors_backup!$A$2:$Q$468,K$525,FALSE())</f>
        <v>0.85</v>
      </c>
      <c r="L383" s="0" t="n">
        <f aca="false">VLOOKUP($A383,content_factors_backup!$A$2:$Q$468,L$525,FALSE())</f>
        <v>0</v>
      </c>
      <c r="M383" s="0" t="n">
        <f aca="false">VLOOKUP($A383,content_factors_backup!$A$2:$Q$468,M$525,FALSE())</f>
        <v>0.13</v>
      </c>
      <c r="N383" s="0" t="n">
        <f aca="false">VLOOKUP($A383,content_factors_backup!$A$2:$Q$468,N$525,FALSE())</f>
        <v>0.06</v>
      </c>
      <c r="O383" s="0" t="n">
        <f aca="false">VLOOKUP($A383,content_factors_backup!$A$2:$Q$468,O$525,FALSE())</f>
        <v>47</v>
      </c>
      <c r="P383" s="0" t="n">
        <f aca="false">VLOOKUP($A383,content_factors_backup!$A$2:$Q$468,P$525,FALSE())</f>
        <v>1</v>
      </c>
      <c r="Q383" s="0" t="n">
        <f aca="false">VLOOKUP($A383,content_factors_backup!$A$2:$Q$468,Q$525,FALSE())</f>
        <v>0.158</v>
      </c>
      <c r="R383" s="0" t="n">
        <f aca="false">VLOOKUP($A383,content_factors_backup!$A$2:$Q$468,R$525,FALSE())</f>
        <v>16</v>
      </c>
      <c r="S383" s="0" t="n">
        <f aca="false">VLOOKUP($A383,content_factors_backup!$A$2:$Q$468,S$525,FALSE())</f>
        <v>161</v>
      </c>
      <c r="T383" s="0" t="n">
        <f aca="false">VLOOKUP($A383,content_factors_backup!$A$2:$Q$468,T$525,FALSE())</f>
        <v>0</v>
      </c>
      <c r="U383" s="0" t="n">
        <f aca="false">VLOOKUP($A383,content_factors_backup!$A$2:$Q$468,U$525,FALSE())</f>
        <v>0.28</v>
      </c>
      <c r="V383" s="0" t="n">
        <f aca="false">VLOOKUP($A383,content_factors_backup!$A$2:$Q$468,V$525,FALSE())</f>
        <v>0</v>
      </c>
      <c r="W383" s="0" t="n">
        <f aca="false">VLOOKUP($A383,content_factors_backup!$A$2:$Q$468,W$525,FALSE())</f>
        <v>3</v>
      </c>
    </row>
    <row r="384" customFormat="false" ht="14.25" hidden="false" customHeight="false" outlineLevel="0" collapsed="false">
      <c r="A384" s="0" t="n">
        <v>901</v>
      </c>
      <c r="B384" s="0" t="s">
        <v>898</v>
      </c>
      <c r="C384" s="0" t="s">
        <v>899</v>
      </c>
      <c r="E384" s="0" t="s">
        <v>900</v>
      </c>
      <c r="F384" s="0" t="s">
        <v>900</v>
      </c>
      <c r="G384" s="0" t="n">
        <v>22251.01</v>
      </c>
      <c r="I384" s="0" t="n">
        <f aca="false">VLOOKUP($A384,content_factors_backup!$A$2:$Q$468,I$525,FALSE())</f>
        <v>60</v>
      </c>
      <c r="J384" s="0" t="n">
        <f aca="false">VLOOKUP($A384,content_factors_backup!$A$2:$Q$468,J$525,FALSE())</f>
        <v>73</v>
      </c>
      <c r="K384" s="0" t="n">
        <f aca="false">VLOOKUP($A384,content_factors_backup!$A$2:$Q$468,K$525,FALSE())</f>
        <v>3.8</v>
      </c>
      <c r="L384" s="0" t="n">
        <f aca="false">VLOOKUP($A384,content_factors_backup!$A$2:$Q$468,L$525,FALSE())</f>
        <v>0</v>
      </c>
      <c r="M384" s="0" t="n">
        <f aca="false">VLOOKUP($A384,content_factors_backup!$A$2:$Q$468,M$525,FALSE())</f>
        <v>0.58</v>
      </c>
      <c r="N384" s="0" t="n">
        <f aca="false">VLOOKUP($A384,content_factors_backup!$A$2:$Q$468,N$525,FALSE())</f>
        <v>0.1</v>
      </c>
      <c r="O384" s="0" t="n">
        <f aca="false">VLOOKUP($A384,content_factors_backup!$A$2:$Q$468,O$525,FALSE())</f>
        <v>152</v>
      </c>
      <c r="P384" s="0" t="n">
        <f aca="false">VLOOKUP($A384,content_factors_backup!$A$2:$Q$468,P$525,FALSE())</f>
        <v>12</v>
      </c>
      <c r="Q384" s="0" t="n">
        <f aca="false">VLOOKUP($A384,content_factors_backup!$A$2:$Q$468,Q$525,FALSE())</f>
        <v>0.2</v>
      </c>
      <c r="R384" s="0" t="n">
        <f aca="false">VLOOKUP($A384,content_factors_backup!$A$2:$Q$468,R$525,FALSE())</f>
        <v>0</v>
      </c>
      <c r="S384" s="0" t="n">
        <f aca="false">VLOOKUP($A384,content_factors_backup!$A$2:$Q$468,S$525,FALSE())</f>
        <v>209</v>
      </c>
      <c r="T384" s="0" t="n">
        <f aca="false">VLOOKUP($A384,content_factors_backup!$A$2:$Q$468,T$525,FALSE())</f>
        <v>0.07</v>
      </c>
      <c r="U384" s="0" t="n">
        <f aca="false">VLOOKUP($A384,content_factors_backup!$A$2:$Q$468,U$525,FALSE())</f>
        <v>0.375</v>
      </c>
      <c r="V384" s="0" t="n">
        <f aca="false">VLOOKUP($A384,content_factors_backup!$A$2:$Q$468,V$525,FALSE())</f>
        <v>0.3</v>
      </c>
      <c r="W384" s="0" t="n">
        <f aca="false">VLOOKUP($A384,content_factors_backup!$A$2:$Q$468,W$525,FALSE())</f>
        <v>30</v>
      </c>
    </row>
    <row r="385" customFormat="false" ht="14.25" hidden="false" customHeight="false" outlineLevel="0" collapsed="false">
      <c r="A385" s="0" t="n">
        <v>907</v>
      </c>
      <c r="B385" s="0" t="s">
        <v>901</v>
      </c>
      <c r="E385" s="0" t="s">
        <v>902</v>
      </c>
      <c r="F385" s="0" t="s">
        <v>902</v>
      </c>
      <c r="G385" s="0" t="n">
        <v>22251.04</v>
      </c>
      <c r="I385" s="0" t="n">
        <f aca="false">VLOOKUP($A385,content_factors_backup!$A$2:$Q$468,I$525,FALSE())</f>
        <v>60</v>
      </c>
      <c r="J385" s="0" t="n">
        <f aca="false">VLOOKUP($A385,content_factors_backup!$A$2:$Q$468,J$525,FALSE())</f>
        <v>73</v>
      </c>
      <c r="K385" s="0" t="n">
        <f aca="false">VLOOKUP($A385,content_factors_backup!$A$2:$Q$468,K$525,FALSE())</f>
        <v>3.8</v>
      </c>
      <c r="L385" s="0" t="n">
        <f aca="false">VLOOKUP($A385,content_factors_backup!$A$2:$Q$468,L$525,FALSE())</f>
        <v>0</v>
      </c>
      <c r="M385" s="0" t="n">
        <f aca="false">VLOOKUP($A385,content_factors_backup!$A$2:$Q$468,M$525,FALSE())</f>
        <v>0.58</v>
      </c>
      <c r="N385" s="0" t="n">
        <f aca="false">VLOOKUP($A385,content_factors_backup!$A$2:$Q$468,N$525,FALSE())</f>
        <v>0.1</v>
      </c>
      <c r="O385" s="0" t="n">
        <f aca="false">VLOOKUP($A385,content_factors_backup!$A$2:$Q$468,O$525,FALSE())</f>
        <v>152</v>
      </c>
      <c r="P385" s="0" t="n">
        <f aca="false">VLOOKUP($A385,content_factors_backup!$A$2:$Q$468,P$525,FALSE())</f>
        <v>12</v>
      </c>
      <c r="Q385" s="0" t="n">
        <f aca="false">VLOOKUP($A385,content_factors_backup!$A$2:$Q$468,Q$525,FALSE())</f>
        <v>0.2</v>
      </c>
      <c r="R385" s="0" t="n">
        <f aca="false">VLOOKUP($A385,content_factors_backup!$A$2:$Q$468,R$525,FALSE())</f>
        <v>0</v>
      </c>
      <c r="S385" s="0" t="n">
        <f aca="false">VLOOKUP($A385,content_factors_backup!$A$2:$Q$468,S$525,FALSE())</f>
        <v>209</v>
      </c>
      <c r="T385" s="0" t="n">
        <f aca="false">VLOOKUP($A385,content_factors_backup!$A$2:$Q$468,T$525,FALSE())</f>
        <v>0.07</v>
      </c>
      <c r="U385" s="0" t="n">
        <f aca="false">VLOOKUP($A385,content_factors_backup!$A$2:$Q$468,U$525,FALSE())</f>
        <v>0.375</v>
      </c>
      <c r="V385" s="0" t="n">
        <f aca="false">VLOOKUP($A385,content_factors_backup!$A$2:$Q$468,V$525,FALSE())</f>
        <v>0.3</v>
      </c>
      <c r="W385" s="0" t="n">
        <f aca="false">VLOOKUP($A385,content_factors_backup!$A$2:$Q$468,W$525,FALSE())</f>
        <v>30</v>
      </c>
    </row>
    <row r="386" customFormat="false" ht="14.25" hidden="false" customHeight="false" outlineLevel="0" collapsed="false">
      <c r="A386" s="0" t="n">
        <v>908</v>
      </c>
      <c r="B386" s="0" t="s">
        <v>903</v>
      </c>
      <c r="C386" s="0" t="s">
        <v>904</v>
      </c>
      <c r="E386" s="0" t="s">
        <v>878</v>
      </c>
      <c r="F386" s="0" t="s">
        <v>878</v>
      </c>
      <c r="G386" s="0" t="n">
        <v>22110.03</v>
      </c>
      <c r="I386" s="0" t="e">
        <f aca="false">VLOOKUP($A386,content_factors_backup!$A$2:$Q$468,I$525,FALSE())</f>
        <v>#N/A</v>
      </c>
      <c r="J386" s="0" t="e">
        <f aca="false">VLOOKUP($A386,content_factors_backup!$A$2:$Q$468,J$525,FALSE())</f>
        <v>#N/A</v>
      </c>
      <c r="K386" s="0" t="e">
        <f aca="false">VLOOKUP($A386,content_factors_backup!$A$2:$Q$468,K$525,FALSE())</f>
        <v>#N/A</v>
      </c>
      <c r="L386" s="0" t="e">
        <f aca="false">VLOOKUP($A386,content_factors_backup!$A$2:$Q$468,L$525,FALSE())</f>
        <v>#N/A</v>
      </c>
      <c r="M386" s="0" t="e">
        <f aca="false">VLOOKUP($A386,content_factors_backup!$A$2:$Q$468,M$525,FALSE())</f>
        <v>#N/A</v>
      </c>
      <c r="N386" s="0" t="e">
        <f aca="false">VLOOKUP($A386,content_factors_backup!$A$2:$Q$468,N$525,FALSE())</f>
        <v>#N/A</v>
      </c>
      <c r="O386" s="0" t="e">
        <f aca="false">VLOOKUP($A386,content_factors_backup!$A$2:$Q$468,O$525,FALSE())</f>
        <v>#N/A</v>
      </c>
      <c r="P386" s="0" t="e">
        <f aca="false">VLOOKUP($A386,content_factors_backup!$A$2:$Q$468,P$525,FALSE())</f>
        <v>#N/A</v>
      </c>
      <c r="Q386" s="0" t="e">
        <f aca="false">VLOOKUP($A386,content_factors_backup!$A$2:$Q$468,Q$525,FALSE())</f>
        <v>#N/A</v>
      </c>
      <c r="R386" s="0" t="e">
        <f aca="false">VLOOKUP($A386,content_factors_backup!$A$2:$Q$468,R$525,FALSE())</f>
        <v>#N/A</v>
      </c>
      <c r="S386" s="0" t="e">
        <f aca="false">VLOOKUP($A386,content_factors_backup!$A$2:$Q$468,S$525,FALSE())</f>
        <v>#N/A</v>
      </c>
      <c r="T386" s="0" t="e">
        <f aca="false">VLOOKUP($A386,content_factors_backup!$A$2:$Q$468,T$525,FALSE())</f>
        <v>#N/A</v>
      </c>
      <c r="U386" s="0" t="e">
        <f aca="false">VLOOKUP($A386,content_factors_backup!$A$2:$Q$468,U$525,FALSE())</f>
        <v>#N/A</v>
      </c>
      <c r="V386" s="0" t="e">
        <f aca="false">VLOOKUP($A386,content_factors_backup!$A$2:$Q$468,V$525,FALSE())</f>
        <v>#N/A</v>
      </c>
      <c r="W386" s="0" t="e">
        <f aca="false">VLOOKUP($A386,content_factors_backup!$A$2:$Q$468,W$525,FALSE())</f>
        <v>#N/A</v>
      </c>
    </row>
    <row r="387" customFormat="false" ht="14.25" hidden="false" customHeight="false" outlineLevel="0" collapsed="false">
      <c r="A387" s="0" t="n">
        <v>909</v>
      </c>
      <c r="B387" s="0" t="s">
        <v>905</v>
      </c>
      <c r="E387" s="0" t="n">
        <v>40490</v>
      </c>
      <c r="F387" s="0" t="n">
        <v>40490</v>
      </c>
      <c r="G387" s="0" t="n">
        <v>22290</v>
      </c>
      <c r="I387" s="0" t="n">
        <f aca="false">VLOOKUP($A387,content_factors_backup!$A$2:$Q$468,I$525,FALSE())</f>
        <v>60</v>
      </c>
      <c r="J387" s="0" t="n">
        <f aca="false">VLOOKUP($A387,content_factors_backup!$A$2:$Q$468,J$525,FALSE())</f>
        <v>73</v>
      </c>
      <c r="K387" s="0" t="n">
        <f aca="false">VLOOKUP($A387,content_factors_backup!$A$2:$Q$468,K$525,FALSE())</f>
        <v>3.8</v>
      </c>
      <c r="L387" s="0" t="n">
        <f aca="false">VLOOKUP($A387,content_factors_backup!$A$2:$Q$468,L$525,FALSE())</f>
        <v>0</v>
      </c>
      <c r="M387" s="0" t="n">
        <f aca="false">VLOOKUP($A387,content_factors_backup!$A$2:$Q$468,M$525,FALSE())</f>
        <v>0.58</v>
      </c>
      <c r="N387" s="0" t="n">
        <f aca="false">VLOOKUP($A387,content_factors_backup!$A$2:$Q$468,N$525,FALSE())</f>
        <v>0.1</v>
      </c>
      <c r="O387" s="0" t="n">
        <f aca="false">VLOOKUP($A387,content_factors_backup!$A$2:$Q$468,O$525,FALSE())</f>
        <v>152</v>
      </c>
      <c r="P387" s="0" t="n">
        <f aca="false">VLOOKUP($A387,content_factors_backup!$A$2:$Q$468,P$525,FALSE())</f>
        <v>12</v>
      </c>
      <c r="Q387" s="0" t="n">
        <f aca="false">VLOOKUP($A387,content_factors_backup!$A$2:$Q$468,Q$525,FALSE())</f>
        <v>0.2</v>
      </c>
      <c r="R387" s="0" t="n">
        <f aca="false">VLOOKUP($A387,content_factors_backup!$A$2:$Q$468,R$525,FALSE())</f>
        <v>0</v>
      </c>
      <c r="S387" s="0" t="n">
        <f aca="false">VLOOKUP($A387,content_factors_backup!$A$2:$Q$468,S$525,FALSE())</f>
        <v>209</v>
      </c>
      <c r="T387" s="0" t="n">
        <f aca="false">VLOOKUP($A387,content_factors_backup!$A$2:$Q$468,T$525,FALSE())</f>
        <v>0.07</v>
      </c>
      <c r="U387" s="0" t="n">
        <f aca="false">VLOOKUP($A387,content_factors_backup!$A$2:$Q$468,U$525,FALSE())</f>
        <v>0.375</v>
      </c>
      <c r="V387" s="0" t="n">
        <f aca="false">VLOOKUP($A387,content_factors_backup!$A$2:$Q$468,V$525,FALSE())</f>
        <v>0.3</v>
      </c>
      <c r="W387" s="0" t="n">
        <f aca="false">VLOOKUP($A387,content_factors_backup!$A$2:$Q$468,W$525,FALSE())</f>
        <v>30</v>
      </c>
    </row>
    <row r="388" customFormat="false" ht="14.25" hidden="false" customHeight="false" outlineLevel="0" collapsed="false">
      <c r="A388" s="0" t="n">
        <v>910</v>
      </c>
      <c r="B388" s="0" t="s">
        <v>906</v>
      </c>
      <c r="C388" s="0" t="s">
        <v>907</v>
      </c>
      <c r="E388" s="0" t="n">
        <v>210500</v>
      </c>
      <c r="F388" s="0" t="n">
        <v>210500</v>
      </c>
      <c r="G388" s="0" t="n">
        <v>22270</v>
      </c>
      <c r="I388" s="0" t="n">
        <f aca="false">VLOOKUP($A388,content_factors_backup!$A$2:$Q$468,I$525,FALSE())</f>
        <v>60</v>
      </c>
      <c r="J388" s="0" t="n">
        <f aca="false">VLOOKUP($A388,content_factors_backup!$A$2:$Q$468,J$525,FALSE())</f>
        <v>166</v>
      </c>
      <c r="K388" s="0" t="n">
        <f aca="false">VLOOKUP($A388,content_factors_backup!$A$2:$Q$468,K$525,FALSE())</f>
        <v>3.4</v>
      </c>
      <c r="L388" s="0" t="n">
        <f aca="false">VLOOKUP($A388,content_factors_backup!$A$2:$Q$468,L$525,FALSE())</f>
        <v>0.7</v>
      </c>
      <c r="M388" s="0" t="n">
        <f aca="false">VLOOKUP($A388,content_factors_backup!$A$2:$Q$468,M$525,FALSE())</f>
        <v>0.53</v>
      </c>
      <c r="N388" s="0" t="n">
        <f aca="false">VLOOKUP($A388,content_factors_backup!$A$2:$Q$468,N$525,FALSE())</f>
        <v>0.2</v>
      </c>
      <c r="O388" s="0" t="n">
        <f aca="false">VLOOKUP($A388,content_factors_backup!$A$2:$Q$468,O$525,FALSE())</f>
        <v>126</v>
      </c>
      <c r="P388" s="0" t="n">
        <f aca="false">VLOOKUP($A388,content_factors_backup!$A$2:$Q$468,P$525,FALSE())</f>
        <v>5</v>
      </c>
      <c r="Q388" s="0" t="n">
        <f aca="false">VLOOKUP($A388,content_factors_backup!$A$2:$Q$468,Q$525,FALSE())</f>
        <v>0.11</v>
      </c>
      <c r="R388" s="0" t="n">
        <f aca="false">VLOOKUP($A388,content_factors_backup!$A$2:$Q$468,R$525,FALSE())</f>
        <v>26</v>
      </c>
      <c r="S388" s="0" t="n">
        <f aca="false">VLOOKUP($A388,content_factors_backup!$A$2:$Q$468,S$525,FALSE())</f>
        <v>199</v>
      </c>
      <c r="T388" s="0" t="n">
        <f aca="false">VLOOKUP($A388,content_factors_backup!$A$2:$Q$468,T$525,FALSE())</f>
        <v>0.18</v>
      </c>
      <c r="U388" s="0" t="n">
        <f aca="false">VLOOKUP($A388,content_factors_backup!$A$2:$Q$468,U$525,FALSE())</f>
        <v>0.18</v>
      </c>
      <c r="V388" s="0" t="n">
        <f aca="false">VLOOKUP($A388,content_factors_backup!$A$2:$Q$468,V$525,FALSE())</f>
        <v>1.1</v>
      </c>
      <c r="W388" s="0" t="n">
        <f aca="false">VLOOKUP($A388,content_factors_backup!$A$2:$Q$468,W$525,FALSE())</f>
        <v>80</v>
      </c>
    </row>
    <row r="389" customFormat="false" ht="14.25" hidden="false" customHeight="false" outlineLevel="0" collapsed="false">
      <c r="A389" s="0" t="n">
        <v>919</v>
      </c>
      <c r="B389" s="0" t="s">
        <v>908</v>
      </c>
      <c r="C389" s="0" t="s">
        <v>909</v>
      </c>
      <c r="E389" s="0" t="s">
        <v>910</v>
      </c>
      <c r="F389" s="0" t="s">
        <v>910</v>
      </c>
      <c r="G389" s="0" t="n">
        <v>2951.01</v>
      </c>
      <c r="I389" s="0" t="e">
        <f aca="false">VLOOKUP($A389,content_factors_backup!$A$2:$Q$468,I$525,FALSE())</f>
        <v>#N/A</v>
      </c>
      <c r="J389" s="0" t="e">
        <f aca="false">VLOOKUP($A389,content_factors_backup!$A$2:$Q$468,J$525,FALSE())</f>
        <v>#N/A</v>
      </c>
      <c r="K389" s="0" t="e">
        <f aca="false">VLOOKUP($A389,content_factors_backup!$A$2:$Q$468,K$525,FALSE())</f>
        <v>#N/A</v>
      </c>
      <c r="L389" s="0" t="e">
        <f aca="false">VLOOKUP($A389,content_factors_backup!$A$2:$Q$468,L$525,FALSE())</f>
        <v>#N/A</v>
      </c>
      <c r="M389" s="0" t="e">
        <f aca="false">VLOOKUP($A389,content_factors_backup!$A$2:$Q$468,M$525,FALSE())</f>
        <v>#N/A</v>
      </c>
      <c r="N389" s="0" t="e">
        <f aca="false">VLOOKUP($A389,content_factors_backup!$A$2:$Q$468,N$525,FALSE())</f>
        <v>#N/A</v>
      </c>
      <c r="O389" s="0" t="e">
        <f aca="false">VLOOKUP($A389,content_factors_backup!$A$2:$Q$468,O$525,FALSE())</f>
        <v>#N/A</v>
      </c>
      <c r="P389" s="0" t="e">
        <f aca="false">VLOOKUP($A389,content_factors_backup!$A$2:$Q$468,P$525,FALSE())</f>
        <v>#N/A</v>
      </c>
      <c r="Q389" s="0" t="e">
        <f aca="false">VLOOKUP($A389,content_factors_backup!$A$2:$Q$468,Q$525,FALSE())</f>
        <v>#N/A</v>
      </c>
      <c r="R389" s="0" t="e">
        <f aca="false">VLOOKUP($A389,content_factors_backup!$A$2:$Q$468,R$525,FALSE())</f>
        <v>#N/A</v>
      </c>
      <c r="S389" s="0" t="e">
        <f aca="false">VLOOKUP($A389,content_factors_backup!$A$2:$Q$468,S$525,FALSE())</f>
        <v>#N/A</v>
      </c>
      <c r="T389" s="0" t="e">
        <f aca="false">VLOOKUP($A389,content_factors_backup!$A$2:$Q$468,T$525,FALSE())</f>
        <v>#N/A</v>
      </c>
      <c r="U389" s="0" t="e">
        <f aca="false">VLOOKUP($A389,content_factors_backup!$A$2:$Q$468,U$525,FALSE())</f>
        <v>#N/A</v>
      </c>
      <c r="V389" s="0" t="e">
        <f aca="false">VLOOKUP($A389,content_factors_backup!$A$2:$Q$468,V$525,FALSE())</f>
        <v>#N/A</v>
      </c>
      <c r="W389" s="0" t="e">
        <f aca="false">VLOOKUP($A389,content_factors_backup!$A$2:$Q$468,W$525,FALSE())</f>
        <v>#N/A</v>
      </c>
    </row>
    <row r="390" customFormat="false" ht="14.25" hidden="false" customHeight="false" outlineLevel="0" collapsed="false">
      <c r="A390" s="0" t="n">
        <v>920</v>
      </c>
      <c r="B390" s="0" t="s">
        <v>911</v>
      </c>
      <c r="C390" s="0" t="s">
        <v>912</v>
      </c>
      <c r="E390" s="0" t="s">
        <v>910</v>
      </c>
      <c r="F390" s="0" t="s">
        <v>910</v>
      </c>
      <c r="G390" s="0" t="n">
        <v>2951.04</v>
      </c>
      <c r="I390" s="0" t="n">
        <f aca="false">VLOOKUP($A390,content_factors_backup!$A$2:$Q$468,I$525,FALSE())</f>
        <v>80</v>
      </c>
      <c r="J390" s="0" t="e">
        <f aca="false">VLOOKUP($A390,content_factors_backup!$A$2:$Q$468,J$525,FALSE())</f>
        <v>#N/A</v>
      </c>
      <c r="K390" s="0" t="e">
        <f aca="false">VLOOKUP($A390,content_factors_backup!$A$2:$Q$468,K$525,FALSE())</f>
        <v>#N/A</v>
      </c>
      <c r="L390" s="0" t="e">
        <f aca="false">VLOOKUP($A390,content_factors_backup!$A$2:$Q$468,L$525,FALSE())</f>
        <v>#N/A</v>
      </c>
      <c r="M390" s="0" t="e">
        <f aca="false">VLOOKUP($A390,content_factors_backup!$A$2:$Q$468,M$525,FALSE())</f>
        <v>#N/A</v>
      </c>
      <c r="N390" s="0" t="e">
        <f aca="false">VLOOKUP($A390,content_factors_backup!$A$2:$Q$468,N$525,FALSE())</f>
        <v>#N/A</v>
      </c>
      <c r="O390" s="0" t="e">
        <f aca="false">VLOOKUP($A390,content_factors_backup!$A$2:$Q$468,O$525,FALSE())</f>
        <v>#N/A</v>
      </c>
      <c r="P390" s="0" t="e">
        <f aca="false">VLOOKUP($A390,content_factors_backup!$A$2:$Q$468,P$525,FALSE())</f>
        <v>#N/A</v>
      </c>
      <c r="Q390" s="0" t="e">
        <f aca="false">VLOOKUP($A390,content_factors_backup!$A$2:$Q$468,Q$525,FALSE())</f>
        <v>#N/A</v>
      </c>
      <c r="R390" s="0" t="e">
        <f aca="false">VLOOKUP($A390,content_factors_backup!$A$2:$Q$468,R$525,FALSE())</f>
        <v>#N/A</v>
      </c>
      <c r="S390" s="0" t="e">
        <f aca="false">VLOOKUP($A390,content_factors_backup!$A$2:$Q$468,S$525,FALSE())</f>
        <v>#N/A</v>
      </c>
      <c r="T390" s="0" t="e">
        <f aca="false">VLOOKUP($A390,content_factors_backup!$A$2:$Q$468,T$525,FALSE())</f>
        <v>#N/A</v>
      </c>
      <c r="U390" s="0" t="e">
        <f aca="false">VLOOKUP($A390,content_factors_backup!$A$2:$Q$468,U$525,FALSE())</f>
        <v>#N/A</v>
      </c>
      <c r="V390" s="0" t="e">
        <f aca="false">VLOOKUP($A390,content_factors_backup!$A$2:$Q$468,V$525,FALSE())</f>
        <v>#N/A</v>
      </c>
      <c r="W390" s="0" t="e">
        <f aca="false">VLOOKUP($A390,content_factors_backup!$A$2:$Q$468,W$525,FALSE())</f>
        <v>#N/A</v>
      </c>
    </row>
    <row r="391" customFormat="false" ht="14.25" hidden="false" customHeight="false" outlineLevel="0" collapsed="false">
      <c r="A391" s="0" t="n">
        <v>928</v>
      </c>
      <c r="B391" s="0" t="s">
        <v>913</v>
      </c>
      <c r="C391" s="0" t="s">
        <v>914</v>
      </c>
      <c r="E391" s="0" t="s">
        <v>910</v>
      </c>
      <c r="F391" s="0" t="s">
        <v>910</v>
      </c>
      <c r="G391" s="0" t="n">
        <v>2951.06</v>
      </c>
      <c r="I391" s="0" t="n">
        <f aca="false">VLOOKUP($A391,content_factors_backup!$A$2:$Q$468,I$525,FALSE())</f>
        <v>80</v>
      </c>
      <c r="J391" s="0" t="e">
        <f aca="false">VLOOKUP($A391,content_factors_backup!$A$2:$Q$468,J$525,FALSE())</f>
        <v>#N/A</v>
      </c>
      <c r="K391" s="0" t="e">
        <f aca="false">VLOOKUP($A391,content_factors_backup!$A$2:$Q$468,K$525,FALSE())</f>
        <v>#N/A</v>
      </c>
      <c r="L391" s="0" t="e">
        <f aca="false">VLOOKUP($A391,content_factors_backup!$A$2:$Q$468,L$525,FALSE())</f>
        <v>#N/A</v>
      </c>
      <c r="M391" s="0" t="e">
        <f aca="false">VLOOKUP($A391,content_factors_backup!$A$2:$Q$468,M$525,FALSE())</f>
        <v>#N/A</v>
      </c>
      <c r="N391" s="0" t="e">
        <f aca="false">VLOOKUP($A391,content_factors_backup!$A$2:$Q$468,N$525,FALSE())</f>
        <v>#N/A</v>
      </c>
      <c r="O391" s="0" t="e">
        <f aca="false">VLOOKUP($A391,content_factors_backup!$A$2:$Q$468,O$525,FALSE())</f>
        <v>#N/A</v>
      </c>
      <c r="P391" s="0" t="e">
        <f aca="false">VLOOKUP($A391,content_factors_backup!$A$2:$Q$468,P$525,FALSE())</f>
        <v>#N/A</v>
      </c>
      <c r="Q391" s="0" t="e">
        <f aca="false">VLOOKUP($A391,content_factors_backup!$A$2:$Q$468,Q$525,FALSE())</f>
        <v>#N/A</v>
      </c>
      <c r="R391" s="0" t="e">
        <f aca="false">VLOOKUP($A391,content_factors_backup!$A$2:$Q$468,R$525,FALSE())</f>
        <v>#N/A</v>
      </c>
      <c r="S391" s="0" t="e">
        <f aca="false">VLOOKUP($A391,content_factors_backup!$A$2:$Q$468,S$525,FALSE())</f>
        <v>#N/A</v>
      </c>
      <c r="T391" s="0" t="e">
        <f aca="false">VLOOKUP($A391,content_factors_backup!$A$2:$Q$468,T$525,FALSE())</f>
        <v>#N/A</v>
      </c>
      <c r="U391" s="0" t="e">
        <f aca="false">VLOOKUP($A391,content_factors_backup!$A$2:$Q$468,U$525,FALSE())</f>
        <v>#N/A</v>
      </c>
      <c r="V391" s="0" t="e">
        <f aca="false">VLOOKUP($A391,content_factors_backup!$A$2:$Q$468,V$525,FALSE())</f>
        <v>#N/A</v>
      </c>
      <c r="W391" s="0" t="e">
        <f aca="false">VLOOKUP($A391,content_factors_backup!$A$2:$Q$468,W$525,FALSE())</f>
        <v>#N/A</v>
      </c>
    </row>
    <row r="392" customFormat="false" ht="14.25" hidden="false" customHeight="false" outlineLevel="0" collapsed="false">
      <c r="A392" s="0" t="n">
        <v>944</v>
      </c>
      <c r="B392" s="0" t="s">
        <v>915</v>
      </c>
      <c r="G392" s="0" t="s">
        <v>916</v>
      </c>
      <c r="I392" s="0" t="e">
        <f aca="false">VLOOKUP($A392,content_factors_backup!$A$2:$Q$468,I$525,FALSE())</f>
        <v>#N/A</v>
      </c>
      <c r="J392" s="0" t="e">
        <f aca="false">VLOOKUP($A392,content_factors_backup!$A$2:$Q$468,J$525,FALSE())</f>
        <v>#N/A</v>
      </c>
      <c r="K392" s="0" t="e">
        <f aca="false">VLOOKUP($A392,content_factors_backup!$A$2:$Q$468,K$525,FALSE())</f>
        <v>#N/A</v>
      </c>
      <c r="L392" s="0" t="e">
        <f aca="false">VLOOKUP($A392,content_factors_backup!$A$2:$Q$468,L$525,FALSE())</f>
        <v>#N/A</v>
      </c>
      <c r="M392" s="0" t="e">
        <f aca="false">VLOOKUP($A392,content_factors_backup!$A$2:$Q$468,M$525,FALSE())</f>
        <v>#N/A</v>
      </c>
      <c r="N392" s="0" t="e">
        <f aca="false">VLOOKUP($A392,content_factors_backup!$A$2:$Q$468,N$525,FALSE())</f>
        <v>#N/A</v>
      </c>
      <c r="O392" s="0" t="e">
        <f aca="false">VLOOKUP($A392,content_factors_backup!$A$2:$Q$468,O$525,FALSE())</f>
        <v>#N/A</v>
      </c>
      <c r="P392" s="0" t="e">
        <f aca="false">VLOOKUP($A392,content_factors_backup!$A$2:$Q$468,P$525,FALSE())</f>
        <v>#N/A</v>
      </c>
      <c r="Q392" s="0" t="e">
        <f aca="false">VLOOKUP($A392,content_factors_backup!$A$2:$Q$468,Q$525,FALSE())</f>
        <v>#N/A</v>
      </c>
      <c r="R392" s="0" t="e">
        <f aca="false">VLOOKUP($A392,content_factors_backup!$A$2:$Q$468,R$525,FALSE())</f>
        <v>#N/A</v>
      </c>
      <c r="S392" s="0" t="e">
        <f aca="false">VLOOKUP($A392,content_factors_backup!$A$2:$Q$468,S$525,FALSE())</f>
        <v>#N/A</v>
      </c>
      <c r="T392" s="0" t="e">
        <f aca="false">VLOOKUP($A392,content_factors_backup!$A$2:$Q$468,T$525,FALSE())</f>
        <v>#N/A</v>
      </c>
      <c r="U392" s="0" t="e">
        <f aca="false">VLOOKUP($A392,content_factors_backup!$A$2:$Q$468,U$525,FALSE())</f>
        <v>#N/A</v>
      </c>
      <c r="V392" s="0" t="e">
        <f aca="false">VLOOKUP($A392,content_factors_backup!$A$2:$Q$468,V$525,FALSE())</f>
        <v>#N/A</v>
      </c>
      <c r="W392" s="0" t="e">
        <f aca="false">VLOOKUP($A392,content_factors_backup!$A$2:$Q$468,W$525,FALSE())</f>
        <v>#N/A</v>
      </c>
    </row>
    <row r="393" customFormat="false" ht="14.25" hidden="false" customHeight="false" outlineLevel="0" collapsed="false">
      <c r="A393" s="0" t="n">
        <v>946</v>
      </c>
      <c r="B393" s="0" t="s">
        <v>917</v>
      </c>
      <c r="C393" s="0" t="s">
        <v>918</v>
      </c>
      <c r="E393" s="0" t="s">
        <v>849</v>
      </c>
      <c r="F393" s="0" t="s">
        <v>919</v>
      </c>
      <c r="G393" s="0" t="n">
        <v>2112</v>
      </c>
      <c r="I393" s="0" t="n">
        <f aca="false">VLOOKUP($A393,content_factors_backup!$A$2:$Q$468,I$525,FALSE())</f>
        <v>0</v>
      </c>
      <c r="J393" s="0" t="e">
        <f aca="false">VLOOKUP($A393,content_factors_backup!$A$2:$Q$468,J$525,FALSE())</f>
        <v>#N/A</v>
      </c>
      <c r="K393" s="0" t="e">
        <f aca="false">VLOOKUP($A393,content_factors_backup!$A$2:$Q$468,K$525,FALSE())</f>
        <v>#N/A</v>
      </c>
      <c r="L393" s="0" t="e">
        <f aca="false">VLOOKUP($A393,content_factors_backup!$A$2:$Q$468,L$525,FALSE())</f>
        <v>#N/A</v>
      </c>
      <c r="M393" s="0" t="e">
        <f aca="false">VLOOKUP($A393,content_factors_backup!$A$2:$Q$468,M$525,FALSE())</f>
        <v>#N/A</v>
      </c>
      <c r="N393" s="0" t="e">
        <f aca="false">VLOOKUP($A393,content_factors_backup!$A$2:$Q$468,N$525,FALSE())</f>
        <v>#N/A</v>
      </c>
      <c r="O393" s="0" t="e">
        <f aca="false">VLOOKUP($A393,content_factors_backup!$A$2:$Q$468,O$525,FALSE())</f>
        <v>#N/A</v>
      </c>
      <c r="P393" s="0" t="e">
        <f aca="false">VLOOKUP($A393,content_factors_backup!$A$2:$Q$468,P$525,FALSE())</f>
        <v>#N/A</v>
      </c>
      <c r="Q393" s="0" t="e">
        <f aca="false">VLOOKUP($A393,content_factors_backup!$A$2:$Q$468,Q$525,FALSE())</f>
        <v>#N/A</v>
      </c>
      <c r="R393" s="0" t="e">
        <f aca="false">VLOOKUP($A393,content_factors_backup!$A$2:$Q$468,R$525,FALSE())</f>
        <v>#N/A</v>
      </c>
      <c r="S393" s="0" t="e">
        <f aca="false">VLOOKUP($A393,content_factors_backup!$A$2:$Q$468,S$525,FALSE())</f>
        <v>#N/A</v>
      </c>
      <c r="T393" s="0" t="e">
        <f aca="false">VLOOKUP($A393,content_factors_backup!$A$2:$Q$468,T$525,FALSE())</f>
        <v>#N/A</v>
      </c>
      <c r="U393" s="0" t="e">
        <f aca="false">VLOOKUP($A393,content_factors_backup!$A$2:$Q$468,U$525,FALSE())</f>
        <v>#N/A</v>
      </c>
      <c r="V393" s="0" t="e">
        <f aca="false">VLOOKUP($A393,content_factors_backup!$A$2:$Q$468,V$525,FALSE())</f>
        <v>#N/A</v>
      </c>
      <c r="W393" s="0" t="e">
        <f aca="false">VLOOKUP($A393,content_factors_backup!$A$2:$Q$468,W$525,FALSE())</f>
        <v>#N/A</v>
      </c>
    </row>
    <row r="394" customFormat="false" ht="14.25" hidden="false" customHeight="false" outlineLevel="0" collapsed="false">
      <c r="A394" s="0" t="n">
        <v>947</v>
      </c>
      <c r="B394" s="0" t="s">
        <v>920</v>
      </c>
      <c r="C394" s="0" t="s">
        <v>921</v>
      </c>
      <c r="E394" s="0" t="s">
        <v>922</v>
      </c>
      <c r="F394" s="0" t="s">
        <v>922</v>
      </c>
      <c r="G394" s="0" t="n">
        <v>21112</v>
      </c>
      <c r="I394" s="0" t="n">
        <v>45</v>
      </c>
      <c r="J394" s="0" t="e">
        <f aca="false">VLOOKUP($A394,content_factors_backup!$A$2:$Q$468,J$525,FALSE())</f>
        <v>#N/A</v>
      </c>
      <c r="K394" s="0" t="e">
        <f aca="false">VLOOKUP($A394,content_factors_backup!$A$2:$Q$468,K$525,FALSE())</f>
        <v>#N/A</v>
      </c>
      <c r="L394" s="0" t="e">
        <f aca="false">VLOOKUP($A394,content_factors_backup!$A$2:$Q$468,L$525,FALSE())</f>
        <v>#N/A</v>
      </c>
      <c r="M394" s="0" t="e">
        <f aca="false">VLOOKUP($A394,content_factors_backup!$A$2:$Q$468,M$525,FALSE())</f>
        <v>#N/A</v>
      </c>
      <c r="N394" s="0" t="e">
        <f aca="false">VLOOKUP($A394,content_factors_backup!$A$2:$Q$468,N$525,FALSE())</f>
        <v>#N/A</v>
      </c>
      <c r="O394" s="0" t="e">
        <f aca="false">VLOOKUP($A394,content_factors_backup!$A$2:$Q$468,O$525,FALSE())</f>
        <v>#N/A</v>
      </c>
      <c r="P394" s="0" t="e">
        <f aca="false">VLOOKUP($A394,content_factors_backup!$A$2:$Q$468,P$525,FALSE())</f>
        <v>#N/A</v>
      </c>
      <c r="Q394" s="0" t="e">
        <f aca="false">VLOOKUP($A394,content_factors_backup!$A$2:$Q$468,Q$525,FALSE())</f>
        <v>#N/A</v>
      </c>
      <c r="R394" s="0" t="e">
        <f aca="false">VLOOKUP($A394,content_factors_backup!$A$2:$Q$468,R$525,FALSE())</f>
        <v>#N/A</v>
      </c>
      <c r="S394" s="0" t="e">
        <f aca="false">VLOOKUP($A394,content_factors_backup!$A$2:$Q$468,S$525,FALSE())</f>
        <v>#N/A</v>
      </c>
      <c r="T394" s="0" t="e">
        <f aca="false">VLOOKUP($A394,content_factors_backup!$A$2:$Q$468,T$525,FALSE())</f>
        <v>#N/A</v>
      </c>
      <c r="U394" s="0" t="e">
        <f aca="false">VLOOKUP($A394,content_factors_backup!$A$2:$Q$468,U$525,FALSE())</f>
        <v>#N/A</v>
      </c>
      <c r="V394" s="0" t="e">
        <f aca="false">VLOOKUP($A394,content_factors_backup!$A$2:$Q$468,V$525,FALSE())</f>
        <v>#N/A</v>
      </c>
      <c r="W394" s="0" t="e">
        <f aca="false">VLOOKUP($A394,content_factors_backup!$A$2:$Q$468,W$525,FALSE())</f>
        <v>#N/A</v>
      </c>
    </row>
    <row r="395" customFormat="false" ht="14.25" hidden="false" customHeight="false" outlineLevel="0" collapsed="false">
      <c r="A395" s="0" t="n">
        <v>948</v>
      </c>
      <c r="B395" s="0" t="s">
        <v>923</v>
      </c>
      <c r="C395" s="0" t="s">
        <v>855</v>
      </c>
      <c r="E395" s="0" t="s">
        <v>856</v>
      </c>
      <c r="F395" s="0" t="s">
        <v>856</v>
      </c>
      <c r="G395" s="0" t="n">
        <v>21152</v>
      </c>
      <c r="I395" s="0" t="e">
        <f aca="false">VLOOKUP($A395,content_factors_backup!$A$2:$Q$468,I$525,FALSE())</f>
        <v>#N/A</v>
      </c>
      <c r="J395" s="0" t="e">
        <f aca="false">VLOOKUP($A395,content_factors_backup!$A$2:$Q$468,J$525,FALSE())</f>
        <v>#N/A</v>
      </c>
      <c r="K395" s="0" t="e">
        <f aca="false">VLOOKUP($A395,content_factors_backup!$A$2:$Q$468,K$525,FALSE())</f>
        <v>#N/A</v>
      </c>
      <c r="L395" s="0" t="e">
        <f aca="false">VLOOKUP($A395,content_factors_backup!$A$2:$Q$468,L$525,FALSE())</f>
        <v>#N/A</v>
      </c>
      <c r="M395" s="0" t="e">
        <f aca="false">VLOOKUP($A395,content_factors_backup!$A$2:$Q$468,M$525,FALSE())</f>
        <v>#N/A</v>
      </c>
      <c r="N395" s="0" t="e">
        <f aca="false">VLOOKUP($A395,content_factors_backup!$A$2:$Q$468,N$525,FALSE())</f>
        <v>#N/A</v>
      </c>
      <c r="O395" s="0" t="e">
        <f aca="false">VLOOKUP($A395,content_factors_backup!$A$2:$Q$468,O$525,FALSE())</f>
        <v>#N/A</v>
      </c>
      <c r="P395" s="0" t="e">
        <f aca="false">VLOOKUP($A395,content_factors_backup!$A$2:$Q$468,P$525,FALSE())</f>
        <v>#N/A</v>
      </c>
      <c r="Q395" s="0" t="e">
        <f aca="false">VLOOKUP($A395,content_factors_backup!$A$2:$Q$468,Q$525,FALSE())</f>
        <v>#N/A</v>
      </c>
      <c r="R395" s="0" t="e">
        <f aca="false">VLOOKUP($A395,content_factors_backup!$A$2:$Q$468,R$525,FALSE())</f>
        <v>#N/A</v>
      </c>
      <c r="S395" s="0" t="e">
        <f aca="false">VLOOKUP($A395,content_factors_backup!$A$2:$Q$468,S$525,FALSE())</f>
        <v>#N/A</v>
      </c>
      <c r="T395" s="0" t="e">
        <f aca="false">VLOOKUP($A395,content_factors_backup!$A$2:$Q$468,T$525,FALSE())</f>
        <v>#N/A</v>
      </c>
      <c r="U395" s="0" t="e">
        <f aca="false">VLOOKUP($A395,content_factors_backup!$A$2:$Q$468,U$525,FALSE())</f>
        <v>#N/A</v>
      </c>
      <c r="V395" s="0" t="e">
        <f aca="false">VLOOKUP($A395,content_factors_backup!$A$2:$Q$468,V$525,FALSE())</f>
        <v>#N/A</v>
      </c>
      <c r="W395" s="0" t="e">
        <f aca="false">VLOOKUP($A395,content_factors_backup!$A$2:$Q$468,W$525,FALSE())</f>
        <v>#N/A</v>
      </c>
    </row>
    <row r="396" customFormat="false" ht="14.25" hidden="false" customHeight="false" outlineLevel="0" collapsed="false">
      <c r="A396" s="0" t="n">
        <v>949</v>
      </c>
      <c r="B396" s="0" t="s">
        <v>924</v>
      </c>
      <c r="C396" s="0" t="s">
        <v>925</v>
      </c>
      <c r="E396" s="0" t="n">
        <v>150200</v>
      </c>
      <c r="F396" s="0" t="n">
        <v>150290</v>
      </c>
      <c r="G396" s="0" t="n">
        <v>21513</v>
      </c>
      <c r="I396" s="0" t="e">
        <f aca="false">VLOOKUP($A396,content_factors_backup!$A$2:$Q$468,I$525,FALSE())</f>
        <v>#N/A</v>
      </c>
      <c r="J396" s="0" t="e">
        <f aca="false">VLOOKUP($A396,content_factors_backup!$A$2:$Q$468,J$525,FALSE())</f>
        <v>#N/A</v>
      </c>
      <c r="K396" s="0" t="e">
        <f aca="false">VLOOKUP($A396,content_factors_backup!$A$2:$Q$468,K$525,FALSE())</f>
        <v>#N/A</v>
      </c>
      <c r="L396" s="0" t="e">
        <f aca="false">VLOOKUP($A396,content_factors_backup!$A$2:$Q$468,L$525,FALSE())</f>
        <v>#N/A</v>
      </c>
      <c r="M396" s="0" t="e">
        <f aca="false">VLOOKUP($A396,content_factors_backup!$A$2:$Q$468,M$525,FALSE())</f>
        <v>#N/A</v>
      </c>
      <c r="N396" s="0" t="e">
        <f aca="false">VLOOKUP($A396,content_factors_backup!$A$2:$Q$468,N$525,FALSE())</f>
        <v>#N/A</v>
      </c>
      <c r="O396" s="0" t="e">
        <f aca="false">VLOOKUP($A396,content_factors_backup!$A$2:$Q$468,O$525,FALSE())</f>
        <v>#N/A</v>
      </c>
      <c r="P396" s="0" t="e">
        <f aca="false">VLOOKUP($A396,content_factors_backup!$A$2:$Q$468,P$525,FALSE())</f>
        <v>#N/A</v>
      </c>
      <c r="Q396" s="0" t="e">
        <f aca="false">VLOOKUP($A396,content_factors_backup!$A$2:$Q$468,Q$525,FALSE())</f>
        <v>#N/A</v>
      </c>
      <c r="R396" s="0" t="e">
        <f aca="false">VLOOKUP($A396,content_factors_backup!$A$2:$Q$468,R$525,FALSE())</f>
        <v>#N/A</v>
      </c>
      <c r="S396" s="0" t="e">
        <f aca="false">VLOOKUP($A396,content_factors_backup!$A$2:$Q$468,S$525,FALSE())</f>
        <v>#N/A</v>
      </c>
      <c r="T396" s="0" t="e">
        <f aca="false">VLOOKUP($A396,content_factors_backup!$A$2:$Q$468,T$525,FALSE())</f>
        <v>#N/A</v>
      </c>
      <c r="U396" s="0" t="e">
        <f aca="false">VLOOKUP($A396,content_factors_backup!$A$2:$Q$468,U$525,FALSE())</f>
        <v>#N/A</v>
      </c>
      <c r="V396" s="0" t="e">
        <f aca="false">VLOOKUP($A396,content_factors_backup!$A$2:$Q$468,V$525,FALSE())</f>
        <v>#N/A</v>
      </c>
      <c r="W396" s="0" t="e">
        <f aca="false">VLOOKUP($A396,content_factors_backup!$A$2:$Q$468,W$525,FALSE())</f>
        <v>#N/A</v>
      </c>
    </row>
    <row r="397" customFormat="false" ht="14.25" hidden="false" customHeight="false" outlineLevel="0" collapsed="false">
      <c r="A397" s="0" t="n">
        <v>951</v>
      </c>
      <c r="B397" s="0" t="s">
        <v>926</v>
      </c>
      <c r="C397" s="0" t="s">
        <v>927</v>
      </c>
      <c r="E397" s="0" t="s">
        <v>869</v>
      </c>
      <c r="F397" s="0" t="s">
        <v>870</v>
      </c>
      <c r="G397" s="0" t="n">
        <v>2212</v>
      </c>
      <c r="I397" s="0" t="n">
        <f aca="false">VLOOKUP($A397,content_factors_backup!$A$2:$Q$468,I$525,FALSE())</f>
        <v>13</v>
      </c>
      <c r="J397" s="0" t="e">
        <f aca="false">VLOOKUP($A397,content_factors_backup!$A$2:$Q$468,J$525,FALSE())</f>
        <v>#N/A</v>
      </c>
      <c r="K397" s="0" t="e">
        <f aca="false">VLOOKUP($A397,content_factors_backup!$A$2:$Q$468,K$525,FALSE())</f>
        <v>#N/A</v>
      </c>
      <c r="L397" s="0" t="e">
        <f aca="false">VLOOKUP($A397,content_factors_backup!$A$2:$Q$468,L$525,FALSE())</f>
        <v>#N/A</v>
      </c>
      <c r="M397" s="0" t="e">
        <f aca="false">VLOOKUP($A397,content_factors_backup!$A$2:$Q$468,M$525,FALSE())</f>
        <v>#N/A</v>
      </c>
      <c r="N397" s="0" t="e">
        <f aca="false">VLOOKUP($A397,content_factors_backup!$A$2:$Q$468,N$525,FALSE())</f>
        <v>#N/A</v>
      </c>
      <c r="O397" s="0" t="e">
        <f aca="false">VLOOKUP($A397,content_factors_backup!$A$2:$Q$468,O$525,FALSE())</f>
        <v>#N/A</v>
      </c>
      <c r="P397" s="0" t="e">
        <f aca="false">VLOOKUP($A397,content_factors_backup!$A$2:$Q$468,P$525,FALSE())</f>
        <v>#N/A</v>
      </c>
      <c r="Q397" s="0" t="e">
        <f aca="false">VLOOKUP($A397,content_factors_backup!$A$2:$Q$468,Q$525,FALSE())</f>
        <v>#N/A</v>
      </c>
      <c r="R397" s="0" t="e">
        <f aca="false">VLOOKUP($A397,content_factors_backup!$A$2:$Q$468,R$525,FALSE())</f>
        <v>#N/A</v>
      </c>
      <c r="S397" s="0" t="e">
        <f aca="false">VLOOKUP($A397,content_factors_backup!$A$2:$Q$468,S$525,FALSE())</f>
        <v>#N/A</v>
      </c>
      <c r="T397" s="0" t="e">
        <f aca="false">VLOOKUP($A397,content_factors_backup!$A$2:$Q$468,T$525,FALSE())</f>
        <v>#N/A</v>
      </c>
      <c r="U397" s="0" t="e">
        <f aca="false">VLOOKUP($A397,content_factors_backup!$A$2:$Q$468,U$525,FALSE())</f>
        <v>#N/A</v>
      </c>
      <c r="V397" s="0" t="e">
        <f aca="false">VLOOKUP($A397,content_factors_backup!$A$2:$Q$468,V$525,FALSE())</f>
        <v>#N/A</v>
      </c>
      <c r="W397" s="0" t="e">
        <f aca="false">VLOOKUP($A397,content_factors_backup!$A$2:$Q$468,W$525,FALSE())</f>
        <v>#N/A</v>
      </c>
    </row>
    <row r="398" customFormat="false" ht="14.25" hidden="false" customHeight="false" outlineLevel="0" collapsed="false">
      <c r="A398" s="0" t="n">
        <v>953</v>
      </c>
      <c r="B398" s="0" t="s">
        <v>928</v>
      </c>
      <c r="E398" s="0" t="n">
        <v>40590</v>
      </c>
      <c r="F398" s="0" t="n">
        <v>40590</v>
      </c>
      <c r="G398" s="0" t="n">
        <v>22242.02</v>
      </c>
      <c r="I398" s="0" t="n">
        <f aca="false">VLOOKUP($A398,content_factors_backup!$A$2:$Q$468,I$525,FALSE())</f>
        <v>85</v>
      </c>
      <c r="J398" s="0" t="n">
        <f aca="false">VLOOKUP($A398,content_factors_backup!$A$2:$Q$468,J$525,FALSE())</f>
        <v>875</v>
      </c>
      <c r="K398" s="0" t="n">
        <f aca="false">VLOOKUP($A398,content_factors_backup!$A$2:$Q$468,K$525,FALSE())</f>
        <v>0</v>
      </c>
      <c r="L398" s="0" t="n">
        <f aca="false">VLOOKUP($A398,content_factors_backup!$A$2:$Q$468,L$525,FALSE())</f>
        <v>0</v>
      </c>
      <c r="M398" s="0" t="n">
        <f aca="false">VLOOKUP($A398,content_factors_backup!$A$2:$Q$468,M$525,FALSE())</f>
        <v>0</v>
      </c>
      <c r="N398" s="0" t="n">
        <f aca="false">VLOOKUP($A398,content_factors_backup!$A$2:$Q$468,N$525,FALSE())</f>
        <v>0</v>
      </c>
      <c r="O398" s="0" t="n">
        <f aca="false">VLOOKUP($A398,content_factors_backup!$A$2:$Q$468,O$525,FALSE())</f>
        <v>0</v>
      </c>
      <c r="P398" s="0" t="n">
        <f aca="false">VLOOKUP($A398,content_factors_backup!$A$2:$Q$468,P$525,FALSE())</f>
        <v>0</v>
      </c>
      <c r="Q398" s="0" t="n">
        <f aca="false">VLOOKUP($A398,content_factors_backup!$A$2:$Q$468,Q$525,FALSE())</f>
        <v>0</v>
      </c>
      <c r="R398" s="0" t="n">
        <f aca="false">VLOOKUP($A398,content_factors_backup!$A$2:$Q$468,R$525,FALSE())</f>
        <v>0</v>
      </c>
      <c r="S398" s="0" t="n">
        <f aca="false">VLOOKUP($A398,content_factors_backup!$A$2:$Q$468,S$525,FALSE())</f>
        <v>0</v>
      </c>
      <c r="T398" s="0" t="n">
        <f aca="false">VLOOKUP($A398,content_factors_backup!$A$2:$Q$468,T$525,FALSE())</f>
        <v>2.32</v>
      </c>
      <c r="U398" s="0" t="n">
        <f aca="false">VLOOKUP($A398,content_factors_backup!$A$2:$Q$468,U$525,FALSE())</f>
        <v>0.085</v>
      </c>
      <c r="V398" s="0" t="n">
        <f aca="false">VLOOKUP($A398,content_factors_backup!$A$2:$Q$468,V$525,FALSE())</f>
        <v>7</v>
      </c>
      <c r="W398" s="0" t="n">
        <f aca="false">VLOOKUP($A398,content_factors_backup!$A$2:$Q$468,W$525,FALSE())</f>
        <v>958.75</v>
      </c>
    </row>
    <row r="399" customFormat="false" ht="14.25" hidden="false" customHeight="false" outlineLevel="0" collapsed="false">
      <c r="A399" s="0" t="n">
        <v>957</v>
      </c>
      <c r="B399" s="0" t="s">
        <v>929</v>
      </c>
      <c r="C399" s="0" t="s">
        <v>930</v>
      </c>
      <c r="E399" s="0" t="s">
        <v>910</v>
      </c>
      <c r="F399" s="0" t="s">
        <v>910</v>
      </c>
      <c r="G399" s="0" t="n">
        <v>2951.03</v>
      </c>
      <c r="I399" s="0" t="e">
        <f aca="false">VLOOKUP($A399,content_factors_backup!$A$2:$Q$468,I$525,FALSE())</f>
        <v>#N/A</v>
      </c>
      <c r="J399" s="0" t="e">
        <f aca="false">VLOOKUP($A399,content_factors_backup!$A$2:$Q$468,J$525,FALSE())</f>
        <v>#N/A</v>
      </c>
      <c r="K399" s="0" t="e">
        <f aca="false">VLOOKUP($A399,content_factors_backup!$A$2:$Q$468,K$525,FALSE())</f>
        <v>#N/A</v>
      </c>
      <c r="L399" s="0" t="e">
        <f aca="false">VLOOKUP($A399,content_factors_backup!$A$2:$Q$468,L$525,FALSE())</f>
        <v>#N/A</v>
      </c>
      <c r="M399" s="0" t="e">
        <f aca="false">VLOOKUP($A399,content_factors_backup!$A$2:$Q$468,M$525,FALSE())</f>
        <v>#N/A</v>
      </c>
      <c r="N399" s="0" t="e">
        <f aca="false">VLOOKUP($A399,content_factors_backup!$A$2:$Q$468,N$525,FALSE())</f>
        <v>#N/A</v>
      </c>
      <c r="O399" s="0" t="e">
        <f aca="false">VLOOKUP($A399,content_factors_backup!$A$2:$Q$468,O$525,FALSE())</f>
        <v>#N/A</v>
      </c>
      <c r="P399" s="0" t="e">
        <f aca="false">VLOOKUP($A399,content_factors_backup!$A$2:$Q$468,P$525,FALSE())</f>
        <v>#N/A</v>
      </c>
      <c r="Q399" s="0" t="e">
        <f aca="false">VLOOKUP($A399,content_factors_backup!$A$2:$Q$468,Q$525,FALSE())</f>
        <v>#N/A</v>
      </c>
      <c r="R399" s="0" t="e">
        <f aca="false">VLOOKUP($A399,content_factors_backup!$A$2:$Q$468,R$525,FALSE())</f>
        <v>#N/A</v>
      </c>
      <c r="S399" s="0" t="e">
        <f aca="false">VLOOKUP($A399,content_factors_backup!$A$2:$Q$468,S$525,FALSE())</f>
        <v>#N/A</v>
      </c>
      <c r="T399" s="0" t="e">
        <f aca="false">VLOOKUP($A399,content_factors_backup!$A$2:$Q$468,T$525,FALSE())</f>
        <v>#N/A</v>
      </c>
      <c r="U399" s="0" t="e">
        <f aca="false">VLOOKUP($A399,content_factors_backup!$A$2:$Q$468,U$525,FALSE())</f>
        <v>#N/A</v>
      </c>
      <c r="V399" s="0" t="e">
        <f aca="false">VLOOKUP($A399,content_factors_backup!$A$2:$Q$468,V$525,FALSE())</f>
        <v>#N/A</v>
      </c>
      <c r="W399" s="0" t="e">
        <f aca="false">VLOOKUP($A399,content_factors_backup!$A$2:$Q$468,W$525,FALSE())</f>
        <v>#N/A</v>
      </c>
    </row>
    <row r="400" customFormat="false" ht="14.25" hidden="false" customHeight="false" outlineLevel="0" collapsed="false">
      <c r="A400" s="0" t="n">
        <v>958</v>
      </c>
      <c r="B400" s="0" t="s">
        <v>931</v>
      </c>
      <c r="C400" s="0" t="s">
        <v>914</v>
      </c>
      <c r="E400" s="0" t="s">
        <v>910</v>
      </c>
      <c r="F400" s="0" t="s">
        <v>910</v>
      </c>
      <c r="G400" s="0" t="n">
        <v>2951.08</v>
      </c>
      <c r="I400" s="0" t="n">
        <f aca="false">VLOOKUP($A400,content_factors_backup!$A$2:$Q$468,I$525,FALSE())</f>
        <v>80</v>
      </c>
      <c r="J400" s="0" t="e">
        <f aca="false">VLOOKUP($A400,content_factors_backup!$A$2:$Q$468,J$525,FALSE())</f>
        <v>#N/A</v>
      </c>
      <c r="K400" s="0" t="e">
        <f aca="false">VLOOKUP($A400,content_factors_backup!$A$2:$Q$468,K$525,FALSE())</f>
        <v>#N/A</v>
      </c>
      <c r="L400" s="0" t="e">
        <f aca="false">VLOOKUP($A400,content_factors_backup!$A$2:$Q$468,L$525,FALSE())</f>
        <v>#N/A</v>
      </c>
      <c r="M400" s="0" t="e">
        <f aca="false">VLOOKUP($A400,content_factors_backup!$A$2:$Q$468,M$525,FALSE())</f>
        <v>#N/A</v>
      </c>
      <c r="N400" s="0" t="e">
        <f aca="false">VLOOKUP($A400,content_factors_backup!$A$2:$Q$468,N$525,FALSE())</f>
        <v>#N/A</v>
      </c>
      <c r="O400" s="0" t="e">
        <f aca="false">VLOOKUP($A400,content_factors_backup!$A$2:$Q$468,O$525,FALSE())</f>
        <v>#N/A</v>
      </c>
      <c r="P400" s="0" t="e">
        <f aca="false">VLOOKUP($A400,content_factors_backup!$A$2:$Q$468,P$525,FALSE())</f>
        <v>#N/A</v>
      </c>
      <c r="Q400" s="0" t="e">
        <f aca="false">VLOOKUP($A400,content_factors_backup!$A$2:$Q$468,Q$525,FALSE())</f>
        <v>#N/A</v>
      </c>
      <c r="R400" s="0" t="e">
        <f aca="false">VLOOKUP($A400,content_factors_backup!$A$2:$Q$468,R$525,FALSE())</f>
        <v>#N/A</v>
      </c>
      <c r="S400" s="0" t="e">
        <f aca="false">VLOOKUP($A400,content_factors_backup!$A$2:$Q$468,S$525,FALSE())</f>
        <v>#N/A</v>
      </c>
      <c r="T400" s="0" t="e">
        <f aca="false">VLOOKUP($A400,content_factors_backup!$A$2:$Q$468,T$525,FALSE())</f>
        <v>#N/A</v>
      </c>
      <c r="U400" s="0" t="e">
        <f aca="false">VLOOKUP($A400,content_factors_backup!$A$2:$Q$468,U$525,FALSE())</f>
        <v>#N/A</v>
      </c>
      <c r="V400" s="0" t="e">
        <f aca="false">VLOOKUP($A400,content_factors_backup!$A$2:$Q$468,V$525,FALSE())</f>
        <v>#N/A</v>
      </c>
      <c r="W400" s="0" t="e">
        <f aca="false">VLOOKUP($A400,content_factors_backup!$A$2:$Q$468,W$525,FALSE())</f>
        <v>#N/A</v>
      </c>
    </row>
    <row r="401" customFormat="false" ht="14.25" hidden="false" customHeight="false" outlineLevel="0" collapsed="false">
      <c r="A401" s="0" t="n">
        <v>959</v>
      </c>
      <c r="B401" s="0" t="s">
        <v>932</v>
      </c>
      <c r="C401" s="0" t="s">
        <v>933</v>
      </c>
      <c r="E401" s="0" t="s">
        <v>910</v>
      </c>
      <c r="F401" s="0" t="s">
        <v>910</v>
      </c>
      <c r="G401" s="0" t="n">
        <v>2951.09</v>
      </c>
      <c r="I401" s="0" t="n">
        <f aca="false">VLOOKUP($A401,content_factors_backup!$A$2:$Q$468,I$525,FALSE())</f>
        <v>90</v>
      </c>
      <c r="J401" s="0" t="e">
        <f aca="false">VLOOKUP($A401,content_factors_backup!$A$2:$Q$468,J$525,FALSE())</f>
        <v>#N/A</v>
      </c>
      <c r="K401" s="0" t="e">
        <f aca="false">VLOOKUP($A401,content_factors_backup!$A$2:$Q$468,K$525,FALSE())</f>
        <v>#N/A</v>
      </c>
      <c r="L401" s="0" t="e">
        <f aca="false">VLOOKUP($A401,content_factors_backup!$A$2:$Q$468,L$525,FALSE())</f>
        <v>#N/A</v>
      </c>
      <c r="M401" s="0" t="e">
        <f aca="false">VLOOKUP($A401,content_factors_backup!$A$2:$Q$468,M$525,FALSE())</f>
        <v>#N/A</v>
      </c>
      <c r="N401" s="0" t="e">
        <f aca="false">VLOOKUP($A401,content_factors_backup!$A$2:$Q$468,N$525,FALSE())</f>
        <v>#N/A</v>
      </c>
      <c r="O401" s="0" t="e">
        <f aca="false">VLOOKUP($A401,content_factors_backup!$A$2:$Q$468,O$525,FALSE())</f>
        <v>#N/A</v>
      </c>
      <c r="P401" s="0" t="e">
        <f aca="false">VLOOKUP($A401,content_factors_backup!$A$2:$Q$468,P$525,FALSE())</f>
        <v>#N/A</v>
      </c>
      <c r="Q401" s="0" t="e">
        <f aca="false">VLOOKUP($A401,content_factors_backup!$A$2:$Q$468,Q$525,FALSE())</f>
        <v>#N/A</v>
      </c>
      <c r="R401" s="0" t="e">
        <f aca="false">VLOOKUP($A401,content_factors_backup!$A$2:$Q$468,R$525,FALSE())</f>
        <v>#N/A</v>
      </c>
      <c r="S401" s="0" t="e">
        <f aca="false">VLOOKUP($A401,content_factors_backup!$A$2:$Q$468,S$525,FALSE())</f>
        <v>#N/A</v>
      </c>
      <c r="T401" s="0" t="e">
        <f aca="false">VLOOKUP($A401,content_factors_backup!$A$2:$Q$468,T$525,FALSE())</f>
        <v>#N/A</v>
      </c>
      <c r="U401" s="0" t="e">
        <f aca="false">VLOOKUP($A401,content_factors_backup!$A$2:$Q$468,U$525,FALSE())</f>
        <v>#N/A</v>
      </c>
      <c r="V401" s="0" t="e">
        <f aca="false">VLOOKUP($A401,content_factors_backup!$A$2:$Q$468,V$525,FALSE())</f>
        <v>#N/A</v>
      </c>
      <c r="W401" s="0" t="e">
        <f aca="false">VLOOKUP($A401,content_factors_backup!$A$2:$Q$468,W$525,FALSE())</f>
        <v>#N/A</v>
      </c>
    </row>
    <row r="402" customFormat="false" ht="14.25" hidden="false" customHeight="false" outlineLevel="0" collapsed="false">
      <c r="A402" s="0" t="n">
        <v>972</v>
      </c>
      <c r="B402" s="0" t="s">
        <v>934</v>
      </c>
      <c r="G402" s="0" t="s">
        <v>935</v>
      </c>
      <c r="I402" s="0" t="e">
        <f aca="false">VLOOKUP($A402,content_factors_backup!$A$2:$Q$468,I$525,FALSE())</f>
        <v>#N/A</v>
      </c>
      <c r="J402" s="0" t="e">
        <f aca="false">VLOOKUP($A402,content_factors_backup!$A$2:$Q$468,J$525,FALSE())</f>
        <v>#N/A</v>
      </c>
      <c r="K402" s="0" t="e">
        <f aca="false">VLOOKUP($A402,content_factors_backup!$A$2:$Q$468,K$525,FALSE())</f>
        <v>#N/A</v>
      </c>
      <c r="L402" s="0" t="e">
        <f aca="false">VLOOKUP($A402,content_factors_backup!$A$2:$Q$468,L$525,FALSE())</f>
        <v>#N/A</v>
      </c>
      <c r="M402" s="0" t="e">
        <f aca="false">VLOOKUP($A402,content_factors_backup!$A$2:$Q$468,M$525,FALSE())</f>
        <v>#N/A</v>
      </c>
      <c r="N402" s="0" t="e">
        <f aca="false">VLOOKUP($A402,content_factors_backup!$A$2:$Q$468,N$525,FALSE())</f>
        <v>#N/A</v>
      </c>
      <c r="O402" s="0" t="e">
        <f aca="false">VLOOKUP($A402,content_factors_backup!$A$2:$Q$468,O$525,FALSE())</f>
        <v>#N/A</v>
      </c>
      <c r="P402" s="0" t="e">
        <f aca="false">VLOOKUP($A402,content_factors_backup!$A$2:$Q$468,P$525,FALSE())</f>
        <v>#N/A</v>
      </c>
      <c r="Q402" s="0" t="e">
        <f aca="false">VLOOKUP($A402,content_factors_backup!$A$2:$Q$468,Q$525,FALSE())</f>
        <v>#N/A</v>
      </c>
      <c r="R402" s="0" t="e">
        <f aca="false">VLOOKUP($A402,content_factors_backup!$A$2:$Q$468,R$525,FALSE())</f>
        <v>#N/A</v>
      </c>
      <c r="S402" s="0" t="e">
        <f aca="false">VLOOKUP($A402,content_factors_backup!$A$2:$Q$468,S$525,FALSE())</f>
        <v>#N/A</v>
      </c>
      <c r="T402" s="0" t="e">
        <f aca="false">VLOOKUP($A402,content_factors_backup!$A$2:$Q$468,T$525,FALSE())</f>
        <v>#N/A</v>
      </c>
      <c r="U402" s="0" t="e">
        <f aca="false">VLOOKUP($A402,content_factors_backup!$A$2:$Q$468,U$525,FALSE())</f>
        <v>#N/A</v>
      </c>
      <c r="V402" s="0" t="e">
        <f aca="false">VLOOKUP($A402,content_factors_backup!$A$2:$Q$468,V$525,FALSE())</f>
        <v>#N/A</v>
      </c>
      <c r="W402" s="0" t="e">
        <f aca="false">VLOOKUP($A402,content_factors_backup!$A$2:$Q$468,W$525,FALSE())</f>
        <v>#N/A</v>
      </c>
    </row>
    <row r="403" customFormat="false" ht="14.25" hidden="false" customHeight="false" outlineLevel="0" collapsed="false">
      <c r="A403" s="0" t="n">
        <v>976</v>
      </c>
      <c r="B403" s="0" t="s">
        <v>936</v>
      </c>
      <c r="C403" s="0" t="s">
        <v>937</v>
      </c>
      <c r="E403" s="0" t="n">
        <v>10410</v>
      </c>
      <c r="F403" s="0" t="n">
        <v>10410</v>
      </c>
      <c r="G403" s="0" t="n">
        <v>2122</v>
      </c>
      <c r="I403" s="0" t="n">
        <f aca="false">VLOOKUP($A403,content_factors_backup!$A$2:$Q$468,I$525,FALSE())</f>
        <v>0</v>
      </c>
      <c r="J403" s="0" t="e">
        <f aca="false">VLOOKUP($A403,content_factors_backup!$A$2:$Q$468,J$525,FALSE())</f>
        <v>#N/A</v>
      </c>
      <c r="K403" s="0" t="e">
        <f aca="false">VLOOKUP($A403,content_factors_backup!$A$2:$Q$468,K$525,FALSE())</f>
        <v>#N/A</v>
      </c>
      <c r="L403" s="0" t="e">
        <f aca="false">VLOOKUP($A403,content_factors_backup!$A$2:$Q$468,L$525,FALSE())</f>
        <v>#N/A</v>
      </c>
      <c r="M403" s="0" t="e">
        <f aca="false">VLOOKUP($A403,content_factors_backup!$A$2:$Q$468,M$525,FALSE())</f>
        <v>#N/A</v>
      </c>
      <c r="N403" s="0" t="e">
        <f aca="false">VLOOKUP($A403,content_factors_backup!$A$2:$Q$468,N$525,FALSE())</f>
        <v>#N/A</v>
      </c>
      <c r="O403" s="0" t="e">
        <f aca="false">VLOOKUP($A403,content_factors_backup!$A$2:$Q$468,O$525,FALSE())</f>
        <v>#N/A</v>
      </c>
      <c r="P403" s="0" t="e">
        <f aca="false">VLOOKUP($A403,content_factors_backup!$A$2:$Q$468,P$525,FALSE())</f>
        <v>#N/A</v>
      </c>
      <c r="Q403" s="0" t="e">
        <f aca="false">VLOOKUP($A403,content_factors_backup!$A$2:$Q$468,Q$525,FALSE())</f>
        <v>#N/A</v>
      </c>
      <c r="R403" s="0" t="e">
        <f aca="false">VLOOKUP($A403,content_factors_backup!$A$2:$Q$468,R$525,FALSE())</f>
        <v>#N/A</v>
      </c>
      <c r="S403" s="0" t="e">
        <f aca="false">VLOOKUP($A403,content_factors_backup!$A$2:$Q$468,S$525,FALSE())</f>
        <v>#N/A</v>
      </c>
      <c r="T403" s="0" t="e">
        <f aca="false">VLOOKUP($A403,content_factors_backup!$A$2:$Q$468,T$525,FALSE())</f>
        <v>#N/A</v>
      </c>
      <c r="U403" s="0" t="e">
        <f aca="false">VLOOKUP($A403,content_factors_backup!$A$2:$Q$468,U$525,FALSE())</f>
        <v>#N/A</v>
      </c>
      <c r="V403" s="0" t="e">
        <f aca="false">VLOOKUP($A403,content_factors_backup!$A$2:$Q$468,V$525,FALSE())</f>
        <v>#N/A</v>
      </c>
      <c r="W403" s="0" t="e">
        <f aca="false">VLOOKUP($A403,content_factors_backup!$A$2:$Q$468,W$525,FALSE())</f>
        <v>#N/A</v>
      </c>
    </row>
    <row r="404" customFormat="false" ht="14.25" hidden="false" customHeight="false" outlineLevel="0" collapsed="false">
      <c r="A404" s="0" t="n">
        <v>977</v>
      </c>
      <c r="B404" s="0" t="s">
        <v>938</v>
      </c>
      <c r="C404" s="0" t="s">
        <v>939</v>
      </c>
      <c r="E404" s="0" t="s">
        <v>940</v>
      </c>
      <c r="F404" s="0" t="s">
        <v>940</v>
      </c>
      <c r="G404" s="0" t="n">
        <v>21115</v>
      </c>
      <c r="I404" s="0" t="n">
        <f aca="false">VLOOKUP($A404,content_factors_backup!$A$2:$Q$468,I$525,FALSE())</f>
        <v>50</v>
      </c>
      <c r="J404" s="0" t="n">
        <f aca="false">VLOOKUP($A404,content_factors_backup!$A$2:$Q$468,J$525,FALSE())</f>
        <v>179.5</v>
      </c>
      <c r="K404" s="0" t="n">
        <f aca="false">VLOOKUP($A404,content_factors_backup!$A$2:$Q$468,K$525,FALSE())</f>
        <v>18.8</v>
      </c>
      <c r="L404" s="0" t="n">
        <f aca="false">VLOOKUP($A404,content_factors_backup!$A$2:$Q$468,L$525,FALSE())</f>
        <v>0</v>
      </c>
      <c r="M404" s="0" t="n">
        <f aca="false">VLOOKUP($A404,content_factors_backup!$A$2:$Q$468,M$525,FALSE())</f>
        <v>3.33</v>
      </c>
      <c r="N404" s="0" t="n">
        <f aca="false">VLOOKUP($A404,content_factors_backup!$A$2:$Q$468,N$525,FALSE())</f>
        <v>2.2</v>
      </c>
      <c r="O404" s="0" t="n">
        <f aca="false">VLOOKUP($A404,content_factors_backup!$A$2:$Q$468,O$525,FALSE())</f>
        <v>11</v>
      </c>
      <c r="P404" s="0" t="n">
        <f aca="false">VLOOKUP($A404,content_factors_backup!$A$2:$Q$468,P$525,FALSE())</f>
        <v>5</v>
      </c>
      <c r="Q404" s="0" t="n">
        <f aca="false">VLOOKUP($A404,content_factors_backup!$A$2:$Q$468,Q$525,FALSE())</f>
        <v>0.2</v>
      </c>
      <c r="R404" s="0" t="n">
        <f aca="false">VLOOKUP($A404,content_factors_backup!$A$2:$Q$468,R$525,FALSE())</f>
        <v>0</v>
      </c>
      <c r="S404" s="0" t="n">
        <f aca="false">VLOOKUP($A404,content_factors_backup!$A$2:$Q$468,S$525,FALSE())</f>
        <v>300</v>
      </c>
      <c r="T404" s="0" t="n">
        <f aca="false">VLOOKUP($A404,content_factors_backup!$A$2:$Q$468,T$525,FALSE())</f>
        <v>0.120021922207713</v>
      </c>
      <c r="U404" s="0" t="n">
        <f aca="false">VLOOKUP($A404,content_factors_backup!$A$2:$Q$468,U$525,FALSE())</f>
        <v>2.14721610700734</v>
      </c>
      <c r="V404" s="0" t="n">
        <f aca="false">VLOOKUP($A404,content_factors_backup!$A$2:$Q$468,V$525,FALSE())</f>
        <v>2.43385690345533</v>
      </c>
      <c r="W404" s="0" t="n">
        <f aca="false">VLOOKUP($A404,content_factors_backup!$A$2:$Q$468,W$525,FALSE())</f>
        <v>8</v>
      </c>
    </row>
    <row r="405" customFormat="false" ht="14.25" hidden="false" customHeight="false" outlineLevel="0" collapsed="false">
      <c r="A405" s="0" t="n">
        <v>978</v>
      </c>
      <c r="B405" s="0" t="s">
        <v>941</v>
      </c>
      <c r="C405" s="0" t="s">
        <v>855</v>
      </c>
      <c r="E405" s="0" t="s">
        <v>942</v>
      </c>
      <c r="F405" s="0" t="s">
        <v>942</v>
      </c>
      <c r="G405" s="0" t="n">
        <v>21155</v>
      </c>
      <c r="I405" s="0" t="n">
        <f aca="false">VLOOKUP($A405,content_factors_backup!$A$2:$Q$468,I$525,FALSE())</f>
        <v>50</v>
      </c>
      <c r="J405" s="0" t="n">
        <f aca="false">VLOOKUP($A405,content_factors_backup!$A$2:$Q$468,J$525,FALSE())</f>
        <v>124</v>
      </c>
      <c r="K405" s="0" t="n">
        <f aca="false">VLOOKUP($A405,content_factors_backup!$A$2:$Q$468,K$525,FALSE())</f>
        <v>16.47</v>
      </c>
      <c r="L405" s="0" t="n">
        <f aca="false">VLOOKUP($A405,content_factors_backup!$A$2:$Q$468,L$525,FALSE())</f>
        <v>0</v>
      </c>
      <c r="M405" s="0" t="n">
        <f aca="false">VLOOKUP($A405,content_factors_backup!$A$2:$Q$468,M$525,FALSE())</f>
        <v>2.085</v>
      </c>
      <c r="N405" s="0" t="n">
        <f aca="false">VLOOKUP($A405,content_factors_backup!$A$2:$Q$468,N$525,FALSE())</f>
        <v>5.8</v>
      </c>
      <c r="O405" s="0" t="n">
        <f aca="false">VLOOKUP($A405,content_factors_backup!$A$2:$Q$468,O$525,FALSE())</f>
        <v>9.9</v>
      </c>
      <c r="P405" s="0" t="n">
        <f aca="false">VLOOKUP($A405,content_factors_backup!$A$2:$Q$468,P$525,FALSE())</f>
        <v>12</v>
      </c>
      <c r="Q405" s="0" t="n">
        <f aca="false">VLOOKUP($A405,content_factors_backup!$A$2:$Q$468,Q$525,FALSE())</f>
        <v>0.52</v>
      </c>
      <c r="R405" s="0" t="n">
        <f aca="false">VLOOKUP($A405,content_factors_backup!$A$2:$Q$468,R$525,FALSE())</f>
        <v>0</v>
      </c>
      <c r="S405" s="0" t="n">
        <f aca="false">VLOOKUP($A405,content_factors_backup!$A$2:$Q$468,S$525,FALSE())</f>
        <v>296</v>
      </c>
      <c r="T405" s="0" t="n">
        <f aca="false">VLOOKUP($A405,content_factors_backup!$A$2:$Q$468,T$525,FALSE())</f>
        <v>0.6</v>
      </c>
      <c r="U405" s="0" t="n">
        <f aca="false">VLOOKUP($A405,content_factors_backup!$A$2:$Q$468,U$525,FALSE())</f>
        <v>61.6</v>
      </c>
      <c r="V405" s="0" t="n">
        <f aca="false">VLOOKUP($A405,content_factors_backup!$A$2:$Q$468,V$525,FALSE())</f>
        <v>1.6</v>
      </c>
      <c r="W405" s="0" t="n">
        <f aca="false">VLOOKUP($A405,content_factors_backup!$A$2:$Q$468,W$525,FALSE())</f>
        <v>110.5</v>
      </c>
    </row>
    <row r="406" customFormat="false" ht="14.25" hidden="false" customHeight="false" outlineLevel="0" collapsed="false">
      <c r="A406" s="0" t="n">
        <v>979</v>
      </c>
      <c r="B406" s="0" t="s">
        <v>943</v>
      </c>
      <c r="C406" s="0" t="s">
        <v>944</v>
      </c>
      <c r="E406" s="0" t="n">
        <v>150200</v>
      </c>
      <c r="F406" s="0" t="n">
        <v>150290</v>
      </c>
      <c r="G406" s="0" t="n">
        <v>21514</v>
      </c>
      <c r="I406" s="0" t="e">
        <f aca="false">VLOOKUP($A406,content_factors_backup!$A$2:$Q$468,I$525,FALSE())</f>
        <v>#N/A</v>
      </c>
      <c r="J406" s="0" t="e">
        <f aca="false">VLOOKUP($A406,content_factors_backup!$A$2:$Q$468,J$525,FALSE())</f>
        <v>#N/A</v>
      </c>
      <c r="K406" s="0" t="e">
        <f aca="false">VLOOKUP($A406,content_factors_backup!$A$2:$Q$468,K$525,FALSE())</f>
        <v>#N/A</v>
      </c>
      <c r="L406" s="0" t="e">
        <f aca="false">VLOOKUP($A406,content_factors_backup!$A$2:$Q$468,L$525,FALSE())</f>
        <v>#N/A</v>
      </c>
      <c r="M406" s="0" t="e">
        <f aca="false">VLOOKUP($A406,content_factors_backup!$A$2:$Q$468,M$525,FALSE())</f>
        <v>#N/A</v>
      </c>
      <c r="N406" s="0" t="e">
        <f aca="false">VLOOKUP($A406,content_factors_backup!$A$2:$Q$468,N$525,FALSE())</f>
        <v>#N/A</v>
      </c>
      <c r="O406" s="0" t="e">
        <f aca="false">VLOOKUP($A406,content_factors_backup!$A$2:$Q$468,O$525,FALSE())</f>
        <v>#N/A</v>
      </c>
      <c r="P406" s="0" t="e">
        <f aca="false">VLOOKUP($A406,content_factors_backup!$A$2:$Q$468,P$525,FALSE())</f>
        <v>#N/A</v>
      </c>
      <c r="Q406" s="0" t="e">
        <f aca="false">VLOOKUP($A406,content_factors_backup!$A$2:$Q$468,Q$525,FALSE())</f>
        <v>#N/A</v>
      </c>
      <c r="R406" s="0" t="e">
        <f aca="false">VLOOKUP($A406,content_factors_backup!$A$2:$Q$468,R$525,FALSE())</f>
        <v>#N/A</v>
      </c>
      <c r="S406" s="0" t="e">
        <f aca="false">VLOOKUP($A406,content_factors_backup!$A$2:$Q$468,S$525,FALSE())</f>
        <v>#N/A</v>
      </c>
      <c r="T406" s="0" t="e">
        <f aca="false">VLOOKUP($A406,content_factors_backup!$A$2:$Q$468,T$525,FALSE())</f>
        <v>#N/A</v>
      </c>
      <c r="U406" s="0" t="e">
        <f aca="false">VLOOKUP($A406,content_factors_backup!$A$2:$Q$468,U$525,FALSE())</f>
        <v>#N/A</v>
      </c>
      <c r="V406" s="0" t="e">
        <f aca="false">VLOOKUP($A406,content_factors_backup!$A$2:$Q$468,V$525,FALSE())</f>
        <v>#N/A</v>
      </c>
      <c r="W406" s="0" t="e">
        <f aca="false">VLOOKUP($A406,content_factors_backup!$A$2:$Q$468,W$525,FALSE())</f>
        <v>#N/A</v>
      </c>
    </row>
    <row r="407" customFormat="false" ht="14.25" hidden="false" customHeight="false" outlineLevel="0" collapsed="false">
      <c r="A407" s="0" t="n">
        <v>982</v>
      </c>
      <c r="B407" s="0" t="s">
        <v>945</v>
      </c>
      <c r="C407" s="0" t="s">
        <v>927</v>
      </c>
      <c r="E407" s="0" t="s">
        <v>869</v>
      </c>
      <c r="F407" s="0" t="s">
        <v>870</v>
      </c>
      <c r="G407" s="0" t="n">
        <v>2291</v>
      </c>
      <c r="I407" s="0" t="n">
        <f aca="false">VLOOKUP($A407,content_factors_backup!$A$2:$Q$468,I$525,FALSE())</f>
        <v>13</v>
      </c>
      <c r="J407" s="0" t="n">
        <f aca="false">VLOOKUP($A407,content_factors_backup!$A$2:$Q$468,J$525,FALSE())</f>
        <v>100</v>
      </c>
      <c r="K407" s="0" t="n">
        <f aca="false">VLOOKUP($A407,content_factors_backup!$A$2:$Q$468,K$525,FALSE())</f>
        <v>5.9</v>
      </c>
      <c r="L407" s="0" t="n">
        <f aca="false">VLOOKUP($A407,content_factors_backup!$A$2:$Q$468,L$525,FALSE())</f>
        <v>0</v>
      </c>
      <c r="M407" s="0" t="n">
        <f aca="false">VLOOKUP($A407,content_factors_backup!$A$2:$Q$468,M$525,FALSE())</f>
        <v>0.54</v>
      </c>
      <c r="N407" s="0" t="n">
        <f aca="false">VLOOKUP($A407,content_factors_backup!$A$2:$Q$468,N$525,FALSE())</f>
        <v>0.1</v>
      </c>
      <c r="O407" s="0" t="n">
        <f aca="false">VLOOKUP($A407,content_factors_backup!$A$2:$Q$468,O$525,FALSE())</f>
        <v>200</v>
      </c>
      <c r="P407" s="0" t="n">
        <f aca="false">VLOOKUP($A407,content_factors_backup!$A$2:$Q$468,P$525,FALSE())</f>
        <v>7</v>
      </c>
      <c r="Q407" s="0" t="n">
        <f aca="false">VLOOKUP($A407,content_factors_backup!$A$2:$Q$468,Q$525,FALSE())</f>
        <v>0.355</v>
      </c>
      <c r="R407" s="0" t="n">
        <f aca="false">VLOOKUP($A407,content_factors_backup!$A$2:$Q$468,R$525,FALSE())</f>
        <v>0</v>
      </c>
      <c r="S407" s="0" t="n">
        <f aca="false">VLOOKUP($A407,content_factors_backup!$A$2:$Q$468,S$525,FALSE())</f>
        <v>162</v>
      </c>
      <c r="T407" s="0" t="n">
        <f aca="false">VLOOKUP($A407,content_factors_backup!$A$2:$Q$468,T$525,FALSE())</f>
        <v>0</v>
      </c>
      <c r="U407" s="0" t="n">
        <f aca="false">VLOOKUP($A407,content_factors_backup!$A$2:$Q$468,U$525,FALSE())</f>
        <v>0.355</v>
      </c>
      <c r="V407" s="0" t="n">
        <f aca="false">VLOOKUP($A407,content_factors_backup!$A$2:$Q$468,V$525,FALSE())</f>
        <v>0</v>
      </c>
      <c r="W407" s="0" t="n">
        <f aca="false">VLOOKUP($A407,content_factors_backup!$A$2:$Q$468,W$525,FALSE())</f>
        <v>44</v>
      </c>
    </row>
    <row r="408" customFormat="false" ht="14.25" hidden="false" customHeight="false" outlineLevel="0" collapsed="false">
      <c r="A408" s="0" t="n">
        <v>984</v>
      </c>
      <c r="B408" s="0" t="s">
        <v>946</v>
      </c>
      <c r="E408" s="0" t="s">
        <v>900</v>
      </c>
      <c r="F408" s="0" t="s">
        <v>900</v>
      </c>
      <c r="G408" s="0" t="n">
        <v>22253</v>
      </c>
      <c r="I408" s="0" t="n">
        <f aca="false">VLOOKUP($A408,content_factors_backup!$A$2:$Q$468,I$525,FALSE())</f>
        <v>60</v>
      </c>
      <c r="J408" s="0" t="n">
        <f aca="false">VLOOKUP($A408,content_factors_backup!$A$2:$Q$468,J$525,FALSE())</f>
        <v>323</v>
      </c>
      <c r="K408" s="0" t="n">
        <f aca="false">VLOOKUP($A408,content_factors_backup!$A$2:$Q$468,K$525,FALSE())</f>
        <v>21.92</v>
      </c>
      <c r="L408" s="0" t="n">
        <f aca="false">VLOOKUP($A408,content_factors_backup!$A$2:$Q$468,L$525,FALSE())</f>
        <v>0</v>
      </c>
      <c r="M408" s="0" t="n">
        <f aca="false">VLOOKUP($A408,content_factors_backup!$A$2:$Q$468,M$525,FALSE())</f>
        <v>3.55</v>
      </c>
      <c r="N408" s="0" t="n">
        <f aca="false">VLOOKUP($A408,content_factors_backup!$A$2:$Q$468,N$525,FALSE())</f>
        <v>0.6</v>
      </c>
      <c r="O408" s="0" t="n">
        <f aca="false">VLOOKUP($A408,content_factors_backup!$A$2:$Q$468,O$525,FALSE())</f>
        <v>723</v>
      </c>
      <c r="P408" s="0" t="n">
        <f aca="false">VLOOKUP($A408,content_factors_backup!$A$2:$Q$468,P$525,FALSE())</f>
        <v>6</v>
      </c>
      <c r="Q408" s="0" t="n">
        <f aca="false">VLOOKUP($A408,content_factors_backup!$A$2:$Q$468,Q$525,FALSE())</f>
        <v>0.4</v>
      </c>
      <c r="R408" s="0" t="n">
        <f aca="false">VLOOKUP($A408,content_factors_backup!$A$2:$Q$468,R$525,FALSE())</f>
        <v>0</v>
      </c>
      <c r="S408" s="0" t="n">
        <f aca="false">VLOOKUP($A408,content_factors_backup!$A$2:$Q$468,S$525,FALSE())</f>
        <v>284</v>
      </c>
      <c r="T408" s="0" t="n">
        <f aca="false">VLOOKUP($A408,content_factors_backup!$A$2:$Q$468,T$525,FALSE())</f>
        <v>0</v>
      </c>
      <c r="U408" s="0" t="n">
        <f aca="false">VLOOKUP($A408,content_factors_backup!$A$2:$Q$468,U$525,FALSE())</f>
        <v>2.3</v>
      </c>
      <c r="V408" s="0" t="n">
        <f aca="false">VLOOKUP($A408,content_factors_backup!$A$2:$Q$468,V$525,FALSE())</f>
        <v>0</v>
      </c>
      <c r="W408" s="0" t="n">
        <f aca="false">VLOOKUP($A408,content_factors_backup!$A$2:$Q$468,W$525,FALSE())</f>
        <v>237</v>
      </c>
    </row>
    <row r="409" customFormat="false" ht="14.25" hidden="false" customHeight="false" outlineLevel="0" collapsed="false">
      <c r="A409" s="0" t="n">
        <v>987</v>
      </c>
      <c r="B409" s="0" t="s">
        <v>947</v>
      </c>
      <c r="C409" s="0" t="s">
        <v>948</v>
      </c>
      <c r="E409" s="0" t="s">
        <v>949</v>
      </c>
      <c r="F409" s="0" t="s">
        <v>949</v>
      </c>
      <c r="G409" s="0" t="n">
        <v>2941</v>
      </c>
      <c r="I409" s="0" t="n">
        <f aca="false">VLOOKUP($A409,content_factors_backup!$A$2:$Q$468,I$525,FALSE())</f>
        <v>90</v>
      </c>
      <c r="J409" s="0" t="e">
        <f aca="false">VLOOKUP($A409,content_factors_backup!$A$2:$Q$468,J$525,FALSE())</f>
        <v>#N/A</v>
      </c>
      <c r="K409" s="0" t="e">
        <f aca="false">VLOOKUP($A409,content_factors_backup!$A$2:$Q$468,K$525,FALSE())</f>
        <v>#N/A</v>
      </c>
      <c r="L409" s="0" t="e">
        <f aca="false">VLOOKUP($A409,content_factors_backup!$A$2:$Q$468,L$525,FALSE())</f>
        <v>#N/A</v>
      </c>
      <c r="M409" s="0" t="e">
        <f aca="false">VLOOKUP($A409,content_factors_backup!$A$2:$Q$468,M$525,FALSE())</f>
        <v>#N/A</v>
      </c>
      <c r="N409" s="0" t="e">
        <f aca="false">VLOOKUP($A409,content_factors_backup!$A$2:$Q$468,N$525,FALSE())</f>
        <v>#N/A</v>
      </c>
      <c r="O409" s="0" t="e">
        <f aca="false">VLOOKUP($A409,content_factors_backup!$A$2:$Q$468,O$525,FALSE())</f>
        <v>#N/A</v>
      </c>
      <c r="P409" s="0" t="e">
        <f aca="false">VLOOKUP($A409,content_factors_backup!$A$2:$Q$468,P$525,FALSE())</f>
        <v>#N/A</v>
      </c>
      <c r="Q409" s="0" t="e">
        <f aca="false">VLOOKUP($A409,content_factors_backup!$A$2:$Q$468,Q$525,FALSE())</f>
        <v>#N/A</v>
      </c>
      <c r="R409" s="0" t="e">
        <f aca="false">VLOOKUP($A409,content_factors_backup!$A$2:$Q$468,R$525,FALSE())</f>
        <v>#N/A</v>
      </c>
      <c r="S409" s="0" t="e">
        <f aca="false">VLOOKUP($A409,content_factors_backup!$A$2:$Q$468,S$525,FALSE())</f>
        <v>#N/A</v>
      </c>
      <c r="T409" s="0" t="e">
        <f aca="false">VLOOKUP($A409,content_factors_backup!$A$2:$Q$468,T$525,FALSE())</f>
        <v>#N/A</v>
      </c>
      <c r="U409" s="0" t="e">
        <f aca="false">VLOOKUP($A409,content_factors_backup!$A$2:$Q$468,U$525,FALSE())</f>
        <v>#N/A</v>
      </c>
      <c r="V409" s="0" t="e">
        <f aca="false">VLOOKUP($A409,content_factors_backup!$A$2:$Q$468,V$525,FALSE())</f>
        <v>#N/A</v>
      </c>
      <c r="W409" s="0" t="e">
        <f aca="false">VLOOKUP($A409,content_factors_backup!$A$2:$Q$468,W$525,FALSE())</f>
        <v>#N/A</v>
      </c>
    </row>
    <row r="410" customFormat="false" ht="14.25" hidden="false" customHeight="false" outlineLevel="0" collapsed="false">
      <c r="A410" s="0" t="n">
        <v>988</v>
      </c>
      <c r="B410" s="0" t="s">
        <v>950</v>
      </c>
      <c r="C410" s="0" t="s">
        <v>951</v>
      </c>
      <c r="E410" s="0" t="s">
        <v>952</v>
      </c>
      <c r="F410" s="0" t="s">
        <v>952</v>
      </c>
      <c r="G410" s="0" t="n">
        <v>26130</v>
      </c>
      <c r="I410" s="0" t="n">
        <f aca="false">VLOOKUP($A410,content_factors_backup!$A$2:$Q$468,I$525,FALSE())</f>
        <v>90</v>
      </c>
      <c r="J410" s="0" t="e">
        <f aca="false">VLOOKUP($A410,content_factors_backup!$A$2:$Q$468,J$525,FALSE())</f>
        <v>#N/A</v>
      </c>
      <c r="K410" s="0" t="e">
        <f aca="false">VLOOKUP($A410,content_factors_backup!$A$2:$Q$468,K$525,FALSE())</f>
        <v>#N/A</v>
      </c>
      <c r="L410" s="0" t="e">
        <f aca="false">VLOOKUP($A410,content_factors_backup!$A$2:$Q$468,L$525,FALSE())</f>
        <v>#N/A</v>
      </c>
      <c r="M410" s="0" t="e">
        <f aca="false">VLOOKUP($A410,content_factors_backup!$A$2:$Q$468,M$525,FALSE())</f>
        <v>#N/A</v>
      </c>
      <c r="N410" s="0" t="e">
        <f aca="false">VLOOKUP($A410,content_factors_backup!$A$2:$Q$468,N$525,FALSE())</f>
        <v>#N/A</v>
      </c>
      <c r="O410" s="0" t="e">
        <f aca="false">VLOOKUP($A410,content_factors_backup!$A$2:$Q$468,O$525,FALSE())</f>
        <v>#N/A</v>
      </c>
      <c r="P410" s="0" t="e">
        <f aca="false">VLOOKUP($A410,content_factors_backup!$A$2:$Q$468,P$525,FALSE())</f>
        <v>#N/A</v>
      </c>
      <c r="Q410" s="0" t="e">
        <f aca="false">VLOOKUP($A410,content_factors_backup!$A$2:$Q$468,Q$525,FALSE())</f>
        <v>#N/A</v>
      </c>
      <c r="R410" s="0" t="e">
        <f aca="false">VLOOKUP($A410,content_factors_backup!$A$2:$Q$468,R$525,FALSE())</f>
        <v>#N/A</v>
      </c>
      <c r="S410" s="0" t="e">
        <f aca="false">VLOOKUP($A410,content_factors_backup!$A$2:$Q$468,S$525,FALSE())</f>
        <v>#N/A</v>
      </c>
      <c r="T410" s="0" t="e">
        <f aca="false">VLOOKUP($A410,content_factors_backup!$A$2:$Q$468,T$525,FALSE())</f>
        <v>#N/A</v>
      </c>
      <c r="U410" s="0" t="e">
        <f aca="false">VLOOKUP($A410,content_factors_backup!$A$2:$Q$468,U$525,FALSE())</f>
        <v>#N/A</v>
      </c>
      <c r="V410" s="0" t="e">
        <f aca="false">VLOOKUP($A410,content_factors_backup!$A$2:$Q$468,V$525,FALSE())</f>
        <v>#N/A</v>
      </c>
      <c r="W410" s="0" t="e">
        <f aca="false">VLOOKUP($A410,content_factors_backup!$A$2:$Q$468,W$525,FALSE())</f>
        <v>#N/A</v>
      </c>
    </row>
    <row r="411" customFormat="false" ht="14.25" hidden="false" customHeight="false" outlineLevel="0" collapsed="false">
      <c r="A411" s="0" t="n">
        <v>994</v>
      </c>
      <c r="B411" s="0" t="s">
        <v>953</v>
      </c>
      <c r="C411" s="0" t="s">
        <v>954</v>
      </c>
      <c r="E411" s="0" t="n">
        <v>150500</v>
      </c>
      <c r="F411" s="0" t="n">
        <v>150500</v>
      </c>
      <c r="G411" s="0" t="s">
        <v>955</v>
      </c>
      <c r="I411" s="0" t="n">
        <f aca="false">VLOOKUP($A411,content_factors_backup!$A$2:$Q$468,I$525,FALSE())</f>
        <v>100</v>
      </c>
      <c r="J411" s="0" t="e">
        <f aca="false">VLOOKUP($A411,content_factors_backup!$A$2:$Q$468,J$525,FALSE())</f>
        <v>#N/A</v>
      </c>
      <c r="K411" s="0" t="e">
        <f aca="false">VLOOKUP($A411,content_factors_backup!$A$2:$Q$468,K$525,FALSE())</f>
        <v>#N/A</v>
      </c>
      <c r="L411" s="0" t="e">
        <f aca="false">VLOOKUP($A411,content_factors_backup!$A$2:$Q$468,L$525,FALSE())</f>
        <v>#N/A</v>
      </c>
      <c r="M411" s="0" t="e">
        <f aca="false">VLOOKUP($A411,content_factors_backup!$A$2:$Q$468,M$525,FALSE())</f>
        <v>#N/A</v>
      </c>
      <c r="N411" s="0" t="e">
        <f aca="false">VLOOKUP($A411,content_factors_backup!$A$2:$Q$468,N$525,FALSE())</f>
        <v>#N/A</v>
      </c>
      <c r="O411" s="0" t="e">
        <f aca="false">VLOOKUP($A411,content_factors_backup!$A$2:$Q$468,O$525,FALSE())</f>
        <v>#N/A</v>
      </c>
      <c r="P411" s="0" t="e">
        <f aca="false">VLOOKUP($A411,content_factors_backup!$A$2:$Q$468,P$525,FALSE())</f>
        <v>#N/A</v>
      </c>
      <c r="Q411" s="0" t="e">
        <f aca="false">VLOOKUP($A411,content_factors_backup!$A$2:$Q$468,Q$525,FALSE())</f>
        <v>#N/A</v>
      </c>
      <c r="R411" s="0" t="e">
        <f aca="false">VLOOKUP($A411,content_factors_backup!$A$2:$Q$468,R$525,FALSE())</f>
        <v>#N/A</v>
      </c>
      <c r="S411" s="0" t="e">
        <f aca="false">VLOOKUP($A411,content_factors_backup!$A$2:$Q$468,S$525,FALSE())</f>
        <v>#N/A</v>
      </c>
      <c r="T411" s="0" t="e">
        <f aca="false">VLOOKUP($A411,content_factors_backup!$A$2:$Q$468,T$525,FALSE())</f>
        <v>#N/A</v>
      </c>
      <c r="U411" s="0" t="e">
        <f aca="false">VLOOKUP($A411,content_factors_backup!$A$2:$Q$468,U$525,FALSE())</f>
        <v>#N/A</v>
      </c>
      <c r="V411" s="0" t="e">
        <f aca="false">VLOOKUP($A411,content_factors_backup!$A$2:$Q$468,V$525,FALSE())</f>
        <v>#N/A</v>
      </c>
      <c r="W411" s="0" t="e">
        <f aca="false">VLOOKUP($A411,content_factors_backup!$A$2:$Q$468,W$525,FALSE())</f>
        <v>#N/A</v>
      </c>
    </row>
    <row r="412" customFormat="false" ht="14.25" hidden="false" customHeight="false" outlineLevel="0" collapsed="false">
      <c r="A412" s="0" t="n">
        <v>995</v>
      </c>
      <c r="B412" s="0" t="s">
        <v>956</v>
      </c>
      <c r="C412" s="0" t="s">
        <v>930</v>
      </c>
      <c r="E412" s="0" t="s">
        <v>957</v>
      </c>
      <c r="F412" s="0" t="s">
        <v>957</v>
      </c>
      <c r="G412" s="0" t="n">
        <v>2953</v>
      </c>
      <c r="I412" s="0" t="e">
        <f aca="false">VLOOKUP($A412,content_factors_backup!$A$2:$Q$468,I$525,FALSE())</f>
        <v>#N/A</v>
      </c>
      <c r="J412" s="0" t="e">
        <f aca="false">VLOOKUP($A412,content_factors_backup!$A$2:$Q$468,J$525,FALSE())</f>
        <v>#N/A</v>
      </c>
      <c r="K412" s="0" t="e">
        <f aca="false">VLOOKUP($A412,content_factors_backup!$A$2:$Q$468,K$525,FALSE())</f>
        <v>#N/A</v>
      </c>
      <c r="L412" s="0" t="e">
        <f aca="false">VLOOKUP($A412,content_factors_backup!$A$2:$Q$468,L$525,FALSE())</f>
        <v>#N/A</v>
      </c>
      <c r="M412" s="0" t="e">
        <f aca="false">VLOOKUP($A412,content_factors_backup!$A$2:$Q$468,M$525,FALSE())</f>
        <v>#N/A</v>
      </c>
      <c r="N412" s="0" t="e">
        <f aca="false">VLOOKUP($A412,content_factors_backup!$A$2:$Q$468,N$525,FALSE())</f>
        <v>#N/A</v>
      </c>
      <c r="O412" s="0" t="e">
        <f aca="false">VLOOKUP($A412,content_factors_backup!$A$2:$Q$468,O$525,FALSE())</f>
        <v>#N/A</v>
      </c>
      <c r="P412" s="0" t="e">
        <f aca="false">VLOOKUP($A412,content_factors_backup!$A$2:$Q$468,P$525,FALSE())</f>
        <v>#N/A</v>
      </c>
      <c r="Q412" s="0" t="e">
        <f aca="false">VLOOKUP($A412,content_factors_backup!$A$2:$Q$468,Q$525,FALSE())</f>
        <v>#N/A</v>
      </c>
      <c r="R412" s="0" t="e">
        <f aca="false">VLOOKUP($A412,content_factors_backup!$A$2:$Q$468,R$525,FALSE())</f>
        <v>#N/A</v>
      </c>
      <c r="S412" s="0" t="e">
        <f aca="false">VLOOKUP($A412,content_factors_backup!$A$2:$Q$468,S$525,FALSE())</f>
        <v>#N/A</v>
      </c>
      <c r="T412" s="0" t="e">
        <f aca="false">VLOOKUP($A412,content_factors_backup!$A$2:$Q$468,T$525,FALSE())</f>
        <v>#N/A</v>
      </c>
      <c r="U412" s="0" t="e">
        <f aca="false">VLOOKUP($A412,content_factors_backup!$A$2:$Q$468,U$525,FALSE())</f>
        <v>#N/A</v>
      </c>
      <c r="V412" s="0" t="e">
        <f aca="false">VLOOKUP($A412,content_factors_backup!$A$2:$Q$468,V$525,FALSE())</f>
        <v>#N/A</v>
      </c>
      <c r="W412" s="0" t="e">
        <f aca="false">VLOOKUP($A412,content_factors_backup!$A$2:$Q$468,W$525,FALSE())</f>
        <v>#N/A</v>
      </c>
    </row>
    <row r="413" customFormat="false" ht="14.25" hidden="false" customHeight="false" outlineLevel="0" collapsed="false">
      <c r="A413" s="0" t="n">
        <v>996</v>
      </c>
      <c r="B413" s="0" t="s">
        <v>958</v>
      </c>
      <c r="C413" s="0" t="s">
        <v>959</v>
      </c>
      <c r="E413" s="0" t="n">
        <v>410229</v>
      </c>
      <c r="F413" s="0" t="n">
        <v>410229</v>
      </c>
      <c r="G413" s="0" t="n">
        <v>2953.03</v>
      </c>
      <c r="I413" s="0" t="n">
        <f aca="false">VLOOKUP($A413,content_factors_backup!$A$2:$Q$468,I$525,FALSE())</f>
        <v>80</v>
      </c>
      <c r="J413" s="0" t="e">
        <f aca="false">VLOOKUP($A413,content_factors_backup!$A$2:$Q$468,J$525,FALSE())</f>
        <v>#N/A</v>
      </c>
      <c r="K413" s="0" t="e">
        <f aca="false">VLOOKUP($A413,content_factors_backup!$A$2:$Q$468,K$525,FALSE())</f>
        <v>#N/A</v>
      </c>
      <c r="L413" s="0" t="e">
        <f aca="false">VLOOKUP($A413,content_factors_backup!$A$2:$Q$468,L$525,FALSE())</f>
        <v>#N/A</v>
      </c>
      <c r="M413" s="0" t="e">
        <f aca="false">VLOOKUP($A413,content_factors_backup!$A$2:$Q$468,M$525,FALSE())</f>
        <v>#N/A</v>
      </c>
      <c r="N413" s="0" t="e">
        <f aca="false">VLOOKUP($A413,content_factors_backup!$A$2:$Q$468,N$525,FALSE())</f>
        <v>#N/A</v>
      </c>
      <c r="O413" s="0" t="e">
        <f aca="false">VLOOKUP($A413,content_factors_backup!$A$2:$Q$468,O$525,FALSE())</f>
        <v>#N/A</v>
      </c>
      <c r="P413" s="0" t="e">
        <f aca="false">VLOOKUP($A413,content_factors_backup!$A$2:$Q$468,P$525,FALSE())</f>
        <v>#N/A</v>
      </c>
      <c r="Q413" s="0" t="e">
        <f aca="false">VLOOKUP($A413,content_factors_backup!$A$2:$Q$468,Q$525,FALSE())</f>
        <v>#N/A</v>
      </c>
      <c r="R413" s="0" t="e">
        <f aca="false">VLOOKUP($A413,content_factors_backup!$A$2:$Q$468,R$525,FALSE())</f>
        <v>#N/A</v>
      </c>
      <c r="S413" s="0" t="e">
        <f aca="false">VLOOKUP($A413,content_factors_backup!$A$2:$Q$468,S$525,FALSE())</f>
        <v>#N/A</v>
      </c>
      <c r="T413" s="0" t="e">
        <f aca="false">VLOOKUP($A413,content_factors_backup!$A$2:$Q$468,T$525,FALSE())</f>
        <v>#N/A</v>
      </c>
      <c r="U413" s="0" t="e">
        <f aca="false">VLOOKUP($A413,content_factors_backup!$A$2:$Q$468,U$525,FALSE())</f>
        <v>#N/A</v>
      </c>
      <c r="V413" s="0" t="e">
        <f aca="false">VLOOKUP($A413,content_factors_backup!$A$2:$Q$468,V$525,FALSE())</f>
        <v>#N/A</v>
      </c>
      <c r="W413" s="0" t="e">
        <f aca="false">VLOOKUP($A413,content_factors_backup!$A$2:$Q$468,W$525,FALSE())</f>
        <v>#N/A</v>
      </c>
    </row>
    <row r="414" customFormat="false" ht="14.25" hidden="false" customHeight="false" outlineLevel="0" collapsed="false">
      <c r="A414" s="0" t="n">
        <v>997</v>
      </c>
      <c r="B414" s="0" t="s">
        <v>960</v>
      </c>
      <c r="C414" s="0" t="s">
        <v>961</v>
      </c>
      <c r="E414" s="0" t="n">
        <v>410229</v>
      </c>
      <c r="F414" s="0" t="n">
        <v>410229</v>
      </c>
      <c r="G414" s="0" t="n">
        <v>2953.04</v>
      </c>
      <c r="I414" s="0" t="n">
        <f aca="false">VLOOKUP($A414,content_factors_backup!$A$2:$Q$468,I$525,FALSE())</f>
        <v>90</v>
      </c>
      <c r="J414" s="0" t="e">
        <f aca="false">VLOOKUP($A414,content_factors_backup!$A$2:$Q$468,J$525,FALSE())</f>
        <v>#N/A</v>
      </c>
      <c r="K414" s="0" t="e">
        <f aca="false">VLOOKUP($A414,content_factors_backup!$A$2:$Q$468,K$525,FALSE())</f>
        <v>#N/A</v>
      </c>
      <c r="L414" s="0" t="e">
        <f aca="false">VLOOKUP($A414,content_factors_backup!$A$2:$Q$468,L$525,FALSE())</f>
        <v>#N/A</v>
      </c>
      <c r="M414" s="0" t="e">
        <f aca="false">VLOOKUP($A414,content_factors_backup!$A$2:$Q$468,M$525,FALSE())</f>
        <v>#N/A</v>
      </c>
      <c r="N414" s="0" t="e">
        <f aca="false">VLOOKUP($A414,content_factors_backup!$A$2:$Q$468,N$525,FALSE())</f>
        <v>#N/A</v>
      </c>
      <c r="O414" s="0" t="e">
        <f aca="false">VLOOKUP($A414,content_factors_backup!$A$2:$Q$468,O$525,FALSE())</f>
        <v>#N/A</v>
      </c>
      <c r="P414" s="0" t="e">
        <f aca="false">VLOOKUP($A414,content_factors_backup!$A$2:$Q$468,P$525,FALSE())</f>
        <v>#N/A</v>
      </c>
      <c r="Q414" s="0" t="e">
        <f aca="false">VLOOKUP($A414,content_factors_backup!$A$2:$Q$468,Q$525,FALSE())</f>
        <v>#N/A</v>
      </c>
      <c r="R414" s="0" t="e">
        <f aca="false">VLOOKUP($A414,content_factors_backup!$A$2:$Q$468,R$525,FALSE())</f>
        <v>#N/A</v>
      </c>
      <c r="S414" s="0" t="e">
        <f aca="false">VLOOKUP($A414,content_factors_backup!$A$2:$Q$468,S$525,FALSE())</f>
        <v>#N/A</v>
      </c>
      <c r="T414" s="0" t="e">
        <f aca="false">VLOOKUP($A414,content_factors_backup!$A$2:$Q$468,T$525,FALSE())</f>
        <v>#N/A</v>
      </c>
      <c r="U414" s="0" t="e">
        <f aca="false">VLOOKUP($A414,content_factors_backup!$A$2:$Q$468,U$525,FALSE())</f>
        <v>#N/A</v>
      </c>
      <c r="V414" s="0" t="e">
        <f aca="false">VLOOKUP($A414,content_factors_backup!$A$2:$Q$468,V$525,FALSE())</f>
        <v>#N/A</v>
      </c>
      <c r="W414" s="0" t="e">
        <f aca="false">VLOOKUP($A414,content_factors_backup!$A$2:$Q$468,W$525,FALSE())</f>
        <v>#N/A</v>
      </c>
    </row>
    <row r="415" customFormat="false" ht="14.25" hidden="false" customHeight="false" outlineLevel="0" collapsed="false">
      <c r="A415" s="0" t="n">
        <v>999</v>
      </c>
      <c r="B415" s="0" t="s">
        <v>962</v>
      </c>
      <c r="C415" s="0" t="s">
        <v>963</v>
      </c>
      <c r="E415" s="0" t="n">
        <v>410210</v>
      </c>
      <c r="F415" s="0" t="n">
        <v>410210</v>
      </c>
      <c r="G415" s="0" t="n">
        <v>2953.01</v>
      </c>
      <c r="I415" s="0" t="n">
        <f aca="false">VLOOKUP($A415,content_factors_backup!$A$2:$Q$468,I$525,FALSE())</f>
        <v>90</v>
      </c>
      <c r="J415" s="0" t="e">
        <f aca="false">VLOOKUP($A415,content_factors_backup!$A$2:$Q$468,J$525,FALSE())</f>
        <v>#N/A</v>
      </c>
      <c r="K415" s="0" t="e">
        <f aca="false">VLOOKUP($A415,content_factors_backup!$A$2:$Q$468,K$525,FALSE())</f>
        <v>#N/A</v>
      </c>
      <c r="L415" s="0" t="e">
        <f aca="false">VLOOKUP($A415,content_factors_backup!$A$2:$Q$468,L$525,FALSE())</f>
        <v>#N/A</v>
      </c>
      <c r="M415" s="0" t="e">
        <f aca="false">VLOOKUP($A415,content_factors_backup!$A$2:$Q$468,M$525,FALSE())</f>
        <v>#N/A</v>
      </c>
      <c r="N415" s="0" t="e">
        <f aca="false">VLOOKUP($A415,content_factors_backup!$A$2:$Q$468,N$525,FALSE())</f>
        <v>#N/A</v>
      </c>
      <c r="O415" s="0" t="e">
        <f aca="false">VLOOKUP($A415,content_factors_backup!$A$2:$Q$468,O$525,FALSE())</f>
        <v>#N/A</v>
      </c>
      <c r="P415" s="0" t="e">
        <f aca="false">VLOOKUP($A415,content_factors_backup!$A$2:$Q$468,P$525,FALSE())</f>
        <v>#N/A</v>
      </c>
      <c r="Q415" s="0" t="e">
        <f aca="false">VLOOKUP($A415,content_factors_backup!$A$2:$Q$468,Q$525,FALSE())</f>
        <v>#N/A</v>
      </c>
      <c r="R415" s="0" t="e">
        <f aca="false">VLOOKUP($A415,content_factors_backup!$A$2:$Q$468,R$525,FALSE())</f>
        <v>#N/A</v>
      </c>
      <c r="S415" s="0" t="e">
        <f aca="false">VLOOKUP($A415,content_factors_backup!$A$2:$Q$468,S$525,FALSE())</f>
        <v>#N/A</v>
      </c>
      <c r="T415" s="0" t="e">
        <f aca="false">VLOOKUP($A415,content_factors_backup!$A$2:$Q$468,T$525,FALSE())</f>
        <v>#N/A</v>
      </c>
      <c r="U415" s="0" t="e">
        <f aca="false">VLOOKUP($A415,content_factors_backup!$A$2:$Q$468,U$525,FALSE())</f>
        <v>#N/A</v>
      </c>
      <c r="V415" s="0" t="e">
        <f aca="false">VLOOKUP($A415,content_factors_backup!$A$2:$Q$468,V$525,FALSE())</f>
        <v>#N/A</v>
      </c>
      <c r="W415" s="0" t="e">
        <f aca="false">VLOOKUP($A415,content_factors_backup!$A$2:$Q$468,W$525,FALSE())</f>
        <v>#N/A</v>
      </c>
    </row>
    <row r="416" customFormat="false" ht="14.25" hidden="false" customHeight="false" outlineLevel="0" collapsed="false">
      <c r="A416" s="0" t="n">
        <v>1009</v>
      </c>
      <c r="B416" s="0" t="s">
        <v>964</v>
      </c>
      <c r="C416" s="0" t="s">
        <v>965</v>
      </c>
      <c r="E416" s="0" t="s">
        <v>966</v>
      </c>
      <c r="F416" s="0" t="s">
        <v>966</v>
      </c>
      <c r="G416" s="0" t="s">
        <v>967</v>
      </c>
      <c r="I416" s="0" t="n">
        <f aca="false">VLOOKUP($A416,content_factors_backup!$A$2:$Q$468,I$525,FALSE())</f>
        <v>90</v>
      </c>
      <c r="J416" s="0" t="e">
        <f aca="false">VLOOKUP($A416,content_factors_backup!$A$2:$Q$468,J$525,FALSE())</f>
        <v>#N/A</v>
      </c>
      <c r="K416" s="0" t="e">
        <f aca="false">VLOOKUP($A416,content_factors_backup!$A$2:$Q$468,K$525,FALSE())</f>
        <v>#N/A</v>
      </c>
      <c r="L416" s="0" t="e">
        <f aca="false">VLOOKUP($A416,content_factors_backup!$A$2:$Q$468,L$525,FALSE())</f>
        <v>#N/A</v>
      </c>
      <c r="M416" s="0" t="e">
        <f aca="false">VLOOKUP($A416,content_factors_backup!$A$2:$Q$468,M$525,FALSE())</f>
        <v>#N/A</v>
      </c>
      <c r="N416" s="0" t="e">
        <f aca="false">VLOOKUP($A416,content_factors_backup!$A$2:$Q$468,N$525,FALSE())</f>
        <v>#N/A</v>
      </c>
      <c r="O416" s="0" t="e">
        <f aca="false">VLOOKUP($A416,content_factors_backup!$A$2:$Q$468,O$525,FALSE())</f>
        <v>#N/A</v>
      </c>
      <c r="P416" s="0" t="e">
        <f aca="false">VLOOKUP($A416,content_factors_backup!$A$2:$Q$468,P$525,FALSE())</f>
        <v>#N/A</v>
      </c>
      <c r="Q416" s="0" t="e">
        <f aca="false">VLOOKUP($A416,content_factors_backup!$A$2:$Q$468,Q$525,FALSE())</f>
        <v>#N/A</v>
      </c>
      <c r="R416" s="0" t="e">
        <f aca="false">VLOOKUP($A416,content_factors_backup!$A$2:$Q$468,R$525,FALSE())</f>
        <v>#N/A</v>
      </c>
      <c r="S416" s="0" t="e">
        <f aca="false">VLOOKUP($A416,content_factors_backup!$A$2:$Q$468,S$525,FALSE())</f>
        <v>#N/A</v>
      </c>
      <c r="T416" s="0" t="e">
        <f aca="false">VLOOKUP($A416,content_factors_backup!$A$2:$Q$468,T$525,FALSE())</f>
        <v>#N/A</v>
      </c>
      <c r="U416" s="0" t="e">
        <f aca="false">VLOOKUP($A416,content_factors_backup!$A$2:$Q$468,U$525,FALSE())</f>
        <v>#N/A</v>
      </c>
      <c r="V416" s="0" t="e">
        <f aca="false">VLOOKUP($A416,content_factors_backup!$A$2:$Q$468,V$525,FALSE())</f>
        <v>#N/A</v>
      </c>
      <c r="W416" s="0" t="e">
        <f aca="false">VLOOKUP($A416,content_factors_backup!$A$2:$Q$468,W$525,FALSE())</f>
        <v>#N/A</v>
      </c>
    </row>
    <row r="417" customFormat="false" ht="14.25" hidden="false" customHeight="false" outlineLevel="0" collapsed="false">
      <c r="A417" s="0" t="n">
        <v>1012</v>
      </c>
      <c r="B417" s="0" t="s">
        <v>968</v>
      </c>
      <c r="G417" s="0" t="s">
        <v>969</v>
      </c>
      <c r="I417" s="0" t="e">
        <f aca="false">VLOOKUP($A417,content_factors_backup!$A$2:$Q$468,I$525,FALSE())</f>
        <v>#N/A</v>
      </c>
      <c r="J417" s="0" t="e">
        <f aca="false">VLOOKUP($A417,content_factors_backup!$A$2:$Q$468,J$525,FALSE())</f>
        <v>#N/A</v>
      </c>
      <c r="K417" s="0" t="e">
        <f aca="false">VLOOKUP($A417,content_factors_backup!$A$2:$Q$468,K$525,FALSE())</f>
        <v>#N/A</v>
      </c>
      <c r="L417" s="0" t="e">
        <f aca="false">VLOOKUP($A417,content_factors_backup!$A$2:$Q$468,L$525,FALSE())</f>
        <v>#N/A</v>
      </c>
      <c r="M417" s="0" t="e">
        <f aca="false">VLOOKUP($A417,content_factors_backup!$A$2:$Q$468,M$525,FALSE())</f>
        <v>#N/A</v>
      </c>
      <c r="N417" s="0" t="e">
        <f aca="false">VLOOKUP($A417,content_factors_backup!$A$2:$Q$468,N$525,FALSE())</f>
        <v>#N/A</v>
      </c>
      <c r="O417" s="0" t="e">
        <f aca="false">VLOOKUP($A417,content_factors_backup!$A$2:$Q$468,O$525,FALSE())</f>
        <v>#N/A</v>
      </c>
      <c r="P417" s="0" t="e">
        <f aca="false">VLOOKUP($A417,content_factors_backup!$A$2:$Q$468,P$525,FALSE())</f>
        <v>#N/A</v>
      </c>
      <c r="Q417" s="0" t="e">
        <f aca="false">VLOOKUP($A417,content_factors_backup!$A$2:$Q$468,Q$525,FALSE())</f>
        <v>#N/A</v>
      </c>
      <c r="R417" s="0" t="e">
        <f aca="false">VLOOKUP($A417,content_factors_backup!$A$2:$Q$468,R$525,FALSE())</f>
        <v>#N/A</v>
      </c>
      <c r="S417" s="0" t="e">
        <f aca="false">VLOOKUP($A417,content_factors_backup!$A$2:$Q$468,S$525,FALSE())</f>
        <v>#N/A</v>
      </c>
      <c r="T417" s="0" t="e">
        <f aca="false">VLOOKUP($A417,content_factors_backup!$A$2:$Q$468,T$525,FALSE())</f>
        <v>#N/A</v>
      </c>
      <c r="U417" s="0" t="e">
        <f aca="false">VLOOKUP($A417,content_factors_backup!$A$2:$Q$468,U$525,FALSE())</f>
        <v>#N/A</v>
      </c>
      <c r="V417" s="0" t="e">
        <f aca="false">VLOOKUP($A417,content_factors_backup!$A$2:$Q$468,V$525,FALSE())</f>
        <v>#N/A</v>
      </c>
      <c r="W417" s="0" t="e">
        <f aca="false">VLOOKUP($A417,content_factors_backup!$A$2:$Q$468,W$525,FALSE())</f>
        <v>#N/A</v>
      </c>
    </row>
    <row r="418" customFormat="false" ht="14.25" hidden="false" customHeight="false" outlineLevel="0" collapsed="false">
      <c r="A418" s="0" t="n">
        <v>1016</v>
      </c>
      <c r="B418" s="0" t="s">
        <v>970</v>
      </c>
      <c r="C418" s="0" t="s">
        <v>971</v>
      </c>
      <c r="E418" s="0" t="n">
        <v>10420</v>
      </c>
      <c r="F418" s="0" t="n">
        <v>10420</v>
      </c>
      <c r="G418" s="0" t="n">
        <v>2123</v>
      </c>
      <c r="I418" s="0" t="n">
        <f aca="false">VLOOKUP($A418,content_factors_backup!$A$2:$Q$468,I$525,FALSE())</f>
        <v>0</v>
      </c>
      <c r="J418" s="0" t="e">
        <f aca="false">VLOOKUP($A418,content_factors_backup!$A$2:$Q$468,J$525,FALSE())</f>
        <v>#N/A</v>
      </c>
      <c r="K418" s="0" t="e">
        <f aca="false">VLOOKUP($A418,content_factors_backup!$A$2:$Q$468,K$525,FALSE())</f>
        <v>#N/A</v>
      </c>
      <c r="L418" s="0" t="e">
        <f aca="false">VLOOKUP($A418,content_factors_backup!$A$2:$Q$468,L$525,FALSE())</f>
        <v>#N/A</v>
      </c>
      <c r="M418" s="0" t="e">
        <f aca="false">VLOOKUP($A418,content_factors_backup!$A$2:$Q$468,M$525,FALSE())</f>
        <v>#N/A</v>
      </c>
      <c r="N418" s="0" t="e">
        <f aca="false">VLOOKUP($A418,content_factors_backup!$A$2:$Q$468,N$525,FALSE())</f>
        <v>#N/A</v>
      </c>
      <c r="O418" s="0" t="e">
        <f aca="false">VLOOKUP($A418,content_factors_backup!$A$2:$Q$468,O$525,FALSE())</f>
        <v>#N/A</v>
      </c>
      <c r="P418" s="0" t="e">
        <f aca="false">VLOOKUP($A418,content_factors_backup!$A$2:$Q$468,P$525,FALSE())</f>
        <v>#N/A</v>
      </c>
      <c r="Q418" s="0" t="e">
        <f aca="false">VLOOKUP($A418,content_factors_backup!$A$2:$Q$468,Q$525,FALSE())</f>
        <v>#N/A</v>
      </c>
      <c r="R418" s="0" t="e">
        <f aca="false">VLOOKUP($A418,content_factors_backup!$A$2:$Q$468,R$525,FALSE())</f>
        <v>#N/A</v>
      </c>
      <c r="S418" s="0" t="e">
        <f aca="false">VLOOKUP($A418,content_factors_backup!$A$2:$Q$468,S$525,FALSE())</f>
        <v>#N/A</v>
      </c>
      <c r="T418" s="0" t="e">
        <f aca="false">VLOOKUP($A418,content_factors_backup!$A$2:$Q$468,T$525,FALSE())</f>
        <v>#N/A</v>
      </c>
      <c r="U418" s="0" t="e">
        <f aca="false">VLOOKUP($A418,content_factors_backup!$A$2:$Q$468,U$525,FALSE())</f>
        <v>#N/A</v>
      </c>
      <c r="V418" s="0" t="e">
        <f aca="false">VLOOKUP($A418,content_factors_backup!$A$2:$Q$468,V$525,FALSE())</f>
        <v>#N/A</v>
      </c>
      <c r="W418" s="0" t="e">
        <f aca="false">VLOOKUP($A418,content_factors_backup!$A$2:$Q$468,W$525,FALSE())</f>
        <v>#N/A</v>
      </c>
    </row>
    <row r="419" customFormat="false" ht="14.25" hidden="false" customHeight="false" outlineLevel="0" collapsed="false">
      <c r="A419" s="0" t="n">
        <v>1017</v>
      </c>
      <c r="B419" s="0" t="s">
        <v>972</v>
      </c>
      <c r="C419" s="0" t="s">
        <v>973</v>
      </c>
      <c r="E419" s="0" t="n">
        <v>20450</v>
      </c>
      <c r="F419" s="0" t="n">
        <v>20450</v>
      </c>
      <c r="G419" s="0" t="n">
        <v>21116</v>
      </c>
      <c r="I419" s="0" t="n">
        <f aca="false">VLOOKUP($A419,content_factors_backup!$A$2:$Q$468,I$525,FALSE())</f>
        <v>50</v>
      </c>
      <c r="J419" s="0" t="n">
        <f aca="false">VLOOKUP($A419,content_factors_backup!$A$2:$Q$468,J$525,FALSE())</f>
        <v>179.5</v>
      </c>
      <c r="K419" s="0" t="n">
        <f aca="false">VLOOKUP($A419,content_factors_backup!$A$2:$Q$468,K$525,FALSE())</f>
        <v>18.8</v>
      </c>
      <c r="L419" s="0" t="n">
        <f aca="false">VLOOKUP($A419,content_factors_backup!$A$2:$Q$468,L$525,FALSE())</f>
        <v>0</v>
      </c>
      <c r="M419" s="0" t="n">
        <f aca="false">VLOOKUP($A419,content_factors_backup!$A$2:$Q$468,M$525,FALSE())</f>
        <v>3.33</v>
      </c>
      <c r="N419" s="0" t="n">
        <f aca="false">VLOOKUP($A419,content_factors_backup!$A$2:$Q$468,N$525,FALSE())</f>
        <v>2.2</v>
      </c>
      <c r="O419" s="0" t="n">
        <f aca="false">VLOOKUP($A419,content_factors_backup!$A$2:$Q$468,O$525,FALSE())</f>
        <v>11</v>
      </c>
      <c r="P419" s="0" t="n">
        <f aca="false">VLOOKUP($A419,content_factors_backup!$A$2:$Q$468,P$525,FALSE())</f>
        <v>5</v>
      </c>
      <c r="Q419" s="0" t="n">
        <f aca="false">VLOOKUP($A419,content_factors_backup!$A$2:$Q$468,Q$525,FALSE())</f>
        <v>0.2</v>
      </c>
      <c r="R419" s="0" t="n">
        <f aca="false">VLOOKUP($A419,content_factors_backup!$A$2:$Q$468,R$525,FALSE())</f>
        <v>0</v>
      </c>
      <c r="S419" s="0" t="n">
        <f aca="false">VLOOKUP($A419,content_factors_backup!$A$2:$Q$468,S$525,FALSE())</f>
        <v>300</v>
      </c>
      <c r="T419" s="0" t="n">
        <f aca="false">VLOOKUP($A419,content_factors_backup!$A$2:$Q$468,T$525,FALSE())</f>
        <v>0.120021922207713</v>
      </c>
      <c r="U419" s="0" t="n">
        <f aca="false">VLOOKUP($A419,content_factors_backup!$A$2:$Q$468,U$525,FALSE())</f>
        <v>2.14721610700734</v>
      </c>
      <c r="V419" s="0" t="n">
        <f aca="false">VLOOKUP($A419,content_factors_backup!$A$2:$Q$468,V$525,FALSE())</f>
        <v>2.43385690345533</v>
      </c>
      <c r="W419" s="0" t="n">
        <f aca="false">VLOOKUP($A419,content_factors_backup!$A$2:$Q$468,W$525,FALSE())</f>
        <v>8</v>
      </c>
    </row>
    <row r="420" customFormat="false" ht="14.25" hidden="false" customHeight="false" outlineLevel="0" collapsed="false">
      <c r="A420" s="0" t="n">
        <v>1018</v>
      </c>
      <c r="B420" s="0" t="s">
        <v>974</v>
      </c>
      <c r="C420" s="0" t="s">
        <v>855</v>
      </c>
      <c r="E420" s="0" t="s">
        <v>942</v>
      </c>
      <c r="F420" s="0" t="s">
        <v>942</v>
      </c>
      <c r="G420" s="0" t="n">
        <v>21156</v>
      </c>
      <c r="I420" s="0" t="n">
        <f aca="false">VLOOKUP($A420,content_factors_backup!$A$2:$Q$468,I$525,FALSE())</f>
        <v>50</v>
      </c>
      <c r="J420" s="0" t="n">
        <f aca="false">VLOOKUP($A420,content_factors_backup!$A$2:$Q$468,J$525,FALSE())</f>
        <v>107</v>
      </c>
      <c r="K420" s="0" t="n">
        <f aca="false">VLOOKUP($A420,content_factors_backup!$A$2:$Q$468,K$525,FALSE())</f>
        <v>20</v>
      </c>
      <c r="L420" s="0" t="n">
        <f aca="false">VLOOKUP($A420,content_factors_backup!$A$2:$Q$468,L$525,FALSE())</f>
        <v>0</v>
      </c>
      <c r="M420" s="0" t="n">
        <f aca="false">VLOOKUP($A420,content_factors_backup!$A$2:$Q$468,M$525,FALSE())</f>
        <v>0</v>
      </c>
      <c r="N420" s="0" t="n">
        <f aca="false">VLOOKUP($A420,content_factors_backup!$A$2:$Q$468,N$525,FALSE())</f>
        <v>0</v>
      </c>
      <c r="O420" s="0" t="n">
        <f aca="false">VLOOKUP($A420,content_factors_backup!$A$2:$Q$468,O$525,FALSE())</f>
        <v>17</v>
      </c>
      <c r="P420" s="0" t="n">
        <f aca="false">VLOOKUP($A420,content_factors_backup!$A$2:$Q$468,P$525,FALSE())</f>
        <v>176</v>
      </c>
      <c r="Q420" s="0" t="n">
        <f aca="false">VLOOKUP($A420,content_factors_backup!$A$2:$Q$468,Q$525,FALSE())</f>
        <v>0</v>
      </c>
      <c r="R420" s="0" t="n">
        <f aca="false">VLOOKUP($A420,content_factors_backup!$A$2:$Q$468,R$525,FALSE())</f>
        <v>0</v>
      </c>
      <c r="S420" s="0" t="n">
        <f aca="false">VLOOKUP($A420,content_factors_backup!$A$2:$Q$468,S$525,FALSE())</f>
        <v>160</v>
      </c>
      <c r="T420" s="0" t="n">
        <f aca="false">VLOOKUP($A420,content_factors_backup!$A$2:$Q$468,T$525,FALSE())</f>
        <v>0.6</v>
      </c>
      <c r="U420" s="0" t="n">
        <f aca="false">VLOOKUP($A420,content_factors_backup!$A$2:$Q$468,U$525,FALSE())</f>
        <v>36.25</v>
      </c>
      <c r="V420" s="0" t="n">
        <f aca="false">VLOOKUP($A420,content_factors_backup!$A$2:$Q$468,V$525,FALSE())</f>
        <v>1.6</v>
      </c>
      <c r="W420" s="0" t="n">
        <f aca="false">VLOOKUP($A420,content_factors_backup!$A$2:$Q$468,W$525,FALSE())</f>
        <v>0</v>
      </c>
    </row>
    <row r="421" customFormat="false" ht="14.25" hidden="false" customHeight="false" outlineLevel="0" collapsed="false">
      <c r="A421" s="0" t="n">
        <v>1019</v>
      </c>
      <c r="B421" s="0" t="s">
        <v>975</v>
      </c>
      <c r="C421" s="0" t="s">
        <v>976</v>
      </c>
      <c r="E421" s="0" t="n">
        <v>150200</v>
      </c>
      <c r="F421" s="0" t="n">
        <v>150290</v>
      </c>
      <c r="G421" s="0" t="n">
        <v>21515</v>
      </c>
      <c r="I421" s="0" t="e">
        <f aca="false">VLOOKUP($A421,content_factors_backup!$A$2:$Q$468,I$525,FALSE())</f>
        <v>#N/A</v>
      </c>
      <c r="J421" s="0" t="e">
        <f aca="false">VLOOKUP($A421,content_factors_backup!$A$2:$Q$468,J$525,FALSE())</f>
        <v>#N/A</v>
      </c>
      <c r="K421" s="0" t="e">
        <f aca="false">VLOOKUP($A421,content_factors_backup!$A$2:$Q$468,K$525,FALSE())</f>
        <v>#N/A</v>
      </c>
      <c r="L421" s="0" t="e">
        <f aca="false">VLOOKUP($A421,content_factors_backup!$A$2:$Q$468,L$525,FALSE())</f>
        <v>#N/A</v>
      </c>
      <c r="M421" s="0" t="e">
        <f aca="false">VLOOKUP($A421,content_factors_backup!$A$2:$Q$468,M$525,FALSE())</f>
        <v>#N/A</v>
      </c>
      <c r="N421" s="0" t="e">
        <f aca="false">VLOOKUP($A421,content_factors_backup!$A$2:$Q$468,N$525,FALSE())</f>
        <v>#N/A</v>
      </c>
      <c r="O421" s="0" t="e">
        <f aca="false">VLOOKUP($A421,content_factors_backup!$A$2:$Q$468,O$525,FALSE())</f>
        <v>#N/A</v>
      </c>
      <c r="P421" s="0" t="e">
        <f aca="false">VLOOKUP($A421,content_factors_backup!$A$2:$Q$468,P$525,FALSE())</f>
        <v>#N/A</v>
      </c>
      <c r="Q421" s="0" t="e">
        <f aca="false">VLOOKUP($A421,content_factors_backup!$A$2:$Q$468,Q$525,FALSE())</f>
        <v>#N/A</v>
      </c>
      <c r="R421" s="0" t="e">
        <f aca="false">VLOOKUP($A421,content_factors_backup!$A$2:$Q$468,R$525,FALSE())</f>
        <v>#N/A</v>
      </c>
      <c r="S421" s="0" t="e">
        <f aca="false">VLOOKUP($A421,content_factors_backup!$A$2:$Q$468,S$525,FALSE())</f>
        <v>#N/A</v>
      </c>
      <c r="T421" s="0" t="e">
        <f aca="false">VLOOKUP($A421,content_factors_backup!$A$2:$Q$468,T$525,FALSE())</f>
        <v>#N/A</v>
      </c>
      <c r="U421" s="0" t="e">
        <f aca="false">VLOOKUP($A421,content_factors_backup!$A$2:$Q$468,U$525,FALSE())</f>
        <v>#N/A</v>
      </c>
      <c r="V421" s="0" t="e">
        <f aca="false">VLOOKUP($A421,content_factors_backup!$A$2:$Q$468,V$525,FALSE())</f>
        <v>#N/A</v>
      </c>
      <c r="W421" s="0" t="e">
        <f aca="false">VLOOKUP($A421,content_factors_backup!$A$2:$Q$468,W$525,FALSE())</f>
        <v>#N/A</v>
      </c>
    </row>
    <row r="422" customFormat="false" ht="14.25" hidden="false" customHeight="false" outlineLevel="0" collapsed="false">
      <c r="A422" s="0" t="n">
        <v>1020</v>
      </c>
      <c r="B422" s="0" t="s">
        <v>977</v>
      </c>
      <c r="C422" s="0" t="s">
        <v>927</v>
      </c>
      <c r="E422" s="0" t="s">
        <v>869</v>
      </c>
      <c r="F422" s="0" t="s">
        <v>870</v>
      </c>
      <c r="G422" s="0" t="n">
        <v>2292</v>
      </c>
      <c r="I422" s="0" t="e">
        <f aca="false">VLOOKUP($A422,content_factors_backup!$A$2:$Q$468,I$525,FALSE())</f>
        <v>#N/A</v>
      </c>
      <c r="J422" s="0" t="e">
        <f aca="false">VLOOKUP($A422,content_factors_backup!$A$2:$Q$468,J$525,FALSE())</f>
        <v>#N/A</v>
      </c>
      <c r="K422" s="0" t="e">
        <f aca="false">VLOOKUP($A422,content_factors_backup!$A$2:$Q$468,K$525,FALSE())</f>
        <v>#N/A</v>
      </c>
      <c r="L422" s="0" t="e">
        <f aca="false">VLOOKUP($A422,content_factors_backup!$A$2:$Q$468,L$525,FALSE())</f>
        <v>#N/A</v>
      </c>
      <c r="M422" s="0" t="e">
        <f aca="false">VLOOKUP($A422,content_factors_backup!$A$2:$Q$468,M$525,FALSE())</f>
        <v>#N/A</v>
      </c>
      <c r="N422" s="0" t="e">
        <f aca="false">VLOOKUP($A422,content_factors_backup!$A$2:$Q$468,N$525,FALSE())</f>
        <v>#N/A</v>
      </c>
      <c r="O422" s="0" t="e">
        <f aca="false">VLOOKUP($A422,content_factors_backup!$A$2:$Q$468,O$525,FALSE())</f>
        <v>#N/A</v>
      </c>
      <c r="P422" s="0" t="e">
        <f aca="false">VLOOKUP($A422,content_factors_backup!$A$2:$Q$468,P$525,FALSE())</f>
        <v>#N/A</v>
      </c>
      <c r="Q422" s="0" t="e">
        <f aca="false">VLOOKUP($A422,content_factors_backup!$A$2:$Q$468,Q$525,FALSE())</f>
        <v>#N/A</v>
      </c>
      <c r="R422" s="0" t="e">
        <f aca="false">VLOOKUP($A422,content_factors_backup!$A$2:$Q$468,R$525,FALSE())</f>
        <v>#N/A</v>
      </c>
      <c r="S422" s="0" t="e">
        <f aca="false">VLOOKUP($A422,content_factors_backup!$A$2:$Q$468,S$525,FALSE())</f>
        <v>#N/A</v>
      </c>
      <c r="T422" s="0" t="e">
        <f aca="false">VLOOKUP($A422,content_factors_backup!$A$2:$Q$468,T$525,FALSE())</f>
        <v>#N/A</v>
      </c>
      <c r="U422" s="0" t="e">
        <f aca="false">VLOOKUP($A422,content_factors_backup!$A$2:$Q$468,U$525,FALSE())</f>
        <v>#N/A</v>
      </c>
      <c r="V422" s="0" t="e">
        <f aca="false">VLOOKUP($A422,content_factors_backup!$A$2:$Q$468,V$525,FALSE())</f>
        <v>#N/A</v>
      </c>
      <c r="W422" s="0" t="e">
        <f aca="false">VLOOKUP($A422,content_factors_backup!$A$2:$Q$468,W$525,FALSE())</f>
        <v>#N/A</v>
      </c>
    </row>
    <row r="423" customFormat="false" ht="14.25" hidden="false" customHeight="false" outlineLevel="0" collapsed="false">
      <c r="A423" s="0" t="n">
        <v>1025</v>
      </c>
      <c r="B423" s="0" t="s">
        <v>978</v>
      </c>
      <c r="C423" s="0" t="s">
        <v>930</v>
      </c>
      <c r="E423" s="0" t="n">
        <v>410390</v>
      </c>
      <c r="F423" s="0" t="n">
        <v>410390</v>
      </c>
      <c r="G423" s="0" t="n">
        <v>2954</v>
      </c>
      <c r="I423" s="0" t="e">
        <f aca="false">VLOOKUP($A423,content_factors_backup!$A$2:$Q$468,I$525,FALSE())</f>
        <v>#N/A</v>
      </c>
      <c r="J423" s="0" t="e">
        <f aca="false">VLOOKUP($A423,content_factors_backup!$A$2:$Q$468,J$525,FALSE())</f>
        <v>#N/A</v>
      </c>
      <c r="K423" s="0" t="e">
        <f aca="false">VLOOKUP($A423,content_factors_backup!$A$2:$Q$468,K$525,FALSE())</f>
        <v>#N/A</v>
      </c>
      <c r="L423" s="0" t="e">
        <f aca="false">VLOOKUP($A423,content_factors_backup!$A$2:$Q$468,L$525,FALSE())</f>
        <v>#N/A</v>
      </c>
      <c r="M423" s="0" t="e">
        <f aca="false">VLOOKUP($A423,content_factors_backup!$A$2:$Q$468,M$525,FALSE())</f>
        <v>#N/A</v>
      </c>
      <c r="N423" s="0" t="e">
        <f aca="false">VLOOKUP($A423,content_factors_backup!$A$2:$Q$468,N$525,FALSE())</f>
        <v>#N/A</v>
      </c>
      <c r="O423" s="0" t="e">
        <f aca="false">VLOOKUP($A423,content_factors_backup!$A$2:$Q$468,O$525,FALSE())</f>
        <v>#N/A</v>
      </c>
      <c r="P423" s="0" t="e">
        <f aca="false">VLOOKUP($A423,content_factors_backup!$A$2:$Q$468,P$525,FALSE())</f>
        <v>#N/A</v>
      </c>
      <c r="Q423" s="0" t="e">
        <f aca="false">VLOOKUP($A423,content_factors_backup!$A$2:$Q$468,Q$525,FALSE())</f>
        <v>#N/A</v>
      </c>
      <c r="R423" s="0" t="e">
        <f aca="false">VLOOKUP($A423,content_factors_backup!$A$2:$Q$468,R$525,FALSE())</f>
        <v>#N/A</v>
      </c>
      <c r="S423" s="0" t="e">
        <f aca="false">VLOOKUP($A423,content_factors_backup!$A$2:$Q$468,S$525,FALSE())</f>
        <v>#N/A</v>
      </c>
      <c r="T423" s="0" t="e">
        <f aca="false">VLOOKUP($A423,content_factors_backup!$A$2:$Q$468,T$525,FALSE())</f>
        <v>#N/A</v>
      </c>
      <c r="U423" s="0" t="e">
        <f aca="false">VLOOKUP($A423,content_factors_backup!$A$2:$Q$468,U$525,FALSE())</f>
        <v>#N/A</v>
      </c>
      <c r="V423" s="0" t="e">
        <f aca="false">VLOOKUP($A423,content_factors_backup!$A$2:$Q$468,V$525,FALSE())</f>
        <v>#N/A</v>
      </c>
      <c r="W423" s="0" t="e">
        <f aca="false">VLOOKUP($A423,content_factors_backup!$A$2:$Q$468,W$525,FALSE())</f>
        <v>#N/A</v>
      </c>
    </row>
    <row r="424" customFormat="false" ht="14.25" hidden="false" customHeight="false" outlineLevel="0" collapsed="false">
      <c r="A424" s="0" t="n">
        <v>1026</v>
      </c>
      <c r="B424" s="0" t="s">
        <v>979</v>
      </c>
      <c r="C424" s="0" t="s">
        <v>980</v>
      </c>
      <c r="E424" s="0" t="n">
        <v>410390</v>
      </c>
      <c r="F424" s="0" t="n">
        <v>410390</v>
      </c>
      <c r="G424" s="0" t="n">
        <v>2954.01</v>
      </c>
      <c r="I424" s="0" t="n">
        <f aca="false">VLOOKUP($A424,content_factors_backup!$A$2:$Q$468,I$525,FALSE())</f>
        <v>80</v>
      </c>
      <c r="J424" s="0" t="e">
        <f aca="false">VLOOKUP($A424,content_factors_backup!$A$2:$Q$468,J$525,FALSE())</f>
        <v>#N/A</v>
      </c>
      <c r="K424" s="0" t="e">
        <f aca="false">VLOOKUP($A424,content_factors_backup!$A$2:$Q$468,K$525,FALSE())</f>
        <v>#N/A</v>
      </c>
      <c r="L424" s="0" t="e">
        <f aca="false">VLOOKUP($A424,content_factors_backup!$A$2:$Q$468,L$525,FALSE())</f>
        <v>#N/A</v>
      </c>
      <c r="M424" s="0" t="e">
        <f aca="false">VLOOKUP($A424,content_factors_backup!$A$2:$Q$468,M$525,FALSE())</f>
        <v>#N/A</v>
      </c>
      <c r="N424" s="0" t="e">
        <f aca="false">VLOOKUP($A424,content_factors_backup!$A$2:$Q$468,N$525,FALSE())</f>
        <v>#N/A</v>
      </c>
      <c r="O424" s="0" t="e">
        <f aca="false">VLOOKUP($A424,content_factors_backup!$A$2:$Q$468,O$525,FALSE())</f>
        <v>#N/A</v>
      </c>
      <c r="P424" s="0" t="e">
        <f aca="false">VLOOKUP($A424,content_factors_backup!$A$2:$Q$468,P$525,FALSE())</f>
        <v>#N/A</v>
      </c>
      <c r="Q424" s="0" t="e">
        <f aca="false">VLOOKUP($A424,content_factors_backup!$A$2:$Q$468,Q$525,FALSE())</f>
        <v>#N/A</v>
      </c>
      <c r="R424" s="0" t="e">
        <f aca="false">VLOOKUP($A424,content_factors_backup!$A$2:$Q$468,R$525,FALSE())</f>
        <v>#N/A</v>
      </c>
      <c r="S424" s="0" t="e">
        <f aca="false">VLOOKUP($A424,content_factors_backup!$A$2:$Q$468,S$525,FALSE())</f>
        <v>#N/A</v>
      </c>
      <c r="T424" s="0" t="e">
        <f aca="false">VLOOKUP($A424,content_factors_backup!$A$2:$Q$468,T$525,FALSE())</f>
        <v>#N/A</v>
      </c>
      <c r="U424" s="0" t="e">
        <f aca="false">VLOOKUP($A424,content_factors_backup!$A$2:$Q$468,U$525,FALSE())</f>
        <v>#N/A</v>
      </c>
      <c r="V424" s="0" t="e">
        <f aca="false">VLOOKUP($A424,content_factors_backup!$A$2:$Q$468,V$525,FALSE())</f>
        <v>#N/A</v>
      </c>
      <c r="W424" s="0" t="e">
        <f aca="false">VLOOKUP($A424,content_factors_backup!$A$2:$Q$468,W$525,FALSE())</f>
        <v>#N/A</v>
      </c>
    </row>
    <row r="425" customFormat="false" ht="14.25" hidden="false" customHeight="false" outlineLevel="0" collapsed="false">
      <c r="A425" s="0" t="n">
        <v>1031</v>
      </c>
      <c r="B425" s="0" t="s">
        <v>981</v>
      </c>
      <c r="C425" s="0" t="s">
        <v>982</v>
      </c>
      <c r="E425" s="0" t="n">
        <v>510220</v>
      </c>
      <c r="F425" s="0" t="n">
        <v>510220</v>
      </c>
      <c r="G425" s="0" t="n">
        <v>2942.02</v>
      </c>
      <c r="I425" s="0" t="n">
        <f aca="false">VLOOKUP($A425,content_factors_backup!$A$2:$Q$468,I$525,FALSE())</f>
        <v>0</v>
      </c>
      <c r="J425" s="0" t="e">
        <f aca="false">VLOOKUP($A425,content_factors_backup!$A$2:$Q$468,J$525,FALSE())</f>
        <v>#N/A</v>
      </c>
      <c r="K425" s="0" t="e">
        <f aca="false">VLOOKUP($A425,content_factors_backup!$A$2:$Q$468,K$525,FALSE())</f>
        <v>#N/A</v>
      </c>
      <c r="L425" s="0" t="e">
        <f aca="false">VLOOKUP($A425,content_factors_backup!$A$2:$Q$468,L$525,FALSE())</f>
        <v>#N/A</v>
      </c>
      <c r="M425" s="0" t="e">
        <f aca="false">VLOOKUP($A425,content_factors_backup!$A$2:$Q$468,M$525,FALSE())</f>
        <v>#N/A</v>
      </c>
      <c r="N425" s="0" t="e">
        <f aca="false">VLOOKUP($A425,content_factors_backup!$A$2:$Q$468,N$525,FALSE())</f>
        <v>#N/A</v>
      </c>
      <c r="O425" s="0" t="e">
        <f aca="false">VLOOKUP($A425,content_factors_backup!$A$2:$Q$468,O$525,FALSE())</f>
        <v>#N/A</v>
      </c>
      <c r="P425" s="0" t="e">
        <f aca="false">VLOOKUP($A425,content_factors_backup!$A$2:$Q$468,P$525,FALSE())</f>
        <v>#N/A</v>
      </c>
      <c r="Q425" s="0" t="e">
        <f aca="false">VLOOKUP($A425,content_factors_backup!$A$2:$Q$468,Q$525,FALSE())</f>
        <v>#N/A</v>
      </c>
      <c r="R425" s="0" t="e">
        <f aca="false">VLOOKUP($A425,content_factors_backup!$A$2:$Q$468,R$525,FALSE())</f>
        <v>#N/A</v>
      </c>
      <c r="S425" s="0" t="e">
        <f aca="false">VLOOKUP($A425,content_factors_backup!$A$2:$Q$468,S$525,FALSE())</f>
        <v>#N/A</v>
      </c>
      <c r="T425" s="0" t="e">
        <f aca="false">VLOOKUP($A425,content_factors_backup!$A$2:$Q$468,T$525,FALSE())</f>
        <v>#N/A</v>
      </c>
      <c r="U425" s="0" t="e">
        <f aca="false">VLOOKUP($A425,content_factors_backup!$A$2:$Q$468,U$525,FALSE())</f>
        <v>#N/A</v>
      </c>
      <c r="V425" s="0" t="e">
        <f aca="false">VLOOKUP($A425,content_factors_backup!$A$2:$Q$468,V$525,FALSE())</f>
        <v>#N/A</v>
      </c>
      <c r="W425" s="0" t="e">
        <f aca="false">VLOOKUP($A425,content_factors_backup!$A$2:$Q$468,W$525,FALSE())</f>
        <v>#N/A</v>
      </c>
    </row>
    <row r="426" customFormat="false" ht="14.25" hidden="false" customHeight="false" outlineLevel="0" collapsed="false">
      <c r="A426" s="0" t="n">
        <v>1032</v>
      </c>
      <c r="B426" s="0" t="s">
        <v>983</v>
      </c>
      <c r="G426" s="0" t="s">
        <v>984</v>
      </c>
      <c r="I426" s="0" t="e">
        <f aca="false">VLOOKUP($A426,content_factors_backup!$A$2:$Q$468,I$525,FALSE())</f>
        <v>#N/A</v>
      </c>
      <c r="J426" s="0" t="e">
        <f aca="false">VLOOKUP($A426,content_factors_backup!$A$2:$Q$468,J$525,FALSE())</f>
        <v>#N/A</v>
      </c>
      <c r="K426" s="0" t="e">
        <f aca="false">VLOOKUP($A426,content_factors_backup!$A$2:$Q$468,K$525,FALSE())</f>
        <v>#N/A</v>
      </c>
      <c r="L426" s="0" t="e">
        <f aca="false">VLOOKUP($A426,content_factors_backup!$A$2:$Q$468,L$525,FALSE())</f>
        <v>#N/A</v>
      </c>
      <c r="M426" s="0" t="e">
        <f aca="false">VLOOKUP($A426,content_factors_backup!$A$2:$Q$468,M$525,FALSE())</f>
        <v>#N/A</v>
      </c>
      <c r="N426" s="0" t="e">
        <f aca="false">VLOOKUP($A426,content_factors_backup!$A$2:$Q$468,N$525,FALSE())</f>
        <v>#N/A</v>
      </c>
      <c r="O426" s="0" t="e">
        <f aca="false">VLOOKUP($A426,content_factors_backup!$A$2:$Q$468,O$525,FALSE())</f>
        <v>#N/A</v>
      </c>
      <c r="P426" s="0" t="e">
        <f aca="false">VLOOKUP($A426,content_factors_backup!$A$2:$Q$468,P$525,FALSE())</f>
        <v>#N/A</v>
      </c>
      <c r="Q426" s="0" t="e">
        <f aca="false">VLOOKUP($A426,content_factors_backup!$A$2:$Q$468,Q$525,FALSE())</f>
        <v>#N/A</v>
      </c>
      <c r="R426" s="0" t="e">
        <f aca="false">VLOOKUP($A426,content_factors_backup!$A$2:$Q$468,R$525,FALSE())</f>
        <v>#N/A</v>
      </c>
      <c r="S426" s="0" t="e">
        <f aca="false">VLOOKUP($A426,content_factors_backup!$A$2:$Q$468,S$525,FALSE())</f>
        <v>#N/A</v>
      </c>
      <c r="T426" s="0" t="e">
        <f aca="false">VLOOKUP($A426,content_factors_backup!$A$2:$Q$468,T$525,FALSE())</f>
        <v>#N/A</v>
      </c>
      <c r="U426" s="0" t="e">
        <f aca="false">VLOOKUP($A426,content_factors_backup!$A$2:$Q$468,U$525,FALSE())</f>
        <v>#N/A</v>
      </c>
      <c r="V426" s="0" t="e">
        <f aca="false">VLOOKUP($A426,content_factors_backup!$A$2:$Q$468,V$525,FALSE())</f>
        <v>#N/A</v>
      </c>
      <c r="W426" s="0" t="e">
        <f aca="false">VLOOKUP($A426,content_factors_backup!$A$2:$Q$468,W$525,FALSE())</f>
        <v>#N/A</v>
      </c>
    </row>
    <row r="427" customFormat="false" ht="14.25" hidden="false" customHeight="false" outlineLevel="0" collapsed="false">
      <c r="A427" s="0" t="n">
        <v>1034</v>
      </c>
      <c r="B427" s="0" t="s">
        <v>985</v>
      </c>
      <c r="C427" s="0" t="s">
        <v>986</v>
      </c>
      <c r="E427" s="0" t="s">
        <v>987</v>
      </c>
      <c r="F427" s="0" t="s">
        <v>987</v>
      </c>
      <c r="G427" s="0" t="n">
        <v>2140</v>
      </c>
      <c r="I427" s="0" t="n">
        <f aca="false">VLOOKUP($A427,content_factors_backup!$A$2:$Q$468,I$525,FALSE())</f>
        <v>0</v>
      </c>
      <c r="J427" s="0" t="e">
        <f aca="false">VLOOKUP($A427,content_factors_backup!$A$2:$Q$468,J$525,FALSE())</f>
        <v>#N/A</v>
      </c>
      <c r="K427" s="0" t="e">
        <f aca="false">VLOOKUP($A427,content_factors_backup!$A$2:$Q$468,K$525,FALSE())</f>
        <v>#N/A</v>
      </c>
      <c r="L427" s="0" t="e">
        <f aca="false">VLOOKUP($A427,content_factors_backup!$A$2:$Q$468,L$525,FALSE())</f>
        <v>#N/A</v>
      </c>
      <c r="M427" s="0" t="e">
        <f aca="false">VLOOKUP($A427,content_factors_backup!$A$2:$Q$468,M$525,FALSE())</f>
        <v>#N/A</v>
      </c>
      <c r="N427" s="0" t="e">
        <f aca="false">VLOOKUP($A427,content_factors_backup!$A$2:$Q$468,N$525,FALSE())</f>
        <v>#N/A</v>
      </c>
      <c r="O427" s="0" t="e">
        <f aca="false">VLOOKUP($A427,content_factors_backup!$A$2:$Q$468,O$525,FALSE())</f>
        <v>#N/A</v>
      </c>
      <c r="P427" s="0" t="e">
        <f aca="false">VLOOKUP($A427,content_factors_backup!$A$2:$Q$468,P$525,FALSE())</f>
        <v>#N/A</v>
      </c>
      <c r="Q427" s="0" t="e">
        <f aca="false">VLOOKUP($A427,content_factors_backup!$A$2:$Q$468,Q$525,FALSE())</f>
        <v>#N/A</v>
      </c>
      <c r="R427" s="0" t="e">
        <f aca="false">VLOOKUP($A427,content_factors_backup!$A$2:$Q$468,R$525,FALSE())</f>
        <v>#N/A</v>
      </c>
      <c r="S427" s="0" t="e">
        <f aca="false">VLOOKUP($A427,content_factors_backup!$A$2:$Q$468,S$525,FALSE())</f>
        <v>#N/A</v>
      </c>
      <c r="T427" s="0" t="e">
        <f aca="false">VLOOKUP($A427,content_factors_backup!$A$2:$Q$468,T$525,FALSE())</f>
        <v>#N/A</v>
      </c>
      <c r="U427" s="0" t="e">
        <f aca="false">VLOOKUP($A427,content_factors_backup!$A$2:$Q$468,U$525,FALSE())</f>
        <v>#N/A</v>
      </c>
      <c r="V427" s="0" t="e">
        <f aca="false">VLOOKUP($A427,content_factors_backup!$A$2:$Q$468,V$525,FALSE())</f>
        <v>#N/A</v>
      </c>
      <c r="W427" s="0" t="e">
        <f aca="false">VLOOKUP($A427,content_factors_backup!$A$2:$Q$468,W$525,FALSE())</f>
        <v>#N/A</v>
      </c>
    </row>
    <row r="428" customFormat="false" ht="14.25" hidden="false" customHeight="false" outlineLevel="0" collapsed="false">
      <c r="A428" s="0" t="n">
        <v>1035</v>
      </c>
      <c r="B428" s="0" t="s">
        <v>988</v>
      </c>
      <c r="C428" s="0" t="s">
        <v>989</v>
      </c>
      <c r="E428" s="0" t="s">
        <v>990</v>
      </c>
      <c r="F428" s="0" t="s">
        <v>990</v>
      </c>
      <c r="G428" s="0" t="n">
        <v>21113.01</v>
      </c>
      <c r="I428" s="0" t="n">
        <f aca="false">VLOOKUP($A428,content_factors_backup!$A$2:$Q$468,I$525,FALSE())</f>
        <v>55</v>
      </c>
      <c r="J428" s="0" t="n">
        <f aca="false">VLOOKUP($A428,content_factors_backup!$A$2:$Q$468,J$525,FALSE())</f>
        <v>207.93</v>
      </c>
      <c r="K428" s="0" t="n">
        <f aca="false">VLOOKUP($A428,content_factors_backup!$A$2:$Q$468,K$525,FALSE())</f>
        <v>19</v>
      </c>
      <c r="L428" s="0" t="n">
        <f aca="false">VLOOKUP($A428,content_factors_backup!$A$2:$Q$468,L$525,FALSE())</f>
        <v>0</v>
      </c>
      <c r="M428" s="0" t="n">
        <f aca="false">VLOOKUP($A428,content_factors_backup!$A$2:$Q$468,M$525,FALSE())</f>
        <v>2.055</v>
      </c>
      <c r="N428" s="0" t="n">
        <f aca="false">VLOOKUP($A428,content_factors_backup!$A$2:$Q$468,N$525,FALSE())</f>
        <v>1.085</v>
      </c>
      <c r="O428" s="0" t="n">
        <f aca="false">VLOOKUP($A428,content_factors_backup!$A$2:$Q$468,O$525,FALSE())</f>
        <v>10.9</v>
      </c>
      <c r="P428" s="0" t="n">
        <f aca="false">VLOOKUP($A428,content_factors_backup!$A$2:$Q$468,P$525,FALSE())</f>
        <v>2.5</v>
      </c>
      <c r="Q428" s="0" t="n">
        <f aca="false">VLOOKUP($A428,content_factors_backup!$A$2:$Q$468,Q$525,FALSE())</f>
        <v>0.2085</v>
      </c>
      <c r="R428" s="0" t="n">
        <f aca="false">VLOOKUP($A428,content_factors_backup!$A$2:$Q$468,R$525,FALSE())</f>
        <v>0</v>
      </c>
      <c r="S428" s="0" t="n">
        <f aca="false">VLOOKUP($A428,content_factors_backup!$A$2:$Q$468,S$525,FALSE())</f>
        <v>300.5</v>
      </c>
      <c r="T428" s="0" t="n">
        <f aca="false">VLOOKUP($A428,content_factors_backup!$A$2:$Q$468,T$525,FALSE())</f>
        <v>0.197875002374958</v>
      </c>
      <c r="U428" s="0" t="n">
        <f aca="false">VLOOKUP($A428,content_factors_backup!$A$2:$Q$468,U$525,FALSE())</f>
        <v>0.640552888505021</v>
      </c>
      <c r="V428" s="0" t="n">
        <f aca="false">VLOOKUP($A428,content_factors_backup!$A$2:$Q$468,V$525,FALSE())</f>
        <v>0</v>
      </c>
      <c r="W428" s="0" t="n">
        <f aca="false">VLOOKUP($A428,content_factors_backup!$A$2:$Q$468,W$525,FALSE())</f>
        <v>2</v>
      </c>
    </row>
    <row r="429" customFormat="false" ht="14.25" hidden="false" customHeight="false" outlineLevel="0" collapsed="false">
      <c r="A429" s="0" t="n">
        <v>1036</v>
      </c>
      <c r="B429" s="0" t="s">
        <v>991</v>
      </c>
      <c r="C429" s="0" t="s">
        <v>855</v>
      </c>
      <c r="E429" s="0" t="s">
        <v>992</v>
      </c>
      <c r="F429" s="0" t="s">
        <v>992</v>
      </c>
      <c r="G429" s="0" t="n">
        <v>21153</v>
      </c>
      <c r="I429" s="0" t="n">
        <f aca="false">VLOOKUP($A429,content_factors_backup!$A$2:$Q$468,I$525,FALSE())</f>
        <v>50</v>
      </c>
      <c r="J429" s="0" t="n">
        <f aca="false">VLOOKUP($A429,content_factors_backup!$A$2:$Q$468,J$525,FALSE())</f>
        <v>127</v>
      </c>
      <c r="K429" s="0" t="n">
        <f aca="false">VLOOKUP($A429,content_factors_backup!$A$2:$Q$468,K$525,FALSE())</f>
        <v>16.38</v>
      </c>
      <c r="L429" s="0" t="n">
        <f aca="false">VLOOKUP($A429,content_factors_backup!$A$2:$Q$468,L$525,FALSE())</f>
        <v>0</v>
      </c>
      <c r="M429" s="0" t="n">
        <f aca="false">VLOOKUP($A429,content_factors_backup!$A$2:$Q$468,M$525,FALSE())</f>
        <v>1.9</v>
      </c>
      <c r="N429" s="0" t="n">
        <f aca="false">VLOOKUP($A429,content_factors_backup!$A$2:$Q$468,N$525,FALSE())</f>
        <v>5.045</v>
      </c>
      <c r="O429" s="0" t="n">
        <f aca="false">VLOOKUP($A429,content_factors_backup!$A$2:$Q$468,O$525,FALSE())</f>
        <v>11</v>
      </c>
      <c r="P429" s="0" t="n">
        <f aca="false">VLOOKUP($A429,content_factors_backup!$A$2:$Q$468,P$525,FALSE())</f>
        <v>3.5</v>
      </c>
      <c r="Q429" s="0" t="n">
        <f aca="false">VLOOKUP($A429,content_factors_backup!$A$2:$Q$468,Q$525,FALSE())</f>
        <v>0.43</v>
      </c>
      <c r="R429" s="0" t="n">
        <f aca="false">VLOOKUP($A429,content_factors_backup!$A$2:$Q$468,R$525,FALSE())</f>
        <v>194.8</v>
      </c>
      <c r="S429" s="0" t="n">
        <f aca="false">VLOOKUP($A429,content_factors_backup!$A$2:$Q$468,S$525,FALSE())</f>
        <v>229</v>
      </c>
      <c r="T429" s="0" t="n">
        <f aca="false">VLOOKUP($A429,content_factors_backup!$A$2:$Q$468,T$525,FALSE())</f>
        <v>0.26</v>
      </c>
      <c r="U429" s="0" t="n">
        <f aca="false">VLOOKUP($A429,content_factors_backup!$A$2:$Q$468,U$525,FALSE())</f>
        <v>0.365</v>
      </c>
      <c r="V429" s="0" t="n">
        <f aca="false">VLOOKUP($A429,content_factors_backup!$A$2:$Q$468,V$525,FALSE())</f>
        <v>0</v>
      </c>
      <c r="W429" s="0" t="n">
        <f aca="false">VLOOKUP($A429,content_factors_backup!$A$2:$Q$468,W$525,FALSE())</f>
        <v>9</v>
      </c>
    </row>
    <row r="430" customFormat="false" ht="14.25" hidden="false" customHeight="false" outlineLevel="0" collapsed="false">
      <c r="A430" s="0" t="n">
        <v>1037</v>
      </c>
      <c r="B430" s="0" t="s">
        <v>993</v>
      </c>
      <c r="C430" s="0" t="s">
        <v>994</v>
      </c>
      <c r="E430" s="0" t="n">
        <v>20900</v>
      </c>
      <c r="F430" s="0" t="n">
        <v>20910</v>
      </c>
      <c r="G430" s="0" t="n">
        <v>21511.01</v>
      </c>
      <c r="I430" s="0" t="n">
        <f aca="false">VLOOKUP($A430,content_factors_backup!$A$2:$Q$468,I$525,FALSE())</f>
        <v>100</v>
      </c>
      <c r="J430" s="0" t="e">
        <f aca="false">VLOOKUP($A430,content_factors_backup!$A$2:$Q$468,J$525,FALSE())</f>
        <v>#N/A</v>
      </c>
      <c r="K430" s="0" t="e">
        <f aca="false">VLOOKUP($A430,content_factors_backup!$A$2:$Q$468,K$525,FALSE())</f>
        <v>#N/A</v>
      </c>
      <c r="L430" s="0" t="e">
        <f aca="false">VLOOKUP($A430,content_factors_backup!$A$2:$Q$468,L$525,FALSE())</f>
        <v>#N/A</v>
      </c>
      <c r="M430" s="0" t="e">
        <f aca="false">VLOOKUP($A430,content_factors_backup!$A$2:$Q$468,M$525,FALSE())</f>
        <v>#N/A</v>
      </c>
      <c r="N430" s="0" t="e">
        <f aca="false">VLOOKUP($A430,content_factors_backup!$A$2:$Q$468,N$525,FALSE())</f>
        <v>#N/A</v>
      </c>
      <c r="O430" s="0" t="e">
        <f aca="false">VLOOKUP($A430,content_factors_backup!$A$2:$Q$468,O$525,FALSE())</f>
        <v>#N/A</v>
      </c>
      <c r="P430" s="0" t="e">
        <f aca="false">VLOOKUP($A430,content_factors_backup!$A$2:$Q$468,P$525,FALSE())</f>
        <v>#N/A</v>
      </c>
      <c r="Q430" s="0" t="e">
        <f aca="false">VLOOKUP($A430,content_factors_backup!$A$2:$Q$468,Q$525,FALSE())</f>
        <v>#N/A</v>
      </c>
      <c r="R430" s="0" t="e">
        <f aca="false">VLOOKUP($A430,content_factors_backup!$A$2:$Q$468,R$525,FALSE())</f>
        <v>#N/A</v>
      </c>
      <c r="S430" s="0" t="e">
        <f aca="false">VLOOKUP($A430,content_factors_backup!$A$2:$Q$468,S$525,FALSE())</f>
        <v>#N/A</v>
      </c>
      <c r="T430" s="0" t="e">
        <f aca="false">VLOOKUP($A430,content_factors_backup!$A$2:$Q$468,T$525,FALSE())</f>
        <v>#N/A</v>
      </c>
      <c r="U430" s="0" t="e">
        <f aca="false">VLOOKUP($A430,content_factors_backup!$A$2:$Q$468,U$525,FALSE())</f>
        <v>#N/A</v>
      </c>
      <c r="V430" s="0" t="e">
        <f aca="false">VLOOKUP($A430,content_factors_backup!$A$2:$Q$468,V$525,FALSE())</f>
        <v>#N/A</v>
      </c>
      <c r="W430" s="0" t="e">
        <f aca="false">VLOOKUP($A430,content_factors_backup!$A$2:$Q$468,W$525,FALSE())</f>
        <v>#N/A</v>
      </c>
    </row>
    <row r="431" customFormat="false" ht="14.25" hidden="false" customHeight="false" outlineLevel="0" collapsed="false">
      <c r="A431" s="0" t="n">
        <v>1038</v>
      </c>
      <c r="B431" s="0" t="s">
        <v>995</v>
      </c>
      <c r="C431" s="0" t="s">
        <v>996</v>
      </c>
      <c r="E431" s="0" t="s">
        <v>997</v>
      </c>
      <c r="F431" s="0" t="s">
        <v>997</v>
      </c>
      <c r="G431" s="0" t="n">
        <v>21113.02</v>
      </c>
      <c r="I431" s="0" t="n">
        <f aca="false">VLOOKUP($A431,content_factors_backup!$A$2:$Q$468,I$525,FALSE())</f>
        <v>55</v>
      </c>
      <c r="J431" s="0" t="n">
        <f aca="false">VLOOKUP($A431,content_factors_backup!$A$2:$Q$468,J$525,FALSE())</f>
        <v>207.93</v>
      </c>
      <c r="K431" s="0" t="n">
        <f aca="false">VLOOKUP($A431,content_factors_backup!$A$2:$Q$468,K$525,FALSE())</f>
        <v>19</v>
      </c>
      <c r="L431" s="0" t="n">
        <f aca="false">VLOOKUP($A431,content_factors_backup!$A$2:$Q$468,L$525,FALSE())</f>
        <v>0</v>
      </c>
      <c r="M431" s="0" t="n">
        <f aca="false">VLOOKUP($A431,content_factors_backup!$A$2:$Q$468,M$525,FALSE())</f>
        <v>2.055</v>
      </c>
      <c r="N431" s="0" t="n">
        <f aca="false">VLOOKUP($A431,content_factors_backup!$A$2:$Q$468,N$525,FALSE())</f>
        <v>1.085</v>
      </c>
      <c r="O431" s="0" t="n">
        <f aca="false">VLOOKUP($A431,content_factors_backup!$A$2:$Q$468,O$525,FALSE())</f>
        <v>10.9</v>
      </c>
      <c r="P431" s="0" t="n">
        <f aca="false">VLOOKUP($A431,content_factors_backup!$A$2:$Q$468,P$525,FALSE())</f>
        <v>2.5</v>
      </c>
      <c r="Q431" s="0" t="n">
        <f aca="false">VLOOKUP($A431,content_factors_backup!$A$2:$Q$468,Q$525,FALSE())</f>
        <v>0.2085</v>
      </c>
      <c r="R431" s="0" t="n">
        <f aca="false">VLOOKUP($A431,content_factors_backup!$A$2:$Q$468,R$525,FALSE())</f>
        <v>0</v>
      </c>
      <c r="S431" s="0" t="n">
        <f aca="false">VLOOKUP($A431,content_factors_backup!$A$2:$Q$468,S$525,FALSE())</f>
        <v>300.5</v>
      </c>
      <c r="T431" s="0" t="n">
        <f aca="false">VLOOKUP($A431,content_factors_backup!$A$2:$Q$468,T$525,FALSE())</f>
        <v>0.197875002374958</v>
      </c>
      <c r="U431" s="0" t="n">
        <f aca="false">VLOOKUP($A431,content_factors_backup!$A$2:$Q$468,U$525,FALSE())</f>
        <v>0.640552888505021</v>
      </c>
      <c r="V431" s="0" t="n">
        <f aca="false">VLOOKUP($A431,content_factors_backup!$A$2:$Q$468,V$525,FALSE())</f>
        <v>0</v>
      </c>
      <c r="W431" s="0" t="n">
        <f aca="false">VLOOKUP($A431,content_factors_backup!$A$2:$Q$468,W$525,FALSE())</f>
        <v>2</v>
      </c>
    </row>
    <row r="432" customFormat="false" ht="14.25" hidden="false" customHeight="false" outlineLevel="0" collapsed="false">
      <c r="A432" s="0" t="n">
        <v>1039</v>
      </c>
      <c r="B432" s="0" t="s">
        <v>998</v>
      </c>
      <c r="C432" s="0" t="s">
        <v>999</v>
      </c>
      <c r="E432" s="0" t="s">
        <v>1000</v>
      </c>
      <c r="F432" s="0" t="s">
        <v>1000</v>
      </c>
      <c r="G432" s="0" t="n">
        <v>21181</v>
      </c>
      <c r="I432" s="0" t="n">
        <f aca="false">VLOOKUP($A432,content_factors_backup!$A$2:$Q$468,I$525,FALSE())</f>
        <v>55</v>
      </c>
      <c r="J432" s="0" t="n">
        <f aca="false">VLOOKUP($A432,content_factors_backup!$A$2:$Q$468,J$525,FALSE())</f>
        <v>157</v>
      </c>
      <c r="K432" s="0" t="n">
        <f aca="false">VLOOKUP($A432,content_factors_backup!$A$2:$Q$468,K$525,FALSE())</f>
        <v>25.05</v>
      </c>
      <c r="L432" s="0" t="n">
        <f aca="false">VLOOKUP($A432,content_factors_backup!$A$2:$Q$468,L$525,FALSE())</f>
        <v>0</v>
      </c>
      <c r="M432" s="0" t="n">
        <f aca="false">VLOOKUP($A432,content_factors_backup!$A$2:$Q$468,M$525,FALSE())</f>
        <v>2.57</v>
      </c>
      <c r="N432" s="0" t="n">
        <f aca="false">VLOOKUP($A432,content_factors_backup!$A$2:$Q$468,N$525,FALSE())</f>
        <v>0.94</v>
      </c>
      <c r="O432" s="0" t="n">
        <f aca="false">VLOOKUP($A432,content_factors_backup!$A$2:$Q$468,O$525,FALSE())</f>
        <v>7</v>
      </c>
      <c r="P432" s="0" t="n">
        <f aca="false">VLOOKUP($A432,content_factors_backup!$A$2:$Q$468,P$525,FALSE())</f>
        <v>4</v>
      </c>
      <c r="Q432" s="0" t="n">
        <f aca="false">VLOOKUP($A432,content_factors_backup!$A$2:$Q$468,Q$525,FALSE())</f>
        <v>0.254</v>
      </c>
      <c r="R432" s="0" t="n">
        <f aca="false">VLOOKUP($A432,content_factors_backup!$A$2:$Q$468,R$525,FALSE())</f>
        <v>101.9</v>
      </c>
      <c r="S432" s="0" t="n">
        <f aca="false">VLOOKUP($A432,content_factors_backup!$A$2:$Q$468,S$525,FALSE())</f>
        <v>316</v>
      </c>
      <c r="T432" s="0" t="n">
        <f aca="false">VLOOKUP($A432,content_factors_backup!$A$2:$Q$468,T$525,FALSE())</f>
        <v>0.26</v>
      </c>
      <c r="U432" s="0" t="n">
        <f aca="false">VLOOKUP($A432,content_factors_backup!$A$2:$Q$468,U$525,FALSE())</f>
        <v>0.7</v>
      </c>
      <c r="V432" s="0" t="n">
        <f aca="false">VLOOKUP($A432,content_factors_backup!$A$2:$Q$468,V$525,FALSE())</f>
        <v>0</v>
      </c>
      <c r="W432" s="0" t="n">
        <f aca="false">VLOOKUP($A432,content_factors_backup!$A$2:$Q$468,W$525,FALSE())</f>
        <v>0</v>
      </c>
    </row>
    <row r="433" customFormat="false" ht="14.25" hidden="false" customHeight="false" outlineLevel="0" collapsed="false">
      <c r="A433" s="0" t="n">
        <v>1041</v>
      </c>
      <c r="B433" s="0" t="s">
        <v>1001</v>
      </c>
      <c r="C433" s="0" t="s">
        <v>1002</v>
      </c>
      <c r="E433" s="0" t="n">
        <v>160100</v>
      </c>
      <c r="F433" s="0" t="n">
        <v>160100</v>
      </c>
      <c r="G433" s="0" t="n">
        <v>21184.02</v>
      </c>
      <c r="I433" s="0" t="n">
        <f aca="false">VLOOKUP($A433,content_factors_backup!$A$2:$Q$468,I$525,FALSE())</f>
        <v>55</v>
      </c>
      <c r="J433" s="0" t="n">
        <f aca="false">VLOOKUP($A433,content_factors_backup!$A$2:$Q$468,J$525,FALSE())</f>
        <v>297</v>
      </c>
      <c r="K433" s="0" t="n">
        <f aca="false">VLOOKUP($A433,content_factors_backup!$A$2:$Q$468,K$525,FALSE())</f>
        <v>25.69</v>
      </c>
      <c r="L433" s="0" t="n">
        <f aca="false">VLOOKUP($A433,content_factors_backup!$A$2:$Q$468,L$525,FALSE())</f>
        <v>0</v>
      </c>
      <c r="M433" s="0" t="n">
        <f aca="false">VLOOKUP($A433,content_factors_backup!$A$2:$Q$468,M$525,FALSE())</f>
        <v>3.21</v>
      </c>
      <c r="N433" s="0" t="n">
        <f aca="false">VLOOKUP($A433,content_factors_backup!$A$2:$Q$468,N$525,FALSE())</f>
        <v>1.29</v>
      </c>
      <c r="O433" s="0" t="n">
        <f aca="false">VLOOKUP($A433,content_factors_backup!$A$2:$Q$468,O$525,FALSE())</f>
        <v>22</v>
      </c>
      <c r="P433" s="0" t="n">
        <f aca="false">VLOOKUP($A433,content_factors_backup!$A$2:$Q$468,P$525,FALSE())</f>
        <v>6</v>
      </c>
      <c r="Q433" s="0" t="n">
        <f aca="false">VLOOKUP($A433,content_factors_backup!$A$2:$Q$468,Q$525,FALSE())</f>
        <v>0.22</v>
      </c>
      <c r="R433" s="0" t="n">
        <f aca="false">VLOOKUP($A433,content_factors_backup!$A$2:$Q$468,R$525,FALSE())</f>
        <v>88.3</v>
      </c>
      <c r="S433" s="0" t="n">
        <f aca="false">VLOOKUP($A433,content_factors_backup!$A$2:$Q$468,S$525,FALSE())</f>
        <v>362</v>
      </c>
      <c r="T433" s="0" t="n">
        <f aca="false">VLOOKUP($A433,content_factors_backup!$A$2:$Q$468,T$525,FALSE())</f>
        <v>0.21</v>
      </c>
      <c r="U433" s="0" t="n">
        <f aca="false">VLOOKUP($A433,content_factors_backup!$A$2:$Q$468,U$525,FALSE())</f>
        <v>0.54</v>
      </c>
      <c r="V433" s="0" t="n">
        <f aca="false">VLOOKUP($A433,content_factors_backup!$A$2:$Q$468,V$525,FALSE())</f>
        <v>0</v>
      </c>
      <c r="W433" s="0" t="n">
        <f aca="false">VLOOKUP($A433,content_factors_backup!$A$2:$Q$468,W$525,FALSE())</f>
        <v>2</v>
      </c>
    </row>
    <row r="434" customFormat="false" ht="14.25" hidden="false" customHeight="false" outlineLevel="0" collapsed="false">
      <c r="A434" s="0" t="n">
        <v>1042</v>
      </c>
      <c r="B434" s="0" t="s">
        <v>1003</v>
      </c>
      <c r="C434" s="0" t="s">
        <v>1004</v>
      </c>
      <c r="E434" s="0" t="s">
        <v>1005</v>
      </c>
      <c r="F434" s="0" t="s">
        <v>1005</v>
      </c>
      <c r="G434" s="0" t="s">
        <v>1006</v>
      </c>
      <c r="I434" s="0" t="n">
        <f aca="false">VLOOKUP($A434,content_factors_backup!$A$2:$Q$468,I$525,FALSE())</f>
        <v>55</v>
      </c>
      <c r="J434" s="0" t="n">
        <f aca="false">VLOOKUP($A434,content_factors_backup!$A$2:$Q$468,J$525,FALSE())</f>
        <v>196</v>
      </c>
      <c r="K434" s="0" t="n">
        <f aca="false">VLOOKUP($A434,content_factors_backup!$A$2:$Q$468,K$525,FALSE())</f>
        <v>19.4</v>
      </c>
      <c r="L434" s="0" t="n">
        <f aca="false">VLOOKUP($A434,content_factors_backup!$A$2:$Q$468,L$525,FALSE())</f>
        <v>0</v>
      </c>
      <c r="M434" s="0" t="n">
        <f aca="false">VLOOKUP($A434,content_factors_backup!$A$2:$Q$468,M$525,FALSE())</f>
        <v>2.77</v>
      </c>
      <c r="N434" s="0" t="n">
        <f aca="false">VLOOKUP($A434,content_factors_backup!$A$2:$Q$468,N$525,FALSE())</f>
        <v>1.05</v>
      </c>
      <c r="O434" s="0" t="n">
        <f aca="false">VLOOKUP($A434,content_factors_backup!$A$2:$Q$468,O$525,FALSE())</f>
        <v>5</v>
      </c>
      <c r="P434" s="0" t="n">
        <f aca="false">VLOOKUP($A434,content_factors_backup!$A$2:$Q$468,P$525,FALSE())</f>
        <v>1</v>
      </c>
      <c r="Q434" s="0" t="n">
        <f aca="false">VLOOKUP($A434,content_factors_backup!$A$2:$Q$468,Q$525,FALSE())</f>
        <v>0.18</v>
      </c>
      <c r="R434" s="0" t="n">
        <f aca="false">VLOOKUP($A434,content_factors_backup!$A$2:$Q$468,R$525,FALSE())</f>
        <v>101.9</v>
      </c>
      <c r="S434" s="0" t="n">
        <f aca="false">VLOOKUP($A434,content_factors_backup!$A$2:$Q$468,S$525,FALSE())</f>
        <v>243</v>
      </c>
      <c r="T434" s="0" t="n">
        <f aca="false">VLOOKUP($A434,content_factors_backup!$A$2:$Q$468,T$525,FALSE())</f>
        <v>0.28</v>
      </c>
      <c r="U434" s="0" t="n">
        <f aca="false">VLOOKUP($A434,content_factors_backup!$A$2:$Q$468,U$525,FALSE())</f>
        <v>0.93</v>
      </c>
      <c r="V434" s="0" t="n">
        <f aca="false">VLOOKUP($A434,content_factors_backup!$A$2:$Q$468,V$525,FALSE())</f>
        <v>0</v>
      </c>
      <c r="W434" s="0" t="n">
        <f aca="false">VLOOKUP($A434,content_factors_backup!$A$2:$Q$468,W$525,FALSE())</f>
        <v>0</v>
      </c>
    </row>
    <row r="435" customFormat="false" ht="14.25" hidden="false" customHeight="false" outlineLevel="0" collapsed="false">
      <c r="A435" s="0" t="n">
        <v>1043</v>
      </c>
      <c r="B435" s="0" t="s">
        <v>1007</v>
      </c>
      <c r="C435" s="0" t="s">
        <v>1008</v>
      </c>
      <c r="E435" s="0" t="n">
        <v>150100</v>
      </c>
      <c r="F435" s="0" t="s">
        <v>1009</v>
      </c>
      <c r="G435" s="0" t="n">
        <v>21521</v>
      </c>
      <c r="I435" s="0" t="n">
        <f aca="false">VLOOKUP($A435,content_factors_backup!$A$2:$Q$468,I$525,FALSE())</f>
        <v>55</v>
      </c>
      <c r="J435" s="0" t="n">
        <f aca="false">VLOOKUP($A435,content_factors_backup!$A$2:$Q$468,J$525,FALSE())</f>
        <v>900</v>
      </c>
      <c r="K435" s="0" t="n">
        <f aca="false">VLOOKUP($A435,content_factors_backup!$A$2:$Q$468,K$525,FALSE())</f>
        <v>0</v>
      </c>
      <c r="L435" s="0" t="n">
        <f aca="false">VLOOKUP($A435,content_factors_backup!$A$2:$Q$468,L$525,FALSE())</f>
        <v>0</v>
      </c>
      <c r="M435" s="0" t="n">
        <f aca="false">VLOOKUP($A435,content_factors_backup!$A$2:$Q$468,M$525,FALSE())</f>
        <v>0</v>
      </c>
      <c r="N435" s="0" t="n">
        <f aca="false">VLOOKUP($A435,content_factors_backup!$A$2:$Q$468,N$525,FALSE())</f>
        <v>0</v>
      </c>
      <c r="O435" s="0" t="n">
        <f aca="false">VLOOKUP($A435,content_factors_backup!$A$2:$Q$468,O$525,FALSE())</f>
        <v>0</v>
      </c>
      <c r="P435" s="0" t="n">
        <f aca="false">VLOOKUP($A435,content_factors_backup!$A$2:$Q$468,P$525,FALSE())</f>
        <v>0</v>
      </c>
      <c r="Q435" s="0" t="n">
        <f aca="false">VLOOKUP($A435,content_factors_backup!$A$2:$Q$468,Q$525,FALSE())</f>
        <v>0</v>
      </c>
      <c r="R435" s="0" t="n">
        <f aca="false">VLOOKUP($A435,content_factors_backup!$A$2:$Q$468,R$525,FALSE())</f>
        <v>0</v>
      </c>
      <c r="S435" s="0" t="n">
        <f aca="false">VLOOKUP($A435,content_factors_backup!$A$2:$Q$468,S$525,FALSE())</f>
        <v>0</v>
      </c>
      <c r="T435" s="0" t="n">
        <f aca="false">VLOOKUP($A435,content_factors_backup!$A$2:$Q$468,T$525,FALSE())</f>
        <v>2.7</v>
      </c>
      <c r="U435" s="0" t="n">
        <f aca="false">VLOOKUP($A435,content_factors_backup!$A$2:$Q$468,U$525,FALSE())</f>
        <v>0</v>
      </c>
      <c r="V435" s="0" t="n">
        <f aca="false">VLOOKUP($A435,content_factors_backup!$A$2:$Q$468,V$525,FALSE())</f>
        <v>0</v>
      </c>
      <c r="W435" s="0" t="n">
        <f aca="false">VLOOKUP($A435,content_factors_backup!$A$2:$Q$468,W$525,FALSE())</f>
        <v>0</v>
      </c>
    </row>
    <row r="436" customFormat="false" ht="14.25" hidden="false" customHeight="false" outlineLevel="0" collapsed="false">
      <c r="A436" s="0" t="n">
        <v>1044</v>
      </c>
      <c r="B436" s="0" t="s">
        <v>1010</v>
      </c>
      <c r="C436" s="0" t="s">
        <v>1011</v>
      </c>
      <c r="E436" s="0" t="n">
        <v>410330</v>
      </c>
      <c r="F436" s="0" t="n">
        <v>410330</v>
      </c>
      <c r="G436" s="0" t="n">
        <v>2959.01</v>
      </c>
      <c r="I436" s="0" t="e">
        <f aca="false">VLOOKUP($A436,content_factors_backup!$A$2:$Q$468,I$525,FALSE())</f>
        <v>#N/A</v>
      </c>
      <c r="J436" s="0" t="e">
        <f aca="false">VLOOKUP($A436,content_factors_backup!$A$2:$Q$468,J$525,FALSE())</f>
        <v>#N/A</v>
      </c>
      <c r="K436" s="0" t="e">
        <f aca="false">VLOOKUP($A436,content_factors_backup!$A$2:$Q$468,K$525,FALSE())</f>
        <v>#N/A</v>
      </c>
      <c r="L436" s="0" t="e">
        <f aca="false">VLOOKUP($A436,content_factors_backup!$A$2:$Q$468,L$525,FALSE())</f>
        <v>#N/A</v>
      </c>
      <c r="M436" s="0" t="e">
        <f aca="false">VLOOKUP($A436,content_factors_backup!$A$2:$Q$468,M$525,FALSE())</f>
        <v>#N/A</v>
      </c>
      <c r="N436" s="0" t="e">
        <f aca="false">VLOOKUP($A436,content_factors_backup!$A$2:$Q$468,N$525,FALSE())</f>
        <v>#N/A</v>
      </c>
      <c r="O436" s="0" t="e">
        <f aca="false">VLOOKUP($A436,content_factors_backup!$A$2:$Q$468,O$525,FALSE())</f>
        <v>#N/A</v>
      </c>
      <c r="P436" s="0" t="e">
        <f aca="false">VLOOKUP($A436,content_factors_backup!$A$2:$Q$468,P$525,FALSE())</f>
        <v>#N/A</v>
      </c>
      <c r="Q436" s="0" t="e">
        <f aca="false">VLOOKUP($A436,content_factors_backup!$A$2:$Q$468,Q$525,FALSE())</f>
        <v>#N/A</v>
      </c>
      <c r="R436" s="0" t="e">
        <f aca="false">VLOOKUP($A436,content_factors_backup!$A$2:$Q$468,R$525,FALSE())</f>
        <v>#N/A</v>
      </c>
      <c r="S436" s="0" t="e">
        <f aca="false">VLOOKUP($A436,content_factors_backup!$A$2:$Q$468,S$525,FALSE())</f>
        <v>#N/A</v>
      </c>
      <c r="T436" s="0" t="e">
        <f aca="false">VLOOKUP($A436,content_factors_backup!$A$2:$Q$468,T$525,FALSE())</f>
        <v>#N/A</v>
      </c>
      <c r="U436" s="0" t="e">
        <f aca="false">VLOOKUP($A436,content_factors_backup!$A$2:$Q$468,U$525,FALSE())</f>
        <v>#N/A</v>
      </c>
      <c r="V436" s="0" t="e">
        <f aca="false">VLOOKUP($A436,content_factors_backup!$A$2:$Q$468,V$525,FALSE())</f>
        <v>#N/A</v>
      </c>
      <c r="W436" s="0" t="e">
        <f aca="false">VLOOKUP($A436,content_factors_backup!$A$2:$Q$468,W$525,FALSE())</f>
        <v>#N/A</v>
      </c>
    </row>
    <row r="437" customFormat="false" ht="14.25" hidden="false" customHeight="false" outlineLevel="0" collapsed="false">
      <c r="A437" s="0" t="n">
        <v>1055</v>
      </c>
      <c r="B437" s="0" t="s">
        <v>1012</v>
      </c>
      <c r="G437" s="0" t="s">
        <v>1013</v>
      </c>
      <c r="I437" s="0" t="e">
        <f aca="false">VLOOKUP($A437,content_factors_backup!$A$2:$Q$468,I$525,FALSE())</f>
        <v>#N/A</v>
      </c>
      <c r="J437" s="0" t="e">
        <f aca="false">VLOOKUP($A437,content_factors_backup!$A$2:$Q$468,J$525,FALSE())</f>
        <v>#N/A</v>
      </c>
      <c r="K437" s="0" t="e">
        <f aca="false">VLOOKUP($A437,content_factors_backup!$A$2:$Q$468,K$525,FALSE())</f>
        <v>#N/A</v>
      </c>
      <c r="L437" s="0" t="e">
        <f aca="false">VLOOKUP($A437,content_factors_backup!$A$2:$Q$468,L$525,FALSE())</f>
        <v>#N/A</v>
      </c>
      <c r="M437" s="0" t="e">
        <f aca="false">VLOOKUP($A437,content_factors_backup!$A$2:$Q$468,M$525,FALSE())</f>
        <v>#N/A</v>
      </c>
      <c r="N437" s="0" t="e">
        <f aca="false">VLOOKUP($A437,content_factors_backup!$A$2:$Q$468,N$525,FALSE())</f>
        <v>#N/A</v>
      </c>
      <c r="O437" s="0" t="e">
        <f aca="false">VLOOKUP($A437,content_factors_backup!$A$2:$Q$468,O$525,FALSE())</f>
        <v>#N/A</v>
      </c>
      <c r="P437" s="0" t="e">
        <f aca="false">VLOOKUP($A437,content_factors_backup!$A$2:$Q$468,P$525,FALSE())</f>
        <v>#N/A</v>
      </c>
      <c r="Q437" s="0" t="e">
        <f aca="false">VLOOKUP($A437,content_factors_backup!$A$2:$Q$468,Q$525,FALSE())</f>
        <v>#N/A</v>
      </c>
      <c r="R437" s="0" t="e">
        <f aca="false">VLOOKUP($A437,content_factors_backup!$A$2:$Q$468,R$525,FALSE())</f>
        <v>#N/A</v>
      </c>
      <c r="S437" s="0" t="e">
        <f aca="false">VLOOKUP($A437,content_factors_backup!$A$2:$Q$468,S$525,FALSE())</f>
        <v>#N/A</v>
      </c>
      <c r="T437" s="0" t="e">
        <f aca="false">VLOOKUP($A437,content_factors_backup!$A$2:$Q$468,T$525,FALSE())</f>
        <v>#N/A</v>
      </c>
      <c r="U437" s="0" t="e">
        <f aca="false">VLOOKUP($A437,content_factors_backup!$A$2:$Q$468,U$525,FALSE())</f>
        <v>#N/A</v>
      </c>
      <c r="V437" s="0" t="e">
        <f aca="false">VLOOKUP($A437,content_factors_backup!$A$2:$Q$468,V$525,FALSE())</f>
        <v>#N/A</v>
      </c>
      <c r="W437" s="0" t="e">
        <f aca="false">VLOOKUP($A437,content_factors_backup!$A$2:$Q$468,W$525,FALSE())</f>
        <v>#N/A</v>
      </c>
    </row>
    <row r="438" customFormat="false" ht="14.25" hidden="false" customHeight="false" outlineLevel="0" collapsed="false">
      <c r="A438" s="0" t="n">
        <v>1057</v>
      </c>
      <c r="B438" s="0" t="s">
        <v>1014</v>
      </c>
      <c r="C438" s="0" t="s">
        <v>1015</v>
      </c>
      <c r="E438" s="0" t="s">
        <v>1016</v>
      </c>
      <c r="F438" s="0" t="s">
        <v>1017</v>
      </c>
      <c r="G438" s="0" t="n">
        <v>2151</v>
      </c>
      <c r="I438" s="0" t="n">
        <f aca="false">VLOOKUP($A438,content_factors_backup!$A$2:$Q$468,I$525,FALSE())</f>
        <v>0</v>
      </c>
      <c r="J438" s="0" t="e">
        <f aca="false">VLOOKUP($A438,content_factors_backup!$A$2:$Q$468,J$525,FALSE())</f>
        <v>#N/A</v>
      </c>
      <c r="K438" s="0" t="e">
        <f aca="false">VLOOKUP($A438,content_factors_backup!$A$2:$Q$468,K$525,FALSE())</f>
        <v>#N/A</v>
      </c>
      <c r="L438" s="0" t="e">
        <f aca="false">VLOOKUP($A438,content_factors_backup!$A$2:$Q$468,L$525,FALSE())</f>
        <v>#N/A</v>
      </c>
      <c r="M438" s="0" t="e">
        <f aca="false">VLOOKUP($A438,content_factors_backup!$A$2:$Q$468,M$525,FALSE())</f>
        <v>#N/A</v>
      </c>
      <c r="N438" s="0" t="e">
        <f aca="false">VLOOKUP($A438,content_factors_backup!$A$2:$Q$468,N$525,FALSE())</f>
        <v>#N/A</v>
      </c>
      <c r="O438" s="0" t="e">
        <f aca="false">VLOOKUP($A438,content_factors_backup!$A$2:$Q$468,O$525,FALSE())</f>
        <v>#N/A</v>
      </c>
      <c r="P438" s="0" t="e">
        <f aca="false">VLOOKUP($A438,content_factors_backup!$A$2:$Q$468,P$525,FALSE())</f>
        <v>#N/A</v>
      </c>
      <c r="Q438" s="0" t="e">
        <f aca="false">VLOOKUP($A438,content_factors_backup!$A$2:$Q$468,Q$525,FALSE())</f>
        <v>#N/A</v>
      </c>
      <c r="R438" s="0" t="e">
        <f aca="false">VLOOKUP($A438,content_factors_backup!$A$2:$Q$468,R$525,FALSE())</f>
        <v>#N/A</v>
      </c>
      <c r="S438" s="0" t="e">
        <f aca="false">VLOOKUP($A438,content_factors_backup!$A$2:$Q$468,S$525,FALSE())</f>
        <v>#N/A</v>
      </c>
      <c r="T438" s="0" t="e">
        <f aca="false">VLOOKUP($A438,content_factors_backup!$A$2:$Q$468,T$525,FALSE())</f>
        <v>#N/A</v>
      </c>
      <c r="U438" s="0" t="e">
        <f aca="false">VLOOKUP($A438,content_factors_backup!$A$2:$Q$468,U$525,FALSE())</f>
        <v>#N/A</v>
      </c>
      <c r="V438" s="0" t="e">
        <f aca="false">VLOOKUP($A438,content_factors_backup!$A$2:$Q$468,V$525,FALSE())</f>
        <v>#N/A</v>
      </c>
      <c r="W438" s="0" t="e">
        <f aca="false">VLOOKUP($A438,content_factors_backup!$A$2:$Q$468,W$525,FALSE())</f>
        <v>#N/A</v>
      </c>
    </row>
    <row r="439" customFormat="false" ht="14.25" hidden="false" customHeight="false" outlineLevel="0" collapsed="false">
      <c r="A439" s="0" t="n">
        <v>1058</v>
      </c>
      <c r="B439" s="0" t="s">
        <v>1018</v>
      </c>
      <c r="C439" s="0" t="s">
        <v>1019</v>
      </c>
      <c r="E439" s="0" t="s">
        <v>1020</v>
      </c>
      <c r="F439" s="0" t="s">
        <v>1021</v>
      </c>
      <c r="G439" s="0" t="n">
        <v>21121</v>
      </c>
      <c r="I439" s="0" t="n">
        <f aca="false">VLOOKUP($A439,content_factors_backup!$A$2:$Q$468,I$525,FALSE())</f>
        <v>50</v>
      </c>
      <c r="J439" s="0" t="n">
        <f aca="false">VLOOKUP($A439,content_factors_backup!$A$2:$Q$468,J$525,FALSE())</f>
        <v>172.58</v>
      </c>
      <c r="K439" s="0" t="n">
        <f aca="false">VLOOKUP($A439,content_factors_backup!$A$2:$Q$468,K$525,FALSE())</f>
        <v>18.045</v>
      </c>
      <c r="L439" s="0" t="n">
        <f aca="false">VLOOKUP($A439,content_factors_backup!$A$2:$Q$468,L$525,FALSE())</f>
        <v>0</v>
      </c>
      <c r="M439" s="0" t="n">
        <f aca="false">VLOOKUP($A439,content_factors_backup!$A$2:$Q$468,M$525,FALSE())</f>
        <v>1.33</v>
      </c>
      <c r="N439" s="0" t="n">
        <f aca="false">VLOOKUP($A439,content_factors_backup!$A$2:$Q$468,N$525,FALSE())</f>
        <v>1.4</v>
      </c>
      <c r="O439" s="0" t="n">
        <f aca="false">VLOOKUP($A439,content_factors_backup!$A$2:$Q$468,O$525,FALSE())</f>
        <v>11</v>
      </c>
      <c r="P439" s="0" t="n">
        <f aca="false">VLOOKUP($A439,content_factors_backup!$A$2:$Q$468,P$525,FALSE())</f>
        <v>7</v>
      </c>
      <c r="Q439" s="0" t="n">
        <f aca="false">VLOOKUP($A439,content_factors_backup!$A$2:$Q$468,Q$525,FALSE())</f>
        <v>0.155</v>
      </c>
      <c r="R439" s="0" t="n">
        <f aca="false">VLOOKUP($A439,content_factors_backup!$A$2:$Q$468,R$525,FALSE())</f>
        <v>58</v>
      </c>
      <c r="S439" s="0" t="n">
        <f aca="false">VLOOKUP($A439,content_factors_backup!$A$2:$Q$468,S$525,FALSE())</f>
        <v>233.5</v>
      </c>
      <c r="T439" s="0" t="n">
        <f aca="false">VLOOKUP($A439,content_factors_backup!$A$2:$Q$468,T$525,FALSE())</f>
        <v>0.158251487388476</v>
      </c>
      <c r="U439" s="0" t="n">
        <f aca="false">VLOOKUP($A439,content_factors_backup!$A$2:$Q$468,U$525,FALSE())</f>
        <v>0.520695613366424</v>
      </c>
      <c r="V439" s="0" t="n">
        <f aca="false">VLOOKUP($A439,content_factors_backup!$A$2:$Q$468,V$525,FALSE())</f>
        <v>0.967503828501812</v>
      </c>
      <c r="W439" s="0" t="n">
        <f aca="false">VLOOKUP($A439,content_factors_backup!$A$2:$Q$468,W$525,FALSE())</f>
        <v>18</v>
      </c>
    </row>
    <row r="440" customFormat="false" ht="14.25" hidden="false" customHeight="false" outlineLevel="0" collapsed="false">
      <c r="A440" s="0" t="n">
        <v>1059</v>
      </c>
      <c r="B440" s="0" t="s">
        <v>1022</v>
      </c>
      <c r="C440" s="0" t="s">
        <v>855</v>
      </c>
      <c r="E440" s="0" t="s">
        <v>1023</v>
      </c>
      <c r="F440" s="0" t="s">
        <v>1024</v>
      </c>
      <c r="G440" s="0" t="n">
        <v>21160.01</v>
      </c>
      <c r="I440" s="0" t="n">
        <f aca="false">VLOOKUP($A440,content_factors_backup!$A$2:$Q$468,I$525,FALSE())</f>
        <v>50</v>
      </c>
      <c r="J440" s="0" t="n">
        <f aca="false">VLOOKUP($A440,content_factors_backup!$A$2:$Q$468,J$525,FALSE())</f>
        <v>121</v>
      </c>
      <c r="K440" s="0" t="n">
        <f aca="false">VLOOKUP($A440,content_factors_backup!$A$2:$Q$468,K$525,FALSE())</f>
        <v>17.46</v>
      </c>
      <c r="L440" s="0" t="n">
        <f aca="false">VLOOKUP($A440,content_factors_backup!$A$2:$Q$468,L$525,FALSE())</f>
        <v>0</v>
      </c>
      <c r="M440" s="0" t="n">
        <f aca="false">VLOOKUP($A440,content_factors_backup!$A$2:$Q$468,M$525,FALSE())</f>
        <v>2.67</v>
      </c>
      <c r="N440" s="0" t="n">
        <f aca="false">VLOOKUP($A440,content_factors_backup!$A$2:$Q$468,N$525,FALSE())</f>
        <v>8.7</v>
      </c>
      <c r="O440" s="0" t="n">
        <f aca="false">VLOOKUP($A440,content_factors_backup!$A$2:$Q$468,O$525,FALSE())</f>
        <v>11</v>
      </c>
      <c r="P440" s="0" t="n">
        <f aca="false">VLOOKUP($A440,content_factors_backup!$A$2:$Q$468,P$525,FALSE())</f>
        <v>690</v>
      </c>
      <c r="Q440" s="0" t="n">
        <f aca="false">VLOOKUP($A440,content_factors_backup!$A$2:$Q$468,Q$525,FALSE())</f>
        <v>1.96</v>
      </c>
      <c r="R440" s="0" t="n">
        <f aca="false">VLOOKUP($A440,content_factors_backup!$A$2:$Q$468,R$525,FALSE())</f>
        <v>194.4</v>
      </c>
      <c r="S440" s="0" t="n">
        <f aca="false">VLOOKUP($A440,content_factors_backup!$A$2:$Q$468,S$525,FALSE())</f>
        <v>229</v>
      </c>
      <c r="T440" s="0" t="n">
        <f aca="false">VLOOKUP($A440,content_factors_backup!$A$2:$Q$468,T$525,FALSE())</f>
        <v>0.82</v>
      </c>
      <c r="U440" s="0" t="n">
        <f aca="false">VLOOKUP($A440,content_factors_backup!$A$2:$Q$468,U$525,FALSE())</f>
        <v>20.425</v>
      </c>
      <c r="V440" s="0" t="n">
        <f aca="false">VLOOKUP($A440,content_factors_backup!$A$2:$Q$468,V$525,FALSE())</f>
        <v>0</v>
      </c>
      <c r="W440" s="0" t="n">
        <f aca="false">VLOOKUP($A440,content_factors_backup!$A$2:$Q$468,W$525,FALSE())</f>
        <v>7890</v>
      </c>
    </row>
    <row r="441" customFormat="false" ht="14.25" hidden="false" customHeight="false" outlineLevel="0" collapsed="false">
      <c r="A441" s="0" t="n">
        <v>1060</v>
      </c>
      <c r="B441" s="0" t="s">
        <v>1025</v>
      </c>
      <c r="C441" s="0" t="s">
        <v>1026</v>
      </c>
      <c r="E441" s="0" t="n">
        <v>160220</v>
      </c>
      <c r="F441" s="0" t="n">
        <v>160220</v>
      </c>
      <c r="G441" s="0" t="n">
        <v>21189.02</v>
      </c>
      <c r="I441" s="0" t="n">
        <f aca="false">VLOOKUP($A441,content_factors_backup!$A$2:$Q$468,I$525,FALSE())</f>
        <v>50</v>
      </c>
      <c r="J441" s="0" t="n">
        <f aca="false">VLOOKUP($A441,content_factors_backup!$A$2:$Q$468,J$525,FALSE())</f>
        <v>167</v>
      </c>
      <c r="K441" s="0" t="n">
        <f aca="false">VLOOKUP($A441,content_factors_backup!$A$2:$Q$468,K$525,FALSE())</f>
        <v>24.46</v>
      </c>
      <c r="L441" s="0" t="n">
        <f aca="false">VLOOKUP($A441,content_factors_backup!$A$2:$Q$468,L$525,FALSE())</f>
        <v>0</v>
      </c>
      <c r="M441" s="0" t="n">
        <f aca="false">VLOOKUP($A441,content_factors_backup!$A$2:$Q$468,M$525,FALSE())</f>
        <v>3.98</v>
      </c>
      <c r="N441" s="0" t="n">
        <f aca="false">VLOOKUP($A441,content_factors_backup!$A$2:$Q$468,N$525,FALSE())</f>
        <v>11.63</v>
      </c>
      <c r="O441" s="0" t="n">
        <f aca="false">VLOOKUP($A441,content_factors_backup!$A$2:$Q$468,O$525,FALSE())</f>
        <v>11</v>
      </c>
      <c r="P441" s="0" t="n">
        <f aca="false">VLOOKUP($A441,content_factors_backup!$A$2:$Q$468,P$525,FALSE())</f>
        <v>578</v>
      </c>
      <c r="Q441" s="0" t="n">
        <f aca="false">VLOOKUP($A441,content_factors_backup!$A$2:$Q$468,Q$525,FALSE())</f>
        <v>1.993</v>
      </c>
      <c r="R441" s="0" t="n">
        <f aca="false">VLOOKUP($A441,content_factors_backup!$A$2:$Q$468,R$525,FALSE())</f>
        <v>290</v>
      </c>
      <c r="S441" s="0" t="n">
        <f aca="false">VLOOKUP($A441,content_factors_backup!$A$2:$Q$468,S$525,FALSE())</f>
        <v>263</v>
      </c>
      <c r="T441" s="0" t="n">
        <f aca="false">VLOOKUP($A441,content_factors_backup!$A$2:$Q$468,T$525,FALSE())</f>
        <v>0.82</v>
      </c>
      <c r="U441" s="0" t="n">
        <f aca="false">VLOOKUP($A441,content_factors_backup!$A$2:$Q$468,U$525,FALSE())</f>
        <v>16.85</v>
      </c>
      <c r="V441" s="0" t="n">
        <f aca="false">VLOOKUP($A441,content_factors_backup!$A$2:$Q$468,V$525,FALSE())</f>
        <v>0</v>
      </c>
      <c r="W441" s="0" t="n">
        <f aca="false">VLOOKUP($A441,content_factors_backup!$A$2:$Q$468,W$525,FALSE())</f>
        <v>3981</v>
      </c>
    </row>
    <row r="442" customFormat="false" ht="14.25" hidden="false" customHeight="false" outlineLevel="0" collapsed="false">
      <c r="A442" s="0" t="n">
        <v>1061</v>
      </c>
      <c r="B442" s="0" t="s">
        <v>1027</v>
      </c>
      <c r="C442" s="0" t="s">
        <v>1028</v>
      </c>
      <c r="E442" s="0" t="s">
        <v>1029</v>
      </c>
      <c r="F442" s="0" t="s">
        <v>1029</v>
      </c>
      <c r="G442" s="0" t="s">
        <v>1030</v>
      </c>
      <c r="I442" s="0" t="n">
        <f aca="false">VLOOKUP($A442,content_factors_backup!$A$2:$Q$468,I$525,FALSE())</f>
        <v>50</v>
      </c>
      <c r="J442" s="0" t="n">
        <f aca="false">VLOOKUP($A442,content_factors_backup!$A$2:$Q$468,J$525,FALSE())</f>
        <v>172.58</v>
      </c>
      <c r="K442" s="0" t="n">
        <f aca="false">VLOOKUP($A442,content_factors_backup!$A$2:$Q$468,K$525,FALSE())</f>
        <v>18.045</v>
      </c>
      <c r="L442" s="0" t="n">
        <f aca="false">VLOOKUP($A442,content_factors_backup!$A$2:$Q$468,L$525,FALSE())</f>
        <v>0</v>
      </c>
      <c r="M442" s="0" t="n">
        <f aca="false">VLOOKUP($A442,content_factors_backup!$A$2:$Q$468,M$525,FALSE())</f>
        <v>1.33</v>
      </c>
      <c r="N442" s="0" t="n">
        <f aca="false">VLOOKUP($A442,content_factors_backup!$A$2:$Q$468,N$525,FALSE())</f>
        <v>1.4</v>
      </c>
      <c r="O442" s="0" t="n">
        <f aca="false">VLOOKUP($A442,content_factors_backup!$A$2:$Q$468,O$525,FALSE())</f>
        <v>11</v>
      </c>
      <c r="P442" s="0" t="n">
        <f aca="false">VLOOKUP($A442,content_factors_backup!$A$2:$Q$468,P$525,FALSE())</f>
        <v>7</v>
      </c>
      <c r="Q442" s="0" t="n">
        <f aca="false">VLOOKUP($A442,content_factors_backup!$A$2:$Q$468,Q$525,FALSE())</f>
        <v>0.155</v>
      </c>
      <c r="R442" s="0" t="n">
        <f aca="false">VLOOKUP($A442,content_factors_backup!$A$2:$Q$468,R$525,FALSE())</f>
        <v>58</v>
      </c>
      <c r="S442" s="0" t="n">
        <f aca="false">VLOOKUP($A442,content_factors_backup!$A$2:$Q$468,S$525,FALSE())</f>
        <v>233.5</v>
      </c>
      <c r="T442" s="0" t="n">
        <f aca="false">VLOOKUP($A442,content_factors_backup!$A$2:$Q$468,T$525,FALSE())</f>
        <v>0.158251487388476</v>
      </c>
      <c r="U442" s="0" t="n">
        <f aca="false">VLOOKUP($A442,content_factors_backup!$A$2:$Q$468,U$525,FALSE())</f>
        <v>0.520695613366424</v>
      </c>
      <c r="V442" s="0" t="n">
        <f aca="false">VLOOKUP($A442,content_factors_backup!$A$2:$Q$468,V$525,FALSE())</f>
        <v>0.967503828501812</v>
      </c>
      <c r="W442" s="0" t="n">
        <f aca="false">VLOOKUP($A442,content_factors_backup!$A$2:$Q$468,W$525,FALSE())</f>
        <v>18</v>
      </c>
    </row>
    <row r="443" customFormat="false" ht="14.25" hidden="false" customHeight="false" outlineLevel="0" collapsed="false">
      <c r="A443" s="0" t="n">
        <v>1062</v>
      </c>
      <c r="B443" s="0" t="s">
        <v>1031</v>
      </c>
      <c r="C443" s="0" t="s">
        <v>1032</v>
      </c>
      <c r="E443" s="0" t="n">
        <v>40700</v>
      </c>
      <c r="F443" s="0" t="s">
        <v>1033</v>
      </c>
      <c r="G443" s="0" t="n">
        <v>231</v>
      </c>
      <c r="I443" s="0" t="n">
        <f aca="false">VLOOKUP($A443,content_factors_backup!$A$2:$Q$468,I$525,FALSE())</f>
        <v>27</v>
      </c>
      <c r="J443" s="0" t="n">
        <f aca="false">VLOOKUP($A443,content_factors_backup!$A$2:$Q$468,J$525,FALSE())</f>
        <v>149</v>
      </c>
      <c r="K443" s="0" t="n">
        <f aca="false">VLOOKUP($A443,content_factors_backup!$A$2:$Q$468,K$525,FALSE())</f>
        <v>12.6</v>
      </c>
      <c r="L443" s="0" t="n">
        <f aca="false">VLOOKUP($A443,content_factors_backup!$A$2:$Q$468,L$525,FALSE())</f>
        <v>0</v>
      </c>
      <c r="M443" s="0" t="n">
        <f aca="false">VLOOKUP($A443,content_factors_backup!$A$2:$Q$468,M$525,FALSE())</f>
        <v>1.29</v>
      </c>
      <c r="N443" s="0" t="n">
        <f aca="false">VLOOKUP($A443,content_factors_backup!$A$2:$Q$468,N$525,FALSE())</f>
        <v>2</v>
      </c>
      <c r="O443" s="0" t="n">
        <f aca="false">VLOOKUP($A443,content_factors_backup!$A$2:$Q$468,O$525,FALSE())</f>
        <v>56</v>
      </c>
      <c r="P443" s="0" t="n">
        <f aca="false">VLOOKUP($A443,content_factors_backup!$A$2:$Q$468,P$525,FALSE())</f>
        <v>47</v>
      </c>
      <c r="Q443" s="0" t="n">
        <f aca="false">VLOOKUP($A443,content_factors_backup!$A$2:$Q$468,Q$525,FALSE())</f>
        <v>0.3</v>
      </c>
      <c r="R443" s="0" t="n">
        <f aca="false">VLOOKUP($A443,content_factors_backup!$A$2:$Q$468,R$525,FALSE())</f>
        <v>293.8</v>
      </c>
      <c r="S443" s="0" t="n">
        <f aca="false">VLOOKUP($A443,content_factors_backup!$A$2:$Q$468,S$525,FALSE())</f>
        <v>130</v>
      </c>
      <c r="T443" s="0" t="n">
        <f aca="false">VLOOKUP($A443,content_factors_backup!$A$2:$Q$468,T$525,FALSE())</f>
        <v>2.04</v>
      </c>
      <c r="U443" s="0" t="n">
        <f aca="false">VLOOKUP($A443,content_factors_backup!$A$2:$Q$468,U$525,FALSE())</f>
        <v>1.9</v>
      </c>
      <c r="V443" s="0" t="n">
        <f aca="false">VLOOKUP($A443,content_factors_backup!$A$2:$Q$468,V$525,FALSE())</f>
        <v>0.7</v>
      </c>
      <c r="W443" s="0" t="n">
        <f aca="false">VLOOKUP($A443,content_factors_backup!$A$2:$Q$468,W$525,FALSE())</f>
        <v>197</v>
      </c>
    </row>
    <row r="444" customFormat="false" ht="14.25" hidden="false" customHeight="false" outlineLevel="0" collapsed="false">
      <c r="A444" s="0" t="n">
        <v>1063</v>
      </c>
      <c r="B444" s="0" t="s">
        <v>1034</v>
      </c>
      <c r="C444" s="0" t="s">
        <v>1035</v>
      </c>
      <c r="E444" s="0" t="s">
        <v>1036</v>
      </c>
      <c r="F444" s="0" t="s">
        <v>1036</v>
      </c>
      <c r="G444" s="0" t="n">
        <v>23993.02</v>
      </c>
      <c r="I444" s="0" t="n">
        <f aca="false">VLOOKUP($A444,content_factors_backup!$A$2:$Q$468,I$525,FALSE())</f>
        <v>27</v>
      </c>
      <c r="J444" s="0" t="n">
        <f aca="false">VLOOKUP($A444,content_factors_backup!$A$2:$Q$468,J$525,FALSE())</f>
        <v>328.63</v>
      </c>
      <c r="K444" s="0" t="n">
        <f aca="false">VLOOKUP($A444,content_factors_backup!$A$2:$Q$468,K$525,FALSE())</f>
        <v>15.6</v>
      </c>
      <c r="L444" s="0" t="n">
        <f aca="false">VLOOKUP($A444,content_factors_backup!$A$2:$Q$468,L$525,FALSE())</f>
        <v>0</v>
      </c>
      <c r="M444" s="0" t="n">
        <f aca="false">VLOOKUP($A444,content_factors_backup!$A$2:$Q$468,M$525,FALSE())</f>
        <v>1.29</v>
      </c>
      <c r="N444" s="0" t="n">
        <f aca="false">VLOOKUP($A444,content_factors_backup!$A$2:$Q$468,N$525,FALSE())</f>
        <v>5.6</v>
      </c>
      <c r="O444" s="0" t="n">
        <f aca="false">VLOOKUP($A444,content_factors_backup!$A$2:$Q$468,O$525,FALSE())</f>
        <v>132</v>
      </c>
      <c r="P444" s="0" t="n">
        <f aca="false">VLOOKUP($A444,content_factors_backup!$A$2:$Q$468,P$525,FALSE())</f>
        <v>47</v>
      </c>
      <c r="Q444" s="0" t="n">
        <f aca="false">VLOOKUP($A444,content_factors_backup!$A$2:$Q$468,Q$525,FALSE())</f>
        <v>0.36</v>
      </c>
      <c r="R444" s="0" t="n">
        <f aca="false">VLOOKUP($A444,content_factors_backup!$A$2:$Q$468,R$525,FALSE())</f>
        <v>293.8</v>
      </c>
      <c r="S444" s="0" t="n">
        <f aca="false">VLOOKUP($A444,content_factors_backup!$A$2:$Q$468,S$525,FALSE())</f>
        <v>114</v>
      </c>
      <c r="T444" s="0" t="n">
        <f aca="false">VLOOKUP($A444,content_factors_backup!$A$2:$Q$468,T$525,FALSE())</f>
        <v>1.31</v>
      </c>
      <c r="U444" s="0" t="n">
        <f aca="false">VLOOKUP($A444,content_factors_backup!$A$2:$Q$468,U$525,FALSE())</f>
        <v>0.485</v>
      </c>
      <c r="V444" s="0" t="n">
        <f aca="false">VLOOKUP($A444,content_factors_backup!$A$2:$Q$468,V$525,FALSE())</f>
        <v>5.6</v>
      </c>
      <c r="W444" s="0" t="n">
        <f aca="false">VLOOKUP($A444,content_factors_backup!$A$2:$Q$468,W$525,FALSE())</f>
        <v>473</v>
      </c>
    </row>
    <row r="445" customFormat="false" ht="14.25" hidden="false" customHeight="false" outlineLevel="0" collapsed="false">
      <c r="A445" s="0" t="n">
        <v>1064</v>
      </c>
      <c r="B445" s="0" t="s">
        <v>1037</v>
      </c>
      <c r="C445" s="0" t="s">
        <v>1038</v>
      </c>
      <c r="E445" s="0" t="s">
        <v>1039</v>
      </c>
      <c r="F445" s="0" t="s">
        <v>1039</v>
      </c>
      <c r="G445" s="0" t="n">
        <v>23993.03</v>
      </c>
      <c r="I445" s="0" t="n">
        <f aca="false">VLOOKUP($A445,content_factors_backup!$A$2:$Q$468,I$525,FALSE())</f>
        <v>96</v>
      </c>
      <c r="J445" s="0" t="n">
        <f aca="false">VLOOKUP($A445,content_factors_backup!$A$2:$Q$468,J$525,FALSE())</f>
        <v>578.8</v>
      </c>
      <c r="K445" s="0" t="n">
        <f aca="false">VLOOKUP($A445,content_factors_backup!$A$2:$Q$468,K$525,FALSE())</f>
        <v>45.8</v>
      </c>
      <c r="L445" s="0" t="n">
        <f aca="false">VLOOKUP($A445,content_factors_backup!$A$2:$Q$468,L$525,FALSE())</f>
        <v>0</v>
      </c>
      <c r="M445" s="0" t="n">
        <f aca="false">VLOOKUP($A445,content_factors_backup!$A$2:$Q$468,M$525,FALSE())</f>
        <v>4.29</v>
      </c>
      <c r="N445" s="0" t="n">
        <f aca="false">VLOOKUP($A445,content_factors_backup!$A$2:$Q$468,N$525,FALSE())</f>
        <v>6.115</v>
      </c>
      <c r="O445" s="0" t="n">
        <f aca="false">VLOOKUP($A445,content_factors_backup!$A$2:$Q$468,O$525,FALSE())</f>
        <v>224</v>
      </c>
      <c r="P445" s="0" t="n">
        <f aca="false">VLOOKUP($A445,content_factors_backup!$A$2:$Q$468,P$525,FALSE())</f>
        <v>119</v>
      </c>
      <c r="Q445" s="0" t="n">
        <f aca="false">VLOOKUP($A445,content_factors_backup!$A$2:$Q$468,Q$525,FALSE())</f>
        <v>1.17</v>
      </c>
      <c r="R445" s="0" t="n">
        <f aca="false">VLOOKUP($A445,content_factors_backup!$A$2:$Q$468,R$525,FALSE())</f>
        <v>1266.7</v>
      </c>
      <c r="S445" s="0" t="n">
        <f aca="false">VLOOKUP($A445,content_factors_backup!$A$2:$Q$468,S$525,FALSE())</f>
        <v>515</v>
      </c>
      <c r="T445" s="0" t="n">
        <f aca="false">VLOOKUP($A445,content_factors_backup!$A$2:$Q$468,T$525,FALSE())</f>
        <v>2.17</v>
      </c>
      <c r="U445" s="0" t="n">
        <f aca="false">VLOOKUP($A445,content_factors_backup!$A$2:$Q$468,U$525,FALSE())</f>
        <v>1.695</v>
      </c>
      <c r="V445" s="0" t="n">
        <f aca="false">VLOOKUP($A445,content_factors_backup!$A$2:$Q$468,V$525,FALSE())</f>
        <v>1.2</v>
      </c>
      <c r="W445" s="0" t="n">
        <f aca="false">VLOOKUP($A445,content_factors_backup!$A$2:$Q$468,W$525,FALSE())</f>
        <v>368</v>
      </c>
    </row>
    <row r="446" customFormat="false" ht="14.25" hidden="false" customHeight="false" outlineLevel="0" collapsed="false">
      <c r="A446" s="0" t="n">
        <v>1067</v>
      </c>
      <c r="B446" s="0" t="s">
        <v>1040</v>
      </c>
      <c r="E446" s="0" t="n">
        <v>40700</v>
      </c>
      <c r="F446" s="0" t="s">
        <v>1033</v>
      </c>
      <c r="I446" s="0" t="e">
        <f aca="false">VLOOKUP($A446,content_factors_backup!$A$2:$Q$468,I$525,FALSE())</f>
        <v>#N/A</v>
      </c>
      <c r="J446" s="0" t="e">
        <f aca="false">VLOOKUP($A446,content_factors_backup!$A$2:$Q$468,J$525,FALSE())</f>
        <v>#N/A</v>
      </c>
      <c r="K446" s="0" t="e">
        <f aca="false">VLOOKUP($A446,content_factors_backup!$A$2:$Q$468,K$525,FALSE())</f>
        <v>#N/A</v>
      </c>
      <c r="L446" s="0" t="e">
        <f aca="false">VLOOKUP($A446,content_factors_backup!$A$2:$Q$468,L$525,FALSE())</f>
        <v>#N/A</v>
      </c>
      <c r="M446" s="0" t="e">
        <f aca="false">VLOOKUP($A446,content_factors_backup!$A$2:$Q$468,M$525,FALSE())</f>
        <v>#N/A</v>
      </c>
      <c r="N446" s="0" t="e">
        <f aca="false">VLOOKUP($A446,content_factors_backup!$A$2:$Q$468,N$525,FALSE())</f>
        <v>#N/A</v>
      </c>
      <c r="O446" s="0" t="e">
        <f aca="false">VLOOKUP($A446,content_factors_backup!$A$2:$Q$468,O$525,FALSE())</f>
        <v>#N/A</v>
      </c>
      <c r="P446" s="0" t="e">
        <f aca="false">VLOOKUP($A446,content_factors_backup!$A$2:$Q$468,P$525,FALSE())</f>
        <v>#N/A</v>
      </c>
      <c r="Q446" s="0" t="e">
        <f aca="false">VLOOKUP($A446,content_factors_backup!$A$2:$Q$468,Q$525,FALSE())</f>
        <v>#N/A</v>
      </c>
      <c r="R446" s="0" t="e">
        <f aca="false">VLOOKUP($A446,content_factors_backup!$A$2:$Q$468,R$525,FALSE())</f>
        <v>#N/A</v>
      </c>
      <c r="S446" s="0" t="e">
        <f aca="false">VLOOKUP($A446,content_factors_backup!$A$2:$Q$468,S$525,FALSE())</f>
        <v>#N/A</v>
      </c>
      <c r="T446" s="0" t="e">
        <f aca="false">VLOOKUP($A446,content_factors_backup!$A$2:$Q$468,T$525,FALSE())</f>
        <v>#N/A</v>
      </c>
      <c r="U446" s="0" t="e">
        <f aca="false">VLOOKUP($A446,content_factors_backup!$A$2:$Q$468,U$525,FALSE())</f>
        <v>#N/A</v>
      </c>
      <c r="V446" s="0" t="e">
        <f aca="false">VLOOKUP($A446,content_factors_backup!$A$2:$Q$468,V$525,FALSE())</f>
        <v>#N/A</v>
      </c>
      <c r="W446" s="0" t="e">
        <f aca="false">VLOOKUP($A446,content_factors_backup!$A$2:$Q$468,W$525,FALSE())</f>
        <v>#N/A</v>
      </c>
    </row>
    <row r="447" customFormat="false" ht="14.25" hidden="false" customHeight="false" outlineLevel="0" collapsed="false">
      <c r="A447" s="0" t="n">
        <v>1068</v>
      </c>
      <c r="B447" s="0" t="s">
        <v>1041</v>
      </c>
      <c r="C447" s="0" t="s">
        <v>1042</v>
      </c>
      <c r="E447" s="0" t="s">
        <v>1043</v>
      </c>
      <c r="F447" s="0" t="s">
        <v>1044</v>
      </c>
      <c r="G447" s="0" t="n">
        <v>2154</v>
      </c>
      <c r="I447" s="0" t="n">
        <f aca="false">VLOOKUP($A447,content_factors_backup!$A$2:$Q$468,I$525,FALSE())</f>
        <v>0</v>
      </c>
      <c r="J447" s="0" t="e">
        <f aca="false">VLOOKUP($A447,content_factors_backup!$A$2:$Q$468,J$525,FALSE())</f>
        <v>#N/A</v>
      </c>
      <c r="K447" s="0" t="e">
        <f aca="false">VLOOKUP($A447,content_factors_backup!$A$2:$Q$468,K$525,FALSE())</f>
        <v>#N/A</v>
      </c>
      <c r="L447" s="0" t="e">
        <f aca="false">VLOOKUP($A447,content_factors_backup!$A$2:$Q$468,L$525,FALSE())</f>
        <v>#N/A</v>
      </c>
      <c r="M447" s="0" t="e">
        <f aca="false">VLOOKUP($A447,content_factors_backup!$A$2:$Q$468,M$525,FALSE())</f>
        <v>#N/A</v>
      </c>
      <c r="N447" s="0" t="e">
        <f aca="false">VLOOKUP($A447,content_factors_backup!$A$2:$Q$468,N$525,FALSE())</f>
        <v>#N/A</v>
      </c>
      <c r="O447" s="0" t="e">
        <f aca="false">VLOOKUP($A447,content_factors_backup!$A$2:$Q$468,O$525,FALSE())</f>
        <v>#N/A</v>
      </c>
      <c r="P447" s="0" t="e">
        <f aca="false">VLOOKUP($A447,content_factors_backup!$A$2:$Q$468,P$525,FALSE())</f>
        <v>#N/A</v>
      </c>
      <c r="Q447" s="0" t="e">
        <f aca="false">VLOOKUP($A447,content_factors_backup!$A$2:$Q$468,Q$525,FALSE())</f>
        <v>#N/A</v>
      </c>
      <c r="R447" s="0" t="e">
        <f aca="false">VLOOKUP($A447,content_factors_backup!$A$2:$Q$468,R$525,FALSE())</f>
        <v>#N/A</v>
      </c>
      <c r="S447" s="0" t="e">
        <f aca="false">VLOOKUP($A447,content_factors_backup!$A$2:$Q$468,S$525,FALSE())</f>
        <v>#N/A</v>
      </c>
      <c r="T447" s="0" t="e">
        <f aca="false">VLOOKUP($A447,content_factors_backup!$A$2:$Q$468,T$525,FALSE())</f>
        <v>#N/A</v>
      </c>
      <c r="U447" s="0" t="e">
        <f aca="false">VLOOKUP($A447,content_factors_backup!$A$2:$Q$468,U$525,FALSE())</f>
        <v>#N/A</v>
      </c>
      <c r="V447" s="0" t="e">
        <f aca="false">VLOOKUP($A447,content_factors_backup!$A$2:$Q$468,V$525,FALSE())</f>
        <v>#N/A</v>
      </c>
      <c r="W447" s="0" t="e">
        <f aca="false">VLOOKUP($A447,content_factors_backup!$A$2:$Q$468,W$525,FALSE())</f>
        <v>#N/A</v>
      </c>
    </row>
    <row r="448" customFormat="false" ht="14.25" hidden="false" customHeight="false" outlineLevel="0" collapsed="false">
      <c r="A448" s="0" t="n">
        <v>1069</v>
      </c>
      <c r="B448" s="0" t="s">
        <v>1045</v>
      </c>
      <c r="C448" s="0" t="s">
        <v>855</v>
      </c>
      <c r="E448" s="0" t="s">
        <v>1046</v>
      </c>
      <c r="F448" s="0" t="s">
        <v>1047</v>
      </c>
      <c r="G448" s="0" t="n">
        <v>21122</v>
      </c>
      <c r="I448" s="0" t="n">
        <f aca="false">VLOOKUP($A448,content_factors_backup!$A$2:$Q$468,I$525,FALSE())</f>
        <v>50</v>
      </c>
      <c r="J448" s="0" t="n">
        <f aca="false">VLOOKUP($A448,content_factors_backup!$A$2:$Q$468,J$525,FALSE())</f>
        <v>151</v>
      </c>
      <c r="K448" s="0" t="n">
        <f aca="false">VLOOKUP($A448,content_factors_backup!$A$2:$Q$468,K$525,FALSE())</f>
        <v>22.3</v>
      </c>
      <c r="L448" s="0" t="n">
        <f aca="false">VLOOKUP($A448,content_factors_backup!$A$2:$Q$468,L$525,FALSE())</f>
        <v>0</v>
      </c>
      <c r="M448" s="0" t="n">
        <f aca="false">VLOOKUP($A448,content_factors_backup!$A$2:$Q$468,M$525,FALSE())</f>
        <v>2.2</v>
      </c>
      <c r="N448" s="0" t="n">
        <f aca="false">VLOOKUP($A448,content_factors_backup!$A$2:$Q$468,N$525,FALSE())</f>
        <v>3.54</v>
      </c>
      <c r="O448" s="0" t="n">
        <f aca="false">VLOOKUP($A448,content_factors_backup!$A$2:$Q$468,O$525,FALSE())</f>
        <v>12</v>
      </c>
      <c r="P448" s="0" t="n">
        <f aca="false">VLOOKUP($A448,content_factors_backup!$A$2:$Q$468,P$525,FALSE())</f>
        <v>7</v>
      </c>
      <c r="Q448" s="0" t="n">
        <f aca="false">VLOOKUP($A448,content_factors_backup!$A$2:$Q$468,Q$525,FALSE())</f>
        <v>0.26</v>
      </c>
      <c r="R448" s="0" t="n">
        <f aca="false">VLOOKUP($A448,content_factors_backup!$A$2:$Q$468,R$525,FALSE())</f>
        <v>0</v>
      </c>
      <c r="S448" s="0" t="n">
        <f aca="false">VLOOKUP($A448,content_factors_backup!$A$2:$Q$468,S$525,FALSE())</f>
        <v>243</v>
      </c>
      <c r="T448" s="0" t="n">
        <f aca="false">VLOOKUP($A448,content_factors_backup!$A$2:$Q$468,T$525,FALSE())</f>
        <v>0.21</v>
      </c>
      <c r="U448" s="0" t="n">
        <f aca="false">VLOOKUP($A448,content_factors_backup!$A$2:$Q$468,U$525,FALSE())</f>
        <v>2.515</v>
      </c>
      <c r="V448" s="0" t="n">
        <f aca="false">VLOOKUP($A448,content_factors_backup!$A$2:$Q$468,V$525,FALSE())</f>
        <v>0</v>
      </c>
      <c r="W448" s="0" t="n">
        <f aca="false">VLOOKUP($A448,content_factors_backup!$A$2:$Q$468,W$525,FALSE())</f>
        <v>53</v>
      </c>
    </row>
    <row r="449" customFormat="false" ht="14.25" hidden="false" customHeight="false" outlineLevel="0" collapsed="false">
      <c r="A449" s="0" t="n">
        <v>1070</v>
      </c>
      <c r="B449" s="0" t="s">
        <v>1048</v>
      </c>
      <c r="G449" s="0" t="s">
        <v>1049</v>
      </c>
      <c r="I449" s="0" t="e">
        <f aca="false">VLOOKUP($A449,content_factors_backup!$A$2:$Q$468,I$525,FALSE())</f>
        <v>#N/A</v>
      </c>
      <c r="J449" s="0" t="e">
        <f aca="false">VLOOKUP($A449,content_factors_backup!$A$2:$Q$468,J$525,FALSE())</f>
        <v>#N/A</v>
      </c>
      <c r="K449" s="0" t="e">
        <f aca="false">VLOOKUP($A449,content_factors_backup!$A$2:$Q$468,K$525,FALSE())</f>
        <v>#N/A</v>
      </c>
      <c r="L449" s="0" t="e">
        <f aca="false">VLOOKUP($A449,content_factors_backup!$A$2:$Q$468,L$525,FALSE())</f>
        <v>#N/A</v>
      </c>
      <c r="M449" s="0" t="e">
        <f aca="false">VLOOKUP($A449,content_factors_backup!$A$2:$Q$468,M$525,FALSE())</f>
        <v>#N/A</v>
      </c>
      <c r="N449" s="0" t="e">
        <f aca="false">VLOOKUP($A449,content_factors_backup!$A$2:$Q$468,N$525,FALSE())</f>
        <v>#N/A</v>
      </c>
      <c r="O449" s="0" t="e">
        <f aca="false">VLOOKUP($A449,content_factors_backup!$A$2:$Q$468,O$525,FALSE())</f>
        <v>#N/A</v>
      </c>
      <c r="P449" s="0" t="e">
        <f aca="false">VLOOKUP($A449,content_factors_backup!$A$2:$Q$468,P$525,FALSE())</f>
        <v>#N/A</v>
      </c>
      <c r="Q449" s="0" t="e">
        <f aca="false">VLOOKUP($A449,content_factors_backup!$A$2:$Q$468,Q$525,FALSE())</f>
        <v>#N/A</v>
      </c>
      <c r="R449" s="0" t="e">
        <f aca="false">VLOOKUP($A449,content_factors_backup!$A$2:$Q$468,R$525,FALSE())</f>
        <v>#N/A</v>
      </c>
      <c r="S449" s="0" t="e">
        <f aca="false">VLOOKUP($A449,content_factors_backup!$A$2:$Q$468,S$525,FALSE())</f>
        <v>#N/A</v>
      </c>
      <c r="T449" s="0" t="e">
        <f aca="false">VLOOKUP($A449,content_factors_backup!$A$2:$Q$468,T$525,FALSE())</f>
        <v>#N/A</v>
      </c>
      <c r="U449" s="0" t="e">
        <f aca="false">VLOOKUP($A449,content_factors_backup!$A$2:$Q$468,U$525,FALSE())</f>
        <v>#N/A</v>
      </c>
      <c r="V449" s="0" t="e">
        <f aca="false">VLOOKUP($A449,content_factors_backup!$A$2:$Q$468,V$525,FALSE())</f>
        <v>#N/A</v>
      </c>
      <c r="W449" s="0" t="e">
        <f aca="false">VLOOKUP($A449,content_factors_backup!$A$2:$Q$468,W$525,FALSE())</f>
        <v>#N/A</v>
      </c>
    </row>
    <row r="450" customFormat="false" ht="14.25" hidden="false" customHeight="false" outlineLevel="0" collapsed="false">
      <c r="A450" s="0" t="n">
        <v>1073</v>
      </c>
      <c r="B450" s="0" t="s">
        <v>1050</v>
      </c>
      <c r="C450" s="0" t="s">
        <v>855</v>
      </c>
      <c r="E450" s="0" t="s">
        <v>1046</v>
      </c>
      <c r="F450" s="0" t="s">
        <v>1051</v>
      </c>
      <c r="G450" s="0" t="n">
        <v>21123</v>
      </c>
      <c r="I450" s="0" t="n">
        <f aca="false">VLOOKUP($A450,content_factors_backup!$A$2:$Q$468,I$525,FALSE())</f>
        <v>50</v>
      </c>
      <c r="J450" s="0" t="n">
        <f aca="false">VLOOKUP($A450,content_factors_backup!$A$2:$Q$468,J$525,FALSE())</f>
        <v>116.39</v>
      </c>
      <c r="K450" s="0" t="n">
        <f aca="false">VLOOKUP($A450,content_factors_backup!$A$2:$Q$468,K$525,FALSE())</f>
        <v>20.4</v>
      </c>
      <c r="L450" s="0" t="n">
        <f aca="false">VLOOKUP($A450,content_factors_backup!$A$2:$Q$468,L$525,FALSE())</f>
        <v>0</v>
      </c>
      <c r="M450" s="0" t="n">
        <f aca="false">VLOOKUP($A450,content_factors_backup!$A$2:$Q$468,M$525,FALSE())</f>
        <v>0</v>
      </c>
      <c r="N450" s="0" t="n">
        <f aca="false">VLOOKUP($A450,content_factors_backup!$A$2:$Q$468,N$525,FALSE())</f>
        <v>3.3</v>
      </c>
      <c r="O450" s="0" t="n">
        <f aca="false">VLOOKUP($A450,content_factors_backup!$A$2:$Q$468,O$525,FALSE())</f>
        <v>16</v>
      </c>
      <c r="P450" s="0" t="n">
        <f aca="false">VLOOKUP($A450,content_factors_backup!$A$2:$Q$468,P$525,FALSE())</f>
        <v>0</v>
      </c>
      <c r="Q450" s="0" t="n">
        <f aca="false">VLOOKUP($A450,content_factors_backup!$A$2:$Q$468,Q$525,FALSE())</f>
        <v>0.21</v>
      </c>
      <c r="R450" s="0" t="n">
        <f aca="false">VLOOKUP($A450,content_factors_backup!$A$2:$Q$468,R$525,FALSE())</f>
        <v>0</v>
      </c>
      <c r="S450" s="0" t="n">
        <f aca="false">VLOOKUP($A450,content_factors_backup!$A$2:$Q$468,S$525,FALSE())</f>
        <v>326</v>
      </c>
      <c r="T450" s="0" t="n">
        <f aca="false">VLOOKUP($A450,content_factors_backup!$A$2:$Q$468,T$525,FALSE())</f>
        <v>0.4</v>
      </c>
      <c r="U450" s="0" t="n">
        <f aca="false">VLOOKUP($A450,content_factors_backup!$A$2:$Q$468,U$525,FALSE())</f>
        <v>3.255</v>
      </c>
      <c r="V450" s="0" t="n">
        <f aca="false">VLOOKUP($A450,content_factors_backup!$A$2:$Q$468,V$525,FALSE())</f>
        <v>1.4</v>
      </c>
      <c r="W450" s="0" t="n">
        <f aca="false">VLOOKUP($A450,content_factors_backup!$A$2:$Q$468,W$525,FALSE())</f>
        <v>0</v>
      </c>
    </row>
    <row r="451" customFormat="false" ht="14.25" hidden="false" customHeight="false" outlineLevel="0" collapsed="false">
      <c r="A451" s="0" t="n">
        <v>1074</v>
      </c>
      <c r="B451" s="0" t="s">
        <v>1052</v>
      </c>
      <c r="C451" s="0" t="s">
        <v>1053</v>
      </c>
      <c r="E451" s="0" t="s">
        <v>1054</v>
      </c>
      <c r="F451" s="0" t="s">
        <v>1055</v>
      </c>
      <c r="G451" s="0" t="n">
        <v>21160.02</v>
      </c>
      <c r="I451" s="0" t="n">
        <f aca="false">VLOOKUP($A451,content_factors_backup!$A$2:$Q$468,I$525,FALSE())</f>
        <v>50</v>
      </c>
      <c r="J451" s="0" t="n">
        <f aca="false">VLOOKUP($A451,content_factors_backup!$A$2:$Q$468,J$525,FALSE())</f>
        <v>131</v>
      </c>
      <c r="K451" s="0" t="n">
        <f aca="false">VLOOKUP($A451,content_factors_backup!$A$2:$Q$468,K$525,FALSE())</f>
        <v>15.785</v>
      </c>
      <c r="L451" s="0" t="n">
        <f aca="false">VLOOKUP($A451,content_factors_backup!$A$2:$Q$468,L$525,FALSE())</f>
        <v>0</v>
      </c>
      <c r="M451" s="0" t="n">
        <f aca="false">VLOOKUP($A451,content_factors_backup!$A$2:$Q$468,M$525,FALSE())</f>
        <v>3.315</v>
      </c>
      <c r="N451" s="0" t="n">
        <f aca="false">VLOOKUP($A451,content_factors_backup!$A$2:$Q$468,N$525,FALSE())</f>
        <v>19.165</v>
      </c>
      <c r="O451" s="0" t="n">
        <f aca="false">VLOOKUP($A451,content_factors_backup!$A$2:$Q$468,O$525,FALSE())</f>
        <v>22.5</v>
      </c>
      <c r="P451" s="0" t="n">
        <f aca="false">VLOOKUP($A451,content_factors_backup!$A$2:$Q$468,P$525,FALSE())</f>
        <v>738</v>
      </c>
      <c r="Q451" s="0" t="n">
        <f aca="false">VLOOKUP($A451,content_factors_backup!$A$2:$Q$468,Q$525,FALSE())</f>
        <v>0.571</v>
      </c>
      <c r="R451" s="0" t="n">
        <f aca="false">VLOOKUP($A451,content_factors_backup!$A$2:$Q$468,R$525,FALSE())</f>
        <v>0</v>
      </c>
      <c r="S451" s="0" t="n">
        <f aca="false">VLOOKUP($A451,content_factors_backup!$A$2:$Q$468,S$525,FALSE())</f>
        <v>230</v>
      </c>
      <c r="T451" s="0" t="n">
        <f aca="false">VLOOKUP($A451,content_factors_backup!$A$2:$Q$468,T$525,FALSE())</f>
        <v>0</v>
      </c>
      <c r="U451" s="0" t="n">
        <f aca="false">VLOOKUP($A451,content_factors_backup!$A$2:$Q$468,U$525,FALSE())</f>
        <v>27</v>
      </c>
      <c r="V451" s="0" t="n">
        <f aca="false">VLOOKUP($A451,content_factors_backup!$A$2:$Q$468,V$525,FALSE())</f>
        <v>0</v>
      </c>
      <c r="W451" s="0" t="n">
        <f aca="false">VLOOKUP($A451,content_factors_backup!$A$2:$Q$468,W$525,FALSE())</f>
        <v>7704.5</v>
      </c>
    </row>
    <row r="452" customFormat="false" ht="14.25" hidden="false" customHeight="false" outlineLevel="0" collapsed="false">
      <c r="A452" s="0" t="n">
        <v>1075</v>
      </c>
      <c r="B452" s="0" t="s">
        <v>1056</v>
      </c>
      <c r="C452" s="0" t="s">
        <v>1053</v>
      </c>
      <c r="E452" s="0" t="s">
        <v>1054</v>
      </c>
      <c r="F452" s="0" t="s">
        <v>1057</v>
      </c>
      <c r="G452" s="0" t="n">
        <v>21160.03</v>
      </c>
      <c r="I452" s="0" t="n">
        <f aca="false">VLOOKUP($A452,content_factors_backup!$A$2:$Q$468,I$525,FALSE())</f>
        <v>50</v>
      </c>
      <c r="J452" s="0" t="n">
        <f aca="false">VLOOKUP($A452,content_factors_backup!$A$2:$Q$468,J$525,FALSE())</f>
        <v>128</v>
      </c>
      <c r="K452" s="0" t="n">
        <f aca="false">VLOOKUP($A452,content_factors_backup!$A$2:$Q$468,K$525,FALSE())</f>
        <v>16.4</v>
      </c>
      <c r="L452" s="0" t="n">
        <f aca="false">VLOOKUP($A452,content_factors_backup!$A$2:$Q$468,L$525,FALSE())</f>
        <v>0</v>
      </c>
      <c r="M452" s="0" t="n">
        <f aca="false">VLOOKUP($A452,content_factors_backup!$A$2:$Q$468,M$525,FALSE())</f>
        <v>3.075</v>
      </c>
      <c r="N452" s="0" t="n">
        <f aca="false">VLOOKUP($A452,content_factors_backup!$A$2:$Q$468,N$525,FALSE())</f>
        <v>23.1</v>
      </c>
      <c r="O452" s="0" t="n">
        <f aca="false">VLOOKUP($A452,content_factors_backup!$A$2:$Q$468,O$525,FALSE())</f>
        <v>18</v>
      </c>
      <c r="P452" s="0" t="n">
        <f aca="false">VLOOKUP($A452,content_factors_backup!$A$2:$Q$468,P$525,FALSE())</f>
        <v>738</v>
      </c>
      <c r="Q452" s="0" t="n">
        <f aca="false">VLOOKUP($A452,content_factors_backup!$A$2:$Q$468,Q$525,FALSE())</f>
        <v>1.05</v>
      </c>
      <c r="R452" s="0" t="n">
        <f aca="false">VLOOKUP($A452,content_factors_backup!$A$2:$Q$468,R$525,FALSE())</f>
        <v>0</v>
      </c>
      <c r="S452" s="0" t="n">
        <f aca="false">VLOOKUP($A452,content_factors_backup!$A$2:$Q$468,S$525,FALSE())</f>
        <v>230</v>
      </c>
      <c r="T452" s="0" t="n">
        <f aca="false">VLOOKUP($A452,content_factors_backup!$A$2:$Q$468,T$525,FALSE())</f>
        <v>0</v>
      </c>
      <c r="U452" s="0" t="n">
        <f aca="false">VLOOKUP($A452,content_factors_backup!$A$2:$Q$468,U$525,FALSE())</f>
        <v>27</v>
      </c>
      <c r="V452" s="0" t="n">
        <f aca="false">VLOOKUP($A452,content_factors_backup!$A$2:$Q$468,V$525,FALSE())</f>
        <v>0</v>
      </c>
      <c r="W452" s="0" t="n">
        <f aca="false">VLOOKUP($A452,content_factors_backup!$A$2:$Q$468,W$525,FALSE())</f>
        <v>1040</v>
      </c>
    </row>
    <row r="453" customFormat="false" ht="14.25" hidden="false" customHeight="false" outlineLevel="0" collapsed="false">
      <c r="A453" s="0" t="n">
        <v>1077</v>
      </c>
      <c r="B453" s="0" t="s">
        <v>1058</v>
      </c>
      <c r="G453" s="0" t="s">
        <v>1059</v>
      </c>
      <c r="I453" s="0" t="e">
        <f aca="false">VLOOKUP($A453,content_factors_backup!$A$2:$Q$468,I$525,FALSE())</f>
        <v>#N/A</v>
      </c>
      <c r="J453" s="0" t="e">
        <f aca="false">VLOOKUP($A453,content_factors_backup!$A$2:$Q$468,J$525,FALSE())</f>
        <v>#N/A</v>
      </c>
      <c r="K453" s="0" t="e">
        <f aca="false">VLOOKUP($A453,content_factors_backup!$A$2:$Q$468,K$525,FALSE())</f>
        <v>#N/A</v>
      </c>
      <c r="L453" s="0" t="e">
        <f aca="false">VLOOKUP($A453,content_factors_backup!$A$2:$Q$468,L$525,FALSE())</f>
        <v>#N/A</v>
      </c>
      <c r="M453" s="0" t="e">
        <f aca="false">VLOOKUP($A453,content_factors_backup!$A$2:$Q$468,M$525,FALSE())</f>
        <v>#N/A</v>
      </c>
      <c r="N453" s="0" t="e">
        <f aca="false">VLOOKUP($A453,content_factors_backup!$A$2:$Q$468,N$525,FALSE())</f>
        <v>#N/A</v>
      </c>
      <c r="O453" s="0" t="e">
        <f aca="false">VLOOKUP($A453,content_factors_backup!$A$2:$Q$468,O$525,FALSE())</f>
        <v>#N/A</v>
      </c>
      <c r="P453" s="0" t="e">
        <f aca="false">VLOOKUP($A453,content_factors_backup!$A$2:$Q$468,P$525,FALSE())</f>
        <v>#N/A</v>
      </c>
      <c r="Q453" s="0" t="e">
        <f aca="false">VLOOKUP($A453,content_factors_backup!$A$2:$Q$468,Q$525,FALSE())</f>
        <v>#N/A</v>
      </c>
      <c r="R453" s="0" t="e">
        <f aca="false">VLOOKUP($A453,content_factors_backup!$A$2:$Q$468,R$525,FALSE())</f>
        <v>#N/A</v>
      </c>
      <c r="S453" s="0" t="e">
        <f aca="false">VLOOKUP($A453,content_factors_backup!$A$2:$Q$468,S$525,FALSE())</f>
        <v>#N/A</v>
      </c>
      <c r="T453" s="0" t="e">
        <f aca="false">VLOOKUP($A453,content_factors_backup!$A$2:$Q$468,T$525,FALSE())</f>
        <v>#N/A</v>
      </c>
      <c r="U453" s="0" t="e">
        <f aca="false">VLOOKUP($A453,content_factors_backup!$A$2:$Q$468,U$525,FALSE())</f>
        <v>#N/A</v>
      </c>
      <c r="V453" s="0" t="e">
        <f aca="false">VLOOKUP($A453,content_factors_backup!$A$2:$Q$468,V$525,FALSE())</f>
        <v>#N/A</v>
      </c>
      <c r="W453" s="0" t="e">
        <f aca="false">VLOOKUP($A453,content_factors_backup!$A$2:$Q$468,W$525,FALSE())</f>
        <v>#N/A</v>
      </c>
    </row>
    <row r="454" customFormat="false" ht="14.25" hidden="false" customHeight="false" outlineLevel="0" collapsed="false">
      <c r="A454" s="0" t="n">
        <v>1079</v>
      </c>
      <c r="B454" s="0" t="s">
        <v>1060</v>
      </c>
      <c r="C454" s="0" t="s">
        <v>1061</v>
      </c>
      <c r="E454" s="0" t="s">
        <v>1062</v>
      </c>
      <c r="F454" s="0" t="s">
        <v>1062</v>
      </c>
      <c r="G454" s="0" t="n">
        <v>2152</v>
      </c>
      <c r="I454" s="0" t="n">
        <f aca="false">VLOOKUP($A454,content_factors_backup!$A$2:$Q$468,I$525,FALSE())</f>
        <v>0</v>
      </c>
      <c r="J454" s="0" t="e">
        <f aca="false">VLOOKUP($A454,content_factors_backup!$A$2:$Q$468,J$525,FALSE())</f>
        <v>#N/A</v>
      </c>
      <c r="K454" s="0" t="e">
        <f aca="false">VLOOKUP($A454,content_factors_backup!$A$2:$Q$468,K$525,FALSE())</f>
        <v>#N/A</v>
      </c>
      <c r="L454" s="0" t="e">
        <f aca="false">VLOOKUP($A454,content_factors_backup!$A$2:$Q$468,L$525,FALSE())</f>
        <v>#N/A</v>
      </c>
      <c r="M454" s="0" t="e">
        <f aca="false">VLOOKUP($A454,content_factors_backup!$A$2:$Q$468,M$525,FALSE())</f>
        <v>#N/A</v>
      </c>
      <c r="N454" s="0" t="e">
        <f aca="false">VLOOKUP($A454,content_factors_backup!$A$2:$Q$468,N$525,FALSE())</f>
        <v>#N/A</v>
      </c>
      <c r="O454" s="0" t="e">
        <f aca="false">VLOOKUP($A454,content_factors_backup!$A$2:$Q$468,O$525,FALSE())</f>
        <v>#N/A</v>
      </c>
      <c r="P454" s="0" t="e">
        <f aca="false">VLOOKUP($A454,content_factors_backup!$A$2:$Q$468,P$525,FALSE())</f>
        <v>#N/A</v>
      </c>
      <c r="Q454" s="0" t="e">
        <f aca="false">VLOOKUP($A454,content_factors_backup!$A$2:$Q$468,Q$525,FALSE())</f>
        <v>#N/A</v>
      </c>
      <c r="R454" s="0" t="e">
        <f aca="false">VLOOKUP($A454,content_factors_backup!$A$2:$Q$468,R$525,FALSE())</f>
        <v>#N/A</v>
      </c>
      <c r="S454" s="0" t="e">
        <f aca="false">VLOOKUP($A454,content_factors_backup!$A$2:$Q$468,S$525,FALSE())</f>
        <v>#N/A</v>
      </c>
      <c r="T454" s="0" t="e">
        <f aca="false">VLOOKUP($A454,content_factors_backup!$A$2:$Q$468,T$525,FALSE())</f>
        <v>#N/A</v>
      </c>
      <c r="U454" s="0" t="e">
        <f aca="false">VLOOKUP($A454,content_factors_backup!$A$2:$Q$468,U$525,FALSE())</f>
        <v>#N/A</v>
      </c>
      <c r="V454" s="0" t="e">
        <f aca="false">VLOOKUP($A454,content_factors_backup!$A$2:$Q$468,V$525,FALSE())</f>
        <v>#N/A</v>
      </c>
      <c r="W454" s="0" t="e">
        <f aca="false">VLOOKUP($A454,content_factors_backup!$A$2:$Q$468,W$525,FALSE())</f>
        <v>#N/A</v>
      </c>
    </row>
    <row r="455" customFormat="false" ht="14.25" hidden="false" customHeight="false" outlineLevel="0" collapsed="false">
      <c r="A455" s="0" t="n">
        <v>1080</v>
      </c>
      <c r="B455" s="0" t="s">
        <v>1063</v>
      </c>
      <c r="C455" s="0" t="s">
        <v>855</v>
      </c>
      <c r="E455" s="0" t="s">
        <v>1064</v>
      </c>
      <c r="F455" s="0" t="s">
        <v>1064</v>
      </c>
      <c r="G455" s="0" t="n">
        <v>21124</v>
      </c>
      <c r="I455" s="0" t="n">
        <f aca="false">VLOOKUP($A455,content_factors_backup!$A$2:$Q$468,I$525,FALSE())</f>
        <v>50</v>
      </c>
      <c r="J455" s="0" t="n">
        <f aca="false">VLOOKUP($A455,content_factors_backup!$A$2:$Q$468,J$525,FALSE())</f>
        <v>172.58</v>
      </c>
      <c r="K455" s="0" t="n">
        <f aca="false">VLOOKUP($A455,content_factors_backup!$A$2:$Q$468,K$525,FALSE())</f>
        <v>18.045</v>
      </c>
      <c r="L455" s="0" t="n">
        <f aca="false">VLOOKUP($A455,content_factors_backup!$A$2:$Q$468,L$525,FALSE())</f>
        <v>0</v>
      </c>
      <c r="M455" s="0" t="n">
        <f aca="false">VLOOKUP($A455,content_factors_backup!$A$2:$Q$468,M$525,FALSE())</f>
        <v>1.33</v>
      </c>
      <c r="N455" s="0" t="n">
        <f aca="false">VLOOKUP($A455,content_factors_backup!$A$2:$Q$468,N$525,FALSE())</f>
        <v>1.4</v>
      </c>
      <c r="O455" s="0" t="n">
        <f aca="false">VLOOKUP($A455,content_factors_backup!$A$2:$Q$468,O$525,FALSE())</f>
        <v>11</v>
      </c>
      <c r="P455" s="0" t="n">
        <f aca="false">VLOOKUP($A455,content_factors_backup!$A$2:$Q$468,P$525,FALSE())</f>
        <v>7</v>
      </c>
      <c r="Q455" s="0" t="n">
        <f aca="false">VLOOKUP($A455,content_factors_backup!$A$2:$Q$468,Q$525,FALSE())</f>
        <v>0.155</v>
      </c>
      <c r="R455" s="0" t="n">
        <f aca="false">VLOOKUP($A455,content_factors_backup!$A$2:$Q$468,R$525,FALSE())</f>
        <v>58</v>
      </c>
      <c r="S455" s="0" t="n">
        <f aca="false">VLOOKUP($A455,content_factors_backup!$A$2:$Q$468,S$525,FALSE())</f>
        <v>233.5</v>
      </c>
      <c r="T455" s="0" t="n">
        <f aca="false">VLOOKUP($A455,content_factors_backup!$A$2:$Q$468,T$525,FALSE())</f>
        <v>0.158251487388476</v>
      </c>
      <c r="U455" s="0" t="n">
        <f aca="false">VLOOKUP($A455,content_factors_backup!$A$2:$Q$468,U$525,FALSE())</f>
        <v>0.520695613366424</v>
      </c>
      <c r="V455" s="0" t="n">
        <f aca="false">VLOOKUP($A455,content_factors_backup!$A$2:$Q$468,V$525,FALSE())</f>
        <v>0.967503828501812</v>
      </c>
      <c r="W455" s="0" t="n">
        <f aca="false">VLOOKUP($A455,content_factors_backup!$A$2:$Q$468,W$525,FALSE())</f>
        <v>18</v>
      </c>
    </row>
    <row r="456" customFormat="false" ht="14.25" hidden="false" customHeight="false" outlineLevel="0" collapsed="false">
      <c r="A456" s="0" t="n">
        <v>1083</v>
      </c>
      <c r="B456" s="0" t="s">
        <v>1065</v>
      </c>
      <c r="C456" s="0" t="s">
        <v>1066</v>
      </c>
      <c r="E456" s="0" t="s">
        <v>1067</v>
      </c>
      <c r="F456" s="0" t="s">
        <v>1067</v>
      </c>
      <c r="G456" s="0" t="n">
        <v>2194</v>
      </c>
      <c r="I456" s="0" t="n">
        <f aca="false">VLOOKUP($A456,content_factors_backup!$A$2:$Q$468,I$525,FALSE())</f>
        <v>0</v>
      </c>
      <c r="J456" s="0" t="e">
        <f aca="false">VLOOKUP($A456,content_factors_backup!$A$2:$Q$468,J$525,FALSE())</f>
        <v>#N/A</v>
      </c>
      <c r="K456" s="0" t="e">
        <f aca="false">VLOOKUP($A456,content_factors_backup!$A$2:$Q$468,K$525,FALSE())</f>
        <v>#N/A</v>
      </c>
      <c r="L456" s="0" t="e">
        <f aca="false">VLOOKUP($A456,content_factors_backup!$A$2:$Q$468,L$525,FALSE())</f>
        <v>#N/A</v>
      </c>
      <c r="M456" s="0" t="e">
        <f aca="false">VLOOKUP($A456,content_factors_backup!$A$2:$Q$468,M$525,FALSE())</f>
        <v>#N/A</v>
      </c>
      <c r="N456" s="0" t="e">
        <f aca="false">VLOOKUP($A456,content_factors_backup!$A$2:$Q$468,N$525,FALSE())</f>
        <v>#N/A</v>
      </c>
      <c r="O456" s="0" t="e">
        <f aca="false">VLOOKUP($A456,content_factors_backup!$A$2:$Q$468,O$525,FALSE())</f>
        <v>#N/A</v>
      </c>
      <c r="P456" s="0" t="e">
        <f aca="false">VLOOKUP($A456,content_factors_backup!$A$2:$Q$468,P$525,FALSE())</f>
        <v>#N/A</v>
      </c>
      <c r="Q456" s="0" t="e">
        <f aca="false">VLOOKUP($A456,content_factors_backup!$A$2:$Q$468,Q$525,FALSE())</f>
        <v>#N/A</v>
      </c>
      <c r="R456" s="0" t="e">
        <f aca="false">VLOOKUP($A456,content_factors_backup!$A$2:$Q$468,R$525,FALSE())</f>
        <v>#N/A</v>
      </c>
      <c r="S456" s="0" t="e">
        <f aca="false">VLOOKUP($A456,content_factors_backup!$A$2:$Q$468,S$525,FALSE())</f>
        <v>#N/A</v>
      </c>
      <c r="T456" s="0" t="e">
        <f aca="false">VLOOKUP($A456,content_factors_backup!$A$2:$Q$468,T$525,FALSE())</f>
        <v>#N/A</v>
      </c>
      <c r="U456" s="0" t="e">
        <f aca="false">VLOOKUP($A456,content_factors_backup!$A$2:$Q$468,U$525,FALSE())</f>
        <v>#N/A</v>
      </c>
      <c r="V456" s="0" t="e">
        <f aca="false">VLOOKUP($A456,content_factors_backup!$A$2:$Q$468,V$525,FALSE())</f>
        <v>#N/A</v>
      </c>
      <c r="W456" s="0" t="e">
        <f aca="false">VLOOKUP($A456,content_factors_backup!$A$2:$Q$468,W$525,FALSE())</f>
        <v>#N/A</v>
      </c>
    </row>
    <row r="457" customFormat="false" ht="14.25" hidden="false" customHeight="false" outlineLevel="0" collapsed="false">
      <c r="A457" s="0" t="n">
        <v>1084</v>
      </c>
      <c r="B457" s="0" t="s">
        <v>1068</v>
      </c>
      <c r="G457" s="0" t="s">
        <v>1069</v>
      </c>
      <c r="I457" s="0" t="e">
        <f aca="false">VLOOKUP($A457,content_factors_backup!$A$2:$Q$468,I$525,FALSE())</f>
        <v>#N/A</v>
      </c>
      <c r="J457" s="0" t="e">
        <f aca="false">VLOOKUP($A457,content_factors_backup!$A$2:$Q$468,J$525,FALSE())</f>
        <v>#N/A</v>
      </c>
      <c r="K457" s="0" t="e">
        <f aca="false">VLOOKUP($A457,content_factors_backup!$A$2:$Q$468,K$525,FALSE())</f>
        <v>#N/A</v>
      </c>
      <c r="L457" s="0" t="e">
        <f aca="false">VLOOKUP($A457,content_factors_backup!$A$2:$Q$468,L$525,FALSE())</f>
        <v>#N/A</v>
      </c>
      <c r="M457" s="0" t="e">
        <f aca="false">VLOOKUP($A457,content_factors_backup!$A$2:$Q$468,M$525,FALSE())</f>
        <v>#N/A</v>
      </c>
      <c r="N457" s="0" t="e">
        <f aca="false">VLOOKUP($A457,content_factors_backup!$A$2:$Q$468,N$525,FALSE())</f>
        <v>#N/A</v>
      </c>
      <c r="O457" s="0" t="e">
        <f aca="false">VLOOKUP($A457,content_factors_backup!$A$2:$Q$468,O$525,FALSE())</f>
        <v>#N/A</v>
      </c>
      <c r="P457" s="0" t="e">
        <f aca="false">VLOOKUP($A457,content_factors_backup!$A$2:$Q$468,P$525,FALSE())</f>
        <v>#N/A</v>
      </c>
      <c r="Q457" s="0" t="e">
        <f aca="false">VLOOKUP($A457,content_factors_backup!$A$2:$Q$468,Q$525,FALSE())</f>
        <v>#N/A</v>
      </c>
      <c r="R457" s="0" t="e">
        <f aca="false">VLOOKUP($A457,content_factors_backup!$A$2:$Q$468,R$525,FALSE())</f>
        <v>#N/A</v>
      </c>
      <c r="S457" s="0" t="e">
        <f aca="false">VLOOKUP($A457,content_factors_backup!$A$2:$Q$468,S$525,FALSE())</f>
        <v>#N/A</v>
      </c>
      <c r="T457" s="0" t="e">
        <f aca="false">VLOOKUP($A457,content_factors_backup!$A$2:$Q$468,T$525,FALSE())</f>
        <v>#N/A</v>
      </c>
      <c r="U457" s="0" t="e">
        <f aca="false">VLOOKUP($A457,content_factors_backup!$A$2:$Q$468,U$525,FALSE())</f>
        <v>#N/A</v>
      </c>
      <c r="V457" s="0" t="e">
        <f aca="false">VLOOKUP($A457,content_factors_backup!$A$2:$Q$468,V$525,FALSE())</f>
        <v>#N/A</v>
      </c>
      <c r="W457" s="0" t="e">
        <f aca="false">VLOOKUP($A457,content_factors_backup!$A$2:$Q$468,W$525,FALSE())</f>
        <v>#N/A</v>
      </c>
    </row>
    <row r="458" customFormat="false" ht="14.25" hidden="false" customHeight="false" outlineLevel="0" collapsed="false">
      <c r="A458" s="0" t="n">
        <v>1087</v>
      </c>
      <c r="B458" s="0" t="s">
        <v>1070</v>
      </c>
      <c r="G458" s="0" t="s">
        <v>1071</v>
      </c>
      <c r="I458" s="0" t="e">
        <f aca="false">VLOOKUP($A458,content_factors_backup!$A$2:$Q$468,I$525,FALSE())</f>
        <v>#N/A</v>
      </c>
      <c r="J458" s="0" t="e">
        <f aca="false">VLOOKUP($A458,content_factors_backup!$A$2:$Q$468,J$525,FALSE())</f>
        <v>#N/A</v>
      </c>
      <c r="K458" s="0" t="e">
        <f aca="false">VLOOKUP($A458,content_factors_backup!$A$2:$Q$468,K$525,FALSE())</f>
        <v>#N/A</v>
      </c>
      <c r="L458" s="0" t="e">
        <f aca="false">VLOOKUP($A458,content_factors_backup!$A$2:$Q$468,L$525,FALSE())</f>
        <v>#N/A</v>
      </c>
      <c r="M458" s="0" t="e">
        <f aca="false">VLOOKUP($A458,content_factors_backup!$A$2:$Q$468,M$525,FALSE())</f>
        <v>#N/A</v>
      </c>
      <c r="N458" s="0" t="e">
        <f aca="false">VLOOKUP($A458,content_factors_backup!$A$2:$Q$468,N$525,FALSE())</f>
        <v>#N/A</v>
      </c>
      <c r="O458" s="0" t="e">
        <f aca="false">VLOOKUP($A458,content_factors_backup!$A$2:$Q$468,O$525,FALSE())</f>
        <v>#N/A</v>
      </c>
      <c r="P458" s="0" t="e">
        <f aca="false">VLOOKUP($A458,content_factors_backup!$A$2:$Q$468,P$525,FALSE())</f>
        <v>#N/A</v>
      </c>
      <c r="Q458" s="0" t="e">
        <f aca="false">VLOOKUP($A458,content_factors_backup!$A$2:$Q$468,Q$525,FALSE())</f>
        <v>#N/A</v>
      </c>
      <c r="R458" s="0" t="e">
        <f aca="false">VLOOKUP($A458,content_factors_backup!$A$2:$Q$468,R$525,FALSE())</f>
        <v>#N/A</v>
      </c>
      <c r="S458" s="0" t="e">
        <f aca="false">VLOOKUP($A458,content_factors_backup!$A$2:$Q$468,S$525,FALSE())</f>
        <v>#N/A</v>
      </c>
      <c r="T458" s="0" t="e">
        <f aca="false">VLOOKUP($A458,content_factors_backup!$A$2:$Q$468,T$525,FALSE())</f>
        <v>#N/A</v>
      </c>
      <c r="U458" s="0" t="e">
        <f aca="false">VLOOKUP($A458,content_factors_backup!$A$2:$Q$468,U$525,FALSE())</f>
        <v>#N/A</v>
      </c>
      <c r="V458" s="0" t="e">
        <f aca="false">VLOOKUP($A458,content_factors_backup!$A$2:$Q$468,V$525,FALSE())</f>
        <v>#N/A</v>
      </c>
      <c r="W458" s="0" t="e">
        <f aca="false">VLOOKUP($A458,content_factors_backup!$A$2:$Q$468,W$525,FALSE())</f>
        <v>#N/A</v>
      </c>
    </row>
    <row r="459" customFormat="false" ht="14.25" hidden="false" customHeight="false" outlineLevel="0" collapsed="false">
      <c r="A459" s="0" t="n">
        <v>1089</v>
      </c>
      <c r="B459" s="0" t="s">
        <v>1072</v>
      </c>
      <c r="C459" s="0" t="s">
        <v>855</v>
      </c>
      <c r="E459" s="0" t="n">
        <v>20890</v>
      </c>
      <c r="F459" s="0" t="n">
        <v>20890</v>
      </c>
      <c r="G459" s="0" t="n">
        <v>21170.01</v>
      </c>
      <c r="I459" s="0" t="e">
        <f aca="false">VLOOKUP($A459,content_factors_backup!$A$2:$Q$468,I$525,FALSE())</f>
        <v>#N/A</v>
      </c>
      <c r="J459" s="0" t="e">
        <f aca="false">VLOOKUP($A459,content_factors_backup!$A$2:$Q$468,J$525,FALSE())</f>
        <v>#N/A</v>
      </c>
      <c r="K459" s="0" t="e">
        <f aca="false">VLOOKUP($A459,content_factors_backup!$A$2:$Q$468,K$525,FALSE())</f>
        <v>#N/A</v>
      </c>
      <c r="L459" s="0" t="e">
        <f aca="false">VLOOKUP($A459,content_factors_backup!$A$2:$Q$468,L$525,FALSE())</f>
        <v>#N/A</v>
      </c>
      <c r="M459" s="0" t="e">
        <f aca="false">VLOOKUP($A459,content_factors_backup!$A$2:$Q$468,M$525,FALSE())</f>
        <v>#N/A</v>
      </c>
      <c r="N459" s="0" t="e">
        <f aca="false">VLOOKUP($A459,content_factors_backup!$A$2:$Q$468,N$525,FALSE())</f>
        <v>#N/A</v>
      </c>
      <c r="O459" s="0" t="e">
        <f aca="false">VLOOKUP($A459,content_factors_backup!$A$2:$Q$468,O$525,FALSE())</f>
        <v>#N/A</v>
      </c>
      <c r="P459" s="0" t="e">
        <f aca="false">VLOOKUP($A459,content_factors_backup!$A$2:$Q$468,P$525,FALSE())</f>
        <v>#N/A</v>
      </c>
      <c r="Q459" s="0" t="e">
        <f aca="false">VLOOKUP($A459,content_factors_backup!$A$2:$Q$468,Q$525,FALSE())</f>
        <v>#N/A</v>
      </c>
      <c r="R459" s="0" t="e">
        <f aca="false">VLOOKUP($A459,content_factors_backup!$A$2:$Q$468,R$525,FALSE())</f>
        <v>#N/A</v>
      </c>
      <c r="S459" s="0" t="e">
        <f aca="false">VLOOKUP($A459,content_factors_backup!$A$2:$Q$468,S$525,FALSE())</f>
        <v>#N/A</v>
      </c>
      <c r="T459" s="0" t="e">
        <f aca="false">VLOOKUP($A459,content_factors_backup!$A$2:$Q$468,T$525,FALSE())</f>
        <v>#N/A</v>
      </c>
      <c r="U459" s="0" t="e">
        <f aca="false">VLOOKUP($A459,content_factors_backup!$A$2:$Q$468,U$525,FALSE())</f>
        <v>#N/A</v>
      </c>
      <c r="V459" s="0" t="e">
        <f aca="false">VLOOKUP($A459,content_factors_backup!$A$2:$Q$468,V$525,FALSE())</f>
        <v>#N/A</v>
      </c>
      <c r="W459" s="0" t="e">
        <f aca="false">VLOOKUP($A459,content_factors_backup!$A$2:$Q$468,W$525,FALSE())</f>
        <v>#N/A</v>
      </c>
    </row>
    <row r="460" customFormat="false" ht="14.25" hidden="false" customHeight="false" outlineLevel="0" collapsed="false">
      <c r="A460" s="0" t="n">
        <v>1091</v>
      </c>
      <c r="B460" s="0" t="s">
        <v>1073</v>
      </c>
      <c r="C460" s="0" t="s">
        <v>1032</v>
      </c>
      <c r="E460" s="0" t="n">
        <v>40700</v>
      </c>
      <c r="F460" s="0" t="s">
        <v>1074</v>
      </c>
      <c r="G460" s="0" t="n">
        <v>232</v>
      </c>
      <c r="I460" s="0" t="n">
        <f aca="false">VLOOKUP($A460,content_factors_backup!$A$2:$Q$468,I$525,FALSE())</f>
        <v>27</v>
      </c>
      <c r="J460" s="0" t="n">
        <f aca="false">VLOOKUP($A460,content_factors_backup!$A$2:$Q$468,J$525,FALSE())</f>
        <v>179.5</v>
      </c>
      <c r="K460" s="0" t="n">
        <f aca="false">VLOOKUP($A460,content_factors_backup!$A$2:$Q$468,K$525,FALSE())</f>
        <v>12.81</v>
      </c>
      <c r="L460" s="0" t="n">
        <f aca="false">VLOOKUP($A460,content_factors_backup!$A$2:$Q$468,L$525,FALSE())</f>
        <v>0</v>
      </c>
      <c r="M460" s="0" t="n">
        <f aca="false">VLOOKUP($A460,content_factors_backup!$A$2:$Q$468,M$525,FALSE())</f>
        <v>1.42</v>
      </c>
      <c r="N460" s="0" t="n">
        <f aca="false">VLOOKUP($A460,content_factors_backup!$A$2:$Q$468,N$525,FALSE())</f>
        <v>3.64</v>
      </c>
      <c r="O460" s="0" t="n">
        <f aca="false">VLOOKUP($A460,content_factors_backup!$A$2:$Q$468,O$525,FALSE())</f>
        <v>64</v>
      </c>
      <c r="P460" s="0" t="n">
        <f aca="false">VLOOKUP($A460,content_factors_backup!$A$2:$Q$468,P$525,FALSE())</f>
        <v>76</v>
      </c>
      <c r="Q460" s="0" t="n">
        <f aca="false">VLOOKUP($A460,content_factors_backup!$A$2:$Q$468,Q$525,FALSE())</f>
        <v>0.391</v>
      </c>
      <c r="R460" s="0" t="n">
        <f aca="false">VLOOKUP($A460,content_factors_backup!$A$2:$Q$468,R$525,FALSE())</f>
        <v>263.4</v>
      </c>
      <c r="S460" s="0" t="n">
        <f aca="false">VLOOKUP($A460,content_factors_backup!$A$2:$Q$468,S$525,FALSE())</f>
        <v>176</v>
      </c>
      <c r="T460" s="0" t="n">
        <f aca="false">VLOOKUP($A460,content_factors_backup!$A$2:$Q$468,T$525,FALSE())</f>
        <v>0</v>
      </c>
      <c r="U460" s="0" t="n">
        <f aca="false">VLOOKUP($A460,content_factors_backup!$A$2:$Q$468,U$525,FALSE())</f>
        <v>0.845</v>
      </c>
      <c r="V460" s="0" t="n">
        <f aca="false">VLOOKUP($A460,content_factors_backup!$A$2:$Q$468,V$525,FALSE())</f>
        <v>0</v>
      </c>
      <c r="W460" s="0" t="n">
        <f aca="false">VLOOKUP($A460,content_factors_backup!$A$2:$Q$468,W$525,FALSE())</f>
        <v>187</v>
      </c>
    </row>
    <row r="461" customFormat="false" ht="14.25" hidden="false" customHeight="false" outlineLevel="0" collapsed="false">
      <c r="A461" s="0" t="n">
        <v>1092</v>
      </c>
      <c r="B461" s="0" t="s">
        <v>1075</v>
      </c>
      <c r="E461" s="0" t="n">
        <v>40700</v>
      </c>
      <c r="F461" s="0" t="s">
        <v>1074</v>
      </c>
      <c r="I461" s="0" t="e">
        <f aca="false">VLOOKUP($A461,content_factors_backup!$A$2:$Q$468,I$525,FALSE())</f>
        <v>#N/A</v>
      </c>
      <c r="J461" s="0" t="e">
        <f aca="false">VLOOKUP($A461,content_factors_backup!$A$2:$Q$468,J$525,FALSE())</f>
        <v>#N/A</v>
      </c>
      <c r="K461" s="0" t="e">
        <f aca="false">VLOOKUP($A461,content_factors_backup!$A$2:$Q$468,K$525,FALSE())</f>
        <v>#N/A</v>
      </c>
      <c r="L461" s="0" t="e">
        <f aca="false">VLOOKUP($A461,content_factors_backup!$A$2:$Q$468,L$525,FALSE())</f>
        <v>#N/A</v>
      </c>
      <c r="M461" s="0" t="e">
        <f aca="false">VLOOKUP($A461,content_factors_backup!$A$2:$Q$468,M$525,FALSE())</f>
        <v>#N/A</v>
      </c>
      <c r="N461" s="0" t="e">
        <f aca="false">VLOOKUP($A461,content_factors_backup!$A$2:$Q$468,N$525,FALSE())</f>
        <v>#N/A</v>
      </c>
      <c r="O461" s="0" t="e">
        <f aca="false">VLOOKUP($A461,content_factors_backup!$A$2:$Q$468,O$525,FALSE())</f>
        <v>#N/A</v>
      </c>
      <c r="P461" s="0" t="e">
        <f aca="false">VLOOKUP($A461,content_factors_backup!$A$2:$Q$468,P$525,FALSE())</f>
        <v>#N/A</v>
      </c>
      <c r="Q461" s="0" t="e">
        <f aca="false">VLOOKUP($A461,content_factors_backup!$A$2:$Q$468,Q$525,FALSE())</f>
        <v>#N/A</v>
      </c>
      <c r="R461" s="0" t="e">
        <f aca="false">VLOOKUP($A461,content_factors_backup!$A$2:$Q$468,R$525,FALSE())</f>
        <v>#N/A</v>
      </c>
      <c r="S461" s="0" t="e">
        <f aca="false">VLOOKUP($A461,content_factors_backup!$A$2:$Q$468,S$525,FALSE())</f>
        <v>#N/A</v>
      </c>
      <c r="T461" s="0" t="e">
        <f aca="false">VLOOKUP($A461,content_factors_backup!$A$2:$Q$468,T$525,FALSE())</f>
        <v>#N/A</v>
      </c>
      <c r="U461" s="0" t="e">
        <f aca="false">VLOOKUP($A461,content_factors_backup!$A$2:$Q$468,U$525,FALSE())</f>
        <v>#N/A</v>
      </c>
      <c r="V461" s="0" t="e">
        <f aca="false">VLOOKUP($A461,content_factors_backup!$A$2:$Q$468,V$525,FALSE())</f>
        <v>#N/A</v>
      </c>
      <c r="W461" s="0" t="e">
        <f aca="false">VLOOKUP($A461,content_factors_backup!$A$2:$Q$468,W$525,FALSE())</f>
        <v>#N/A</v>
      </c>
    </row>
    <row r="462" customFormat="false" ht="14.25" hidden="false" customHeight="false" outlineLevel="0" collapsed="false">
      <c r="A462" s="0" t="n">
        <v>1094</v>
      </c>
      <c r="B462" s="0" t="s">
        <v>1076</v>
      </c>
      <c r="G462" s="0" t="s">
        <v>1077</v>
      </c>
      <c r="I462" s="0" t="e">
        <f aca="false">VLOOKUP($A462,content_factors_backup!$A$2:$Q$468,I$525,FALSE())</f>
        <v>#N/A</v>
      </c>
      <c r="J462" s="0" t="e">
        <f aca="false">VLOOKUP($A462,content_factors_backup!$A$2:$Q$468,J$525,FALSE())</f>
        <v>#N/A</v>
      </c>
      <c r="K462" s="0" t="e">
        <f aca="false">VLOOKUP($A462,content_factors_backup!$A$2:$Q$468,K$525,FALSE())</f>
        <v>#N/A</v>
      </c>
      <c r="L462" s="0" t="e">
        <f aca="false">VLOOKUP($A462,content_factors_backup!$A$2:$Q$468,L$525,FALSE())</f>
        <v>#N/A</v>
      </c>
      <c r="M462" s="0" t="e">
        <f aca="false">VLOOKUP($A462,content_factors_backup!$A$2:$Q$468,M$525,FALSE())</f>
        <v>#N/A</v>
      </c>
      <c r="N462" s="0" t="e">
        <f aca="false">VLOOKUP($A462,content_factors_backup!$A$2:$Q$468,N$525,FALSE())</f>
        <v>#N/A</v>
      </c>
      <c r="O462" s="0" t="e">
        <f aca="false">VLOOKUP($A462,content_factors_backup!$A$2:$Q$468,O$525,FALSE())</f>
        <v>#N/A</v>
      </c>
      <c r="P462" s="0" t="e">
        <f aca="false">VLOOKUP($A462,content_factors_backup!$A$2:$Q$468,P$525,FALSE())</f>
        <v>#N/A</v>
      </c>
      <c r="Q462" s="0" t="e">
        <f aca="false">VLOOKUP($A462,content_factors_backup!$A$2:$Q$468,Q$525,FALSE())</f>
        <v>#N/A</v>
      </c>
      <c r="R462" s="0" t="e">
        <f aca="false">VLOOKUP($A462,content_factors_backup!$A$2:$Q$468,R$525,FALSE())</f>
        <v>#N/A</v>
      </c>
      <c r="S462" s="0" t="e">
        <f aca="false">VLOOKUP($A462,content_factors_backup!$A$2:$Q$468,S$525,FALSE())</f>
        <v>#N/A</v>
      </c>
      <c r="T462" s="0" t="e">
        <f aca="false">VLOOKUP($A462,content_factors_backup!$A$2:$Q$468,T$525,FALSE())</f>
        <v>#N/A</v>
      </c>
      <c r="U462" s="0" t="e">
        <f aca="false">VLOOKUP($A462,content_factors_backup!$A$2:$Q$468,U$525,FALSE())</f>
        <v>#N/A</v>
      </c>
      <c r="V462" s="0" t="e">
        <f aca="false">VLOOKUP($A462,content_factors_backup!$A$2:$Q$468,V$525,FALSE())</f>
        <v>#N/A</v>
      </c>
      <c r="W462" s="0" t="e">
        <f aca="false">VLOOKUP($A462,content_factors_backup!$A$2:$Q$468,W$525,FALSE())</f>
        <v>#N/A</v>
      </c>
    </row>
    <row r="463" customFormat="false" ht="14.25" hidden="false" customHeight="false" outlineLevel="0" collapsed="false">
      <c r="A463" s="0" t="n">
        <v>1096</v>
      </c>
      <c r="B463" s="0" t="s">
        <v>1078</v>
      </c>
      <c r="C463" s="0" t="s">
        <v>1079</v>
      </c>
      <c r="E463" s="0" t="s">
        <v>1080</v>
      </c>
      <c r="F463" s="0" t="s">
        <v>1081</v>
      </c>
      <c r="G463" s="0" t="n">
        <v>2131</v>
      </c>
      <c r="I463" s="0" t="n">
        <f aca="false">VLOOKUP($A463,content_factors_backup!$A$2:$Q$468,I$525,FALSE())</f>
        <v>0</v>
      </c>
      <c r="J463" s="0" t="e">
        <f aca="false">VLOOKUP($A463,content_factors_backup!$A$2:$Q$468,J$525,FALSE())</f>
        <v>#N/A</v>
      </c>
      <c r="K463" s="0" t="e">
        <f aca="false">VLOOKUP($A463,content_factors_backup!$A$2:$Q$468,K$525,FALSE())</f>
        <v>#N/A</v>
      </c>
      <c r="L463" s="0" t="e">
        <f aca="false">VLOOKUP($A463,content_factors_backup!$A$2:$Q$468,L$525,FALSE())</f>
        <v>#N/A</v>
      </c>
      <c r="M463" s="0" t="e">
        <f aca="false">VLOOKUP($A463,content_factors_backup!$A$2:$Q$468,M$525,FALSE())</f>
        <v>#N/A</v>
      </c>
      <c r="N463" s="0" t="e">
        <f aca="false">VLOOKUP($A463,content_factors_backup!$A$2:$Q$468,N$525,FALSE())</f>
        <v>#N/A</v>
      </c>
      <c r="O463" s="0" t="e">
        <f aca="false">VLOOKUP($A463,content_factors_backup!$A$2:$Q$468,O$525,FALSE())</f>
        <v>#N/A</v>
      </c>
      <c r="P463" s="0" t="e">
        <f aca="false">VLOOKUP($A463,content_factors_backup!$A$2:$Q$468,P$525,FALSE())</f>
        <v>#N/A</v>
      </c>
      <c r="Q463" s="0" t="e">
        <f aca="false">VLOOKUP($A463,content_factors_backup!$A$2:$Q$468,Q$525,FALSE())</f>
        <v>#N/A</v>
      </c>
      <c r="R463" s="0" t="e">
        <f aca="false">VLOOKUP($A463,content_factors_backup!$A$2:$Q$468,R$525,FALSE())</f>
        <v>#N/A</v>
      </c>
      <c r="S463" s="0" t="e">
        <f aca="false">VLOOKUP($A463,content_factors_backup!$A$2:$Q$468,S$525,FALSE())</f>
        <v>#N/A</v>
      </c>
      <c r="T463" s="0" t="e">
        <f aca="false">VLOOKUP($A463,content_factors_backup!$A$2:$Q$468,T$525,FALSE())</f>
        <v>#N/A</v>
      </c>
      <c r="U463" s="0" t="e">
        <f aca="false">VLOOKUP($A463,content_factors_backup!$A$2:$Q$468,U$525,FALSE())</f>
        <v>#N/A</v>
      </c>
      <c r="V463" s="0" t="e">
        <f aca="false">VLOOKUP($A463,content_factors_backup!$A$2:$Q$468,V$525,FALSE())</f>
        <v>#N/A</v>
      </c>
      <c r="W463" s="0" t="e">
        <f aca="false">VLOOKUP($A463,content_factors_backup!$A$2:$Q$468,W$525,FALSE())</f>
        <v>#N/A</v>
      </c>
    </row>
    <row r="464" customFormat="false" ht="14.25" hidden="false" customHeight="false" outlineLevel="0" collapsed="false">
      <c r="A464" s="0" t="n">
        <v>1097</v>
      </c>
      <c r="B464" s="0" t="s">
        <v>1082</v>
      </c>
      <c r="C464" s="0" t="s">
        <v>855</v>
      </c>
      <c r="E464" s="0" t="n">
        <v>20500</v>
      </c>
      <c r="F464" s="0" t="n">
        <v>20500</v>
      </c>
      <c r="G464" s="0" t="n">
        <v>21118.01</v>
      </c>
      <c r="I464" s="0" t="n">
        <f aca="false">VLOOKUP($A464,content_factors_backup!$A$2:$Q$468,I$525,FALSE())</f>
        <v>50</v>
      </c>
      <c r="J464" s="0" t="e">
        <f aca="false">VLOOKUP($A464,content_factors_backup!$A$2:$Q$468,J$525,FALSE())</f>
        <v>#N/A</v>
      </c>
      <c r="K464" s="0" t="e">
        <f aca="false">VLOOKUP($A464,content_factors_backup!$A$2:$Q$468,K$525,FALSE())</f>
        <v>#N/A</v>
      </c>
      <c r="L464" s="0" t="e">
        <f aca="false">VLOOKUP($A464,content_factors_backup!$A$2:$Q$468,L$525,FALSE())</f>
        <v>#N/A</v>
      </c>
      <c r="M464" s="0" t="e">
        <f aca="false">VLOOKUP($A464,content_factors_backup!$A$2:$Q$468,M$525,FALSE())</f>
        <v>#N/A</v>
      </c>
      <c r="N464" s="0" t="e">
        <f aca="false">VLOOKUP($A464,content_factors_backup!$A$2:$Q$468,N$525,FALSE())</f>
        <v>#N/A</v>
      </c>
      <c r="O464" s="0" t="e">
        <f aca="false">VLOOKUP($A464,content_factors_backup!$A$2:$Q$468,O$525,FALSE())</f>
        <v>#N/A</v>
      </c>
      <c r="P464" s="0" t="e">
        <f aca="false">VLOOKUP($A464,content_factors_backup!$A$2:$Q$468,P$525,FALSE())</f>
        <v>#N/A</v>
      </c>
      <c r="Q464" s="0" t="e">
        <f aca="false">VLOOKUP($A464,content_factors_backup!$A$2:$Q$468,Q$525,FALSE())</f>
        <v>#N/A</v>
      </c>
      <c r="R464" s="0" t="e">
        <f aca="false">VLOOKUP($A464,content_factors_backup!$A$2:$Q$468,R$525,FALSE())</f>
        <v>#N/A</v>
      </c>
      <c r="S464" s="0" t="e">
        <f aca="false">VLOOKUP($A464,content_factors_backup!$A$2:$Q$468,S$525,FALSE())</f>
        <v>#N/A</v>
      </c>
      <c r="T464" s="0" t="e">
        <f aca="false">VLOOKUP($A464,content_factors_backup!$A$2:$Q$468,T$525,FALSE())</f>
        <v>#N/A</v>
      </c>
      <c r="U464" s="0" t="e">
        <f aca="false">VLOOKUP($A464,content_factors_backup!$A$2:$Q$468,U$525,FALSE())</f>
        <v>#N/A</v>
      </c>
      <c r="V464" s="0" t="e">
        <f aca="false">VLOOKUP($A464,content_factors_backup!$A$2:$Q$468,V$525,FALSE())</f>
        <v>#N/A</v>
      </c>
      <c r="W464" s="0" t="e">
        <f aca="false">VLOOKUP($A464,content_factors_backup!$A$2:$Q$468,W$525,FALSE())</f>
        <v>#N/A</v>
      </c>
    </row>
    <row r="465" customFormat="false" ht="14.25" hidden="false" customHeight="false" outlineLevel="0" collapsed="false">
      <c r="A465" s="0" t="n">
        <v>1098</v>
      </c>
      <c r="B465" s="0" t="s">
        <v>1083</v>
      </c>
      <c r="C465" s="0" t="s">
        <v>855</v>
      </c>
      <c r="E465" s="0" t="s">
        <v>1084</v>
      </c>
      <c r="F465" s="0" t="s">
        <v>1084</v>
      </c>
      <c r="G465" s="0" t="n">
        <v>21159.01</v>
      </c>
      <c r="I465" s="0" t="e">
        <f aca="false">VLOOKUP($A465,content_factors_backup!$A$2:$Q$468,I$525,FALSE())</f>
        <v>#N/A</v>
      </c>
      <c r="J465" s="0" t="e">
        <f aca="false">VLOOKUP($A465,content_factors_backup!$A$2:$Q$468,J$525,FALSE())</f>
        <v>#N/A</v>
      </c>
      <c r="K465" s="0" t="e">
        <f aca="false">VLOOKUP($A465,content_factors_backup!$A$2:$Q$468,K$525,FALSE())</f>
        <v>#N/A</v>
      </c>
      <c r="L465" s="0" t="e">
        <f aca="false">VLOOKUP($A465,content_factors_backup!$A$2:$Q$468,L$525,FALSE())</f>
        <v>#N/A</v>
      </c>
      <c r="M465" s="0" t="e">
        <f aca="false">VLOOKUP($A465,content_factors_backup!$A$2:$Q$468,M$525,FALSE())</f>
        <v>#N/A</v>
      </c>
      <c r="N465" s="0" t="e">
        <f aca="false">VLOOKUP($A465,content_factors_backup!$A$2:$Q$468,N$525,FALSE())</f>
        <v>#N/A</v>
      </c>
      <c r="O465" s="0" t="e">
        <f aca="false">VLOOKUP($A465,content_factors_backup!$A$2:$Q$468,O$525,FALSE())</f>
        <v>#N/A</v>
      </c>
      <c r="P465" s="0" t="e">
        <f aca="false">VLOOKUP($A465,content_factors_backup!$A$2:$Q$468,P$525,FALSE())</f>
        <v>#N/A</v>
      </c>
      <c r="Q465" s="0" t="e">
        <f aca="false">VLOOKUP($A465,content_factors_backup!$A$2:$Q$468,Q$525,FALSE())</f>
        <v>#N/A</v>
      </c>
      <c r="R465" s="0" t="e">
        <f aca="false">VLOOKUP($A465,content_factors_backup!$A$2:$Q$468,R$525,FALSE())</f>
        <v>#N/A</v>
      </c>
      <c r="S465" s="0" t="e">
        <f aca="false">VLOOKUP($A465,content_factors_backup!$A$2:$Q$468,S$525,FALSE())</f>
        <v>#N/A</v>
      </c>
      <c r="T465" s="0" t="e">
        <f aca="false">VLOOKUP($A465,content_factors_backup!$A$2:$Q$468,T$525,FALSE())</f>
        <v>#N/A</v>
      </c>
      <c r="U465" s="0" t="e">
        <f aca="false">VLOOKUP($A465,content_factors_backup!$A$2:$Q$468,U$525,FALSE())</f>
        <v>#N/A</v>
      </c>
      <c r="V465" s="0" t="e">
        <f aca="false">VLOOKUP($A465,content_factors_backup!$A$2:$Q$468,V$525,FALSE())</f>
        <v>#N/A</v>
      </c>
      <c r="W465" s="0" t="e">
        <f aca="false">VLOOKUP($A465,content_factors_backup!$A$2:$Q$468,W$525,FALSE())</f>
        <v>#N/A</v>
      </c>
    </row>
    <row r="466" customFormat="false" ht="14.25" hidden="false" customHeight="false" outlineLevel="0" collapsed="false">
      <c r="A466" s="0" t="n">
        <v>1104</v>
      </c>
      <c r="B466" s="0" t="s">
        <v>1085</v>
      </c>
      <c r="C466" s="0" t="s">
        <v>1086</v>
      </c>
      <c r="E466" s="0" t="s">
        <v>910</v>
      </c>
      <c r="F466" s="0" t="s">
        <v>910</v>
      </c>
      <c r="G466" s="0" t="n">
        <v>2952.05</v>
      </c>
      <c r="I466" s="0" t="n">
        <f aca="false">VLOOKUP($A466,content_factors_backup!$A$2:$Q$468,I$525,FALSE())</f>
        <v>0</v>
      </c>
      <c r="J466" s="0" t="e">
        <f aca="false">VLOOKUP($A466,content_factors_backup!$A$2:$Q$468,J$525,FALSE())</f>
        <v>#N/A</v>
      </c>
      <c r="K466" s="0" t="e">
        <f aca="false">VLOOKUP($A466,content_factors_backup!$A$2:$Q$468,K$525,FALSE())</f>
        <v>#N/A</v>
      </c>
      <c r="L466" s="0" t="e">
        <f aca="false">VLOOKUP($A466,content_factors_backup!$A$2:$Q$468,L$525,FALSE())</f>
        <v>#N/A</v>
      </c>
      <c r="M466" s="0" t="e">
        <f aca="false">VLOOKUP($A466,content_factors_backup!$A$2:$Q$468,M$525,FALSE())</f>
        <v>#N/A</v>
      </c>
      <c r="N466" s="0" t="e">
        <f aca="false">VLOOKUP($A466,content_factors_backup!$A$2:$Q$468,N$525,FALSE())</f>
        <v>#N/A</v>
      </c>
      <c r="O466" s="0" t="e">
        <f aca="false">VLOOKUP($A466,content_factors_backup!$A$2:$Q$468,O$525,FALSE())</f>
        <v>#N/A</v>
      </c>
      <c r="P466" s="0" t="e">
        <f aca="false">VLOOKUP($A466,content_factors_backup!$A$2:$Q$468,P$525,FALSE())</f>
        <v>#N/A</v>
      </c>
      <c r="Q466" s="0" t="e">
        <f aca="false">VLOOKUP($A466,content_factors_backup!$A$2:$Q$468,Q$525,FALSE())</f>
        <v>#N/A</v>
      </c>
      <c r="R466" s="0" t="e">
        <f aca="false">VLOOKUP($A466,content_factors_backup!$A$2:$Q$468,R$525,FALSE())</f>
        <v>#N/A</v>
      </c>
      <c r="S466" s="0" t="e">
        <f aca="false">VLOOKUP($A466,content_factors_backup!$A$2:$Q$468,S$525,FALSE())</f>
        <v>#N/A</v>
      </c>
      <c r="T466" s="0" t="e">
        <f aca="false">VLOOKUP($A466,content_factors_backup!$A$2:$Q$468,T$525,FALSE())</f>
        <v>#N/A</v>
      </c>
      <c r="U466" s="0" t="e">
        <f aca="false">VLOOKUP($A466,content_factors_backup!$A$2:$Q$468,U$525,FALSE())</f>
        <v>#N/A</v>
      </c>
      <c r="V466" s="0" t="e">
        <f aca="false">VLOOKUP($A466,content_factors_backup!$A$2:$Q$468,V$525,FALSE())</f>
        <v>#N/A</v>
      </c>
      <c r="W466" s="0" t="e">
        <f aca="false">VLOOKUP($A466,content_factors_backup!$A$2:$Q$468,W$525,FALSE())</f>
        <v>#N/A</v>
      </c>
    </row>
    <row r="467" customFormat="false" ht="14.25" hidden="false" customHeight="false" outlineLevel="0" collapsed="false">
      <c r="A467" s="0" t="n">
        <v>1107</v>
      </c>
      <c r="B467" s="0" t="s">
        <v>1087</v>
      </c>
      <c r="C467" s="0" t="s">
        <v>1088</v>
      </c>
      <c r="E467" s="0" t="s">
        <v>1080</v>
      </c>
      <c r="F467" s="0" t="n">
        <v>10130</v>
      </c>
      <c r="G467" s="0" t="n">
        <v>2132</v>
      </c>
      <c r="I467" s="0" t="n">
        <f aca="false">VLOOKUP($A467,content_factors_backup!$A$2:$Q$468,I$525,FALSE())</f>
        <v>0</v>
      </c>
      <c r="J467" s="0" t="e">
        <f aca="false">VLOOKUP($A467,content_factors_backup!$A$2:$Q$468,J$525,FALSE())</f>
        <v>#N/A</v>
      </c>
      <c r="K467" s="0" t="e">
        <f aca="false">VLOOKUP($A467,content_factors_backup!$A$2:$Q$468,K$525,FALSE())</f>
        <v>#N/A</v>
      </c>
      <c r="L467" s="0" t="e">
        <f aca="false">VLOOKUP($A467,content_factors_backup!$A$2:$Q$468,L$525,FALSE())</f>
        <v>#N/A</v>
      </c>
      <c r="M467" s="0" t="e">
        <f aca="false">VLOOKUP($A467,content_factors_backup!$A$2:$Q$468,M$525,FALSE())</f>
        <v>#N/A</v>
      </c>
      <c r="N467" s="0" t="e">
        <f aca="false">VLOOKUP($A467,content_factors_backup!$A$2:$Q$468,N$525,FALSE())</f>
        <v>#N/A</v>
      </c>
      <c r="O467" s="0" t="e">
        <f aca="false">VLOOKUP($A467,content_factors_backup!$A$2:$Q$468,O$525,FALSE())</f>
        <v>#N/A</v>
      </c>
      <c r="P467" s="0" t="e">
        <f aca="false">VLOOKUP($A467,content_factors_backup!$A$2:$Q$468,P$525,FALSE())</f>
        <v>#N/A</v>
      </c>
      <c r="Q467" s="0" t="e">
        <f aca="false">VLOOKUP($A467,content_factors_backup!$A$2:$Q$468,Q$525,FALSE())</f>
        <v>#N/A</v>
      </c>
      <c r="R467" s="0" t="e">
        <f aca="false">VLOOKUP($A467,content_factors_backup!$A$2:$Q$468,R$525,FALSE())</f>
        <v>#N/A</v>
      </c>
      <c r="S467" s="0" t="e">
        <f aca="false">VLOOKUP($A467,content_factors_backup!$A$2:$Q$468,S$525,FALSE())</f>
        <v>#N/A</v>
      </c>
      <c r="T467" s="0" t="e">
        <f aca="false">VLOOKUP($A467,content_factors_backup!$A$2:$Q$468,T$525,FALSE())</f>
        <v>#N/A</v>
      </c>
      <c r="U467" s="0" t="e">
        <f aca="false">VLOOKUP($A467,content_factors_backup!$A$2:$Q$468,U$525,FALSE())</f>
        <v>#N/A</v>
      </c>
      <c r="V467" s="0" t="e">
        <f aca="false">VLOOKUP($A467,content_factors_backup!$A$2:$Q$468,V$525,FALSE())</f>
        <v>#N/A</v>
      </c>
      <c r="W467" s="0" t="e">
        <f aca="false">VLOOKUP($A467,content_factors_backup!$A$2:$Q$468,W$525,FALSE())</f>
        <v>#N/A</v>
      </c>
    </row>
    <row r="468" customFormat="false" ht="14.25" hidden="false" customHeight="false" outlineLevel="0" collapsed="false">
      <c r="A468" s="0" t="n">
        <v>1108</v>
      </c>
      <c r="B468" s="0" t="s">
        <v>1089</v>
      </c>
      <c r="C468" s="0" t="s">
        <v>855</v>
      </c>
      <c r="E468" s="0" t="n">
        <v>20500</v>
      </c>
      <c r="F468" s="0" t="n">
        <v>20500</v>
      </c>
      <c r="G468" s="0" t="n">
        <v>21118.02</v>
      </c>
      <c r="I468" s="0" t="n">
        <f aca="false">VLOOKUP($A468,content_factors_backup!$A$2:$Q$468,I$525,FALSE())</f>
        <v>50</v>
      </c>
      <c r="J468" s="0" t="e">
        <f aca="false">VLOOKUP($A468,content_factors_backup!$A$2:$Q$468,J$525,FALSE())</f>
        <v>#N/A</v>
      </c>
      <c r="K468" s="0" t="e">
        <f aca="false">VLOOKUP($A468,content_factors_backup!$A$2:$Q$468,K$525,FALSE())</f>
        <v>#N/A</v>
      </c>
      <c r="L468" s="0" t="e">
        <f aca="false">VLOOKUP($A468,content_factors_backup!$A$2:$Q$468,L$525,FALSE())</f>
        <v>#N/A</v>
      </c>
      <c r="M468" s="0" t="e">
        <f aca="false">VLOOKUP($A468,content_factors_backup!$A$2:$Q$468,M$525,FALSE())</f>
        <v>#N/A</v>
      </c>
      <c r="N468" s="0" t="e">
        <f aca="false">VLOOKUP($A468,content_factors_backup!$A$2:$Q$468,N$525,FALSE())</f>
        <v>#N/A</v>
      </c>
      <c r="O468" s="0" t="e">
        <f aca="false">VLOOKUP($A468,content_factors_backup!$A$2:$Q$468,O$525,FALSE())</f>
        <v>#N/A</v>
      </c>
      <c r="P468" s="0" t="e">
        <f aca="false">VLOOKUP($A468,content_factors_backup!$A$2:$Q$468,P$525,FALSE())</f>
        <v>#N/A</v>
      </c>
      <c r="Q468" s="0" t="e">
        <f aca="false">VLOOKUP($A468,content_factors_backup!$A$2:$Q$468,Q$525,FALSE())</f>
        <v>#N/A</v>
      </c>
      <c r="R468" s="0" t="e">
        <f aca="false">VLOOKUP($A468,content_factors_backup!$A$2:$Q$468,R$525,FALSE())</f>
        <v>#N/A</v>
      </c>
      <c r="S468" s="0" t="e">
        <f aca="false">VLOOKUP($A468,content_factors_backup!$A$2:$Q$468,S$525,FALSE())</f>
        <v>#N/A</v>
      </c>
      <c r="T468" s="0" t="e">
        <f aca="false">VLOOKUP($A468,content_factors_backup!$A$2:$Q$468,T$525,FALSE())</f>
        <v>#N/A</v>
      </c>
      <c r="U468" s="0" t="e">
        <f aca="false">VLOOKUP($A468,content_factors_backup!$A$2:$Q$468,U$525,FALSE())</f>
        <v>#N/A</v>
      </c>
      <c r="V468" s="0" t="e">
        <f aca="false">VLOOKUP($A468,content_factors_backup!$A$2:$Q$468,V$525,FALSE())</f>
        <v>#N/A</v>
      </c>
      <c r="W468" s="0" t="e">
        <f aca="false">VLOOKUP($A468,content_factors_backup!$A$2:$Q$468,W$525,FALSE())</f>
        <v>#N/A</v>
      </c>
    </row>
    <row r="469" customFormat="false" ht="14.25" hidden="false" customHeight="false" outlineLevel="0" collapsed="false">
      <c r="A469" s="0" t="n">
        <v>1110</v>
      </c>
      <c r="B469" s="0" t="s">
        <v>1090</v>
      </c>
      <c r="C469" s="0" t="s">
        <v>1091</v>
      </c>
      <c r="E469" s="0" t="n">
        <v>10190</v>
      </c>
      <c r="F469" s="0" t="n">
        <v>10190</v>
      </c>
      <c r="G469" s="0" t="n">
        <v>2133</v>
      </c>
      <c r="I469" s="0" t="n">
        <f aca="false">VLOOKUP($A469,content_factors_backup!$A$2:$Q$468,I$525,FALSE())</f>
        <v>0</v>
      </c>
      <c r="J469" s="0" t="e">
        <f aca="false">VLOOKUP($A469,content_factors_backup!$A$2:$Q$468,J$525,FALSE())</f>
        <v>#N/A</v>
      </c>
      <c r="K469" s="0" t="e">
        <f aca="false">VLOOKUP($A469,content_factors_backup!$A$2:$Q$468,K$525,FALSE())</f>
        <v>#N/A</v>
      </c>
      <c r="L469" s="0" t="e">
        <f aca="false">VLOOKUP($A469,content_factors_backup!$A$2:$Q$468,L$525,FALSE())</f>
        <v>#N/A</v>
      </c>
      <c r="M469" s="0" t="e">
        <f aca="false">VLOOKUP($A469,content_factors_backup!$A$2:$Q$468,M$525,FALSE())</f>
        <v>#N/A</v>
      </c>
      <c r="N469" s="0" t="e">
        <f aca="false">VLOOKUP($A469,content_factors_backup!$A$2:$Q$468,N$525,FALSE())</f>
        <v>#N/A</v>
      </c>
      <c r="O469" s="0" t="e">
        <f aca="false">VLOOKUP($A469,content_factors_backup!$A$2:$Q$468,O$525,FALSE())</f>
        <v>#N/A</v>
      </c>
      <c r="P469" s="0" t="e">
        <f aca="false">VLOOKUP($A469,content_factors_backup!$A$2:$Q$468,P$525,FALSE())</f>
        <v>#N/A</v>
      </c>
      <c r="Q469" s="0" t="e">
        <f aca="false">VLOOKUP($A469,content_factors_backup!$A$2:$Q$468,Q$525,FALSE())</f>
        <v>#N/A</v>
      </c>
      <c r="R469" s="0" t="e">
        <f aca="false">VLOOKUP($A469,content_factors_backup!$A$2:$Q$468,R$525,FALSE())</f>
        <v>#N/A</v>
      </c>
      <c r="S469" s="0" t="e">
        <f aca="false">VLOOKUP($A469,content_factors_backup!$A$2:$Q$468,S$525,FALSE())</f>
        <v>#N/A</v>
      </c>
      <c r="T469" s="0" t="e">
        <f aca="false">VLOOKUP($A469,content_factors_backup!$A$2:$Q$468,T$525,FALSE())</f>
        <v>#N/A</v>
      </c>
      <c r="U469" s="0" t="e">
        <f aca="false">VLOOKUP($A469,content_factors_backup!$A$2:$Q$468,U$525,FALSE())</f>
        <v>#N/A</v>
      </c>
      <c r="V469" s="0" t="e">
        <f aca="false">VLOOKUP($A469,content_factors_backup!$A$2:$Q$468,V$525,FALSE())</f>
        <v>#N/A</v>
      </c>
      <c r="W469" s="0" t="e">
        <f aca="false">VLOOKUP($A469,content_factors_backup!$A$2:$Q$468,W$525,FALSE())</f>
        <v>#N/A</v>
      </c>
    </row>
    <row r="470" customFormat="false" ht="14.25" hidden="false" customHeight="false" outlineLevel="0" collapsed="false">
      <c r="A470" s="0" t="n">
        <v>1111</v>
      </c>
      <c r="B470" s="0" t="s">
        <v>1092</v>
      </c>
      <c r="C470" s="0" t="s">
        <v>855</v>
      </c>
      <c r="E470" s="0" t="n">
        <v>20500</v>
      </c>
      <c r="F470" s="0" t="n">
        <v>20500</v>
      </c>
      <c r="G470" s="0" t="n">
        <v>21118.03</v>
      </c>
      <c r="I470" s="0" t="e">
        <f aca="false">VLOOKUP($A470,content_factors_backup!$A$2:$Q$468,I$525,FALSE())</f>
        <v>#N/A</v>
      </c>
      <c r="J470" s="0" t="e">
        <f aca="false">VLOOKUP($A470,content_factors_backup!$A$2:$Q$468,J$525,FALSE())</f>
        <v>#N/A</v>
      </c>
      <c r="K470" s="0" t="e">
        <f aca="false">VLOOKUP($A470,content_factors_backup!$A$2:$Q$468,K$525,FALSE())</f>
        <v>#N/A</v>
      </c>
      <c r="L470" s="0" t="e">
        <f aca="false">VLOOKUP($A470,content_factors_backup!$A$2:$Q$468,L$525,FALSE())</f>
        <v>#N/A</v>
      </c>
      <c r="M470" s="0" t="e">
        <f aca="false">VLOOKUP($A470,content_factors_backup!$A$2:$Q$468,M$525,FALSE())</f>
        <v>#N/A</v>
      </c>
      <c r="N470" s="0" t="e">
        <f aca="false">VLOOKUP($A470,content_factors_backup!$A$2:$Q$468,N$525,FALSE())</f>
        <v>#N/A</v>
      </c>
      <c r="O470" s="0" t="e">
        <f aca="false">VLOOKUP($A470,content_factors_backup!$A$2:$Q$468,O$525,FALSE())</f>
        <v>#N/A</v>
      </c>
      <c r="P470" s="0" t="e">
        <f aca="false">VLOOKUP($A470,content_factors_backup!$A$2:$Q$468,P$525,FALSE())</f>
        <v>#N/A</v>
      </c>
      <c r="Q470" s="0" t="e">
        <f aca="false">VLOOKUP($A470,content_factors_backup!$A$2:$Q$468,Q$525,FALSE())</f>
        <v>#N/A</v>
      </c>
      <c r="R470" s="0" t="e">
        <f aca="false">VLOOKUP($A470,content_factors_backup!$A$2:$Q$468,R$525,FALSE())</f>
        <v>#N/A</v>
      </c>
      <c r="S470" s="0" t="e">
        <f aca="false">VLOOKUP($A470,content_factors_backup!$A$2:$Q$468,S$525,FALSE())</f>
        <v>#N/A</v>
      </c>
      <c r="T470" s="0" t="e">
        <f aca="false">VLOOKUP($A470,content_factors_backup!$A$2:$Q$468,T$525,FALSE())</f>
        <v>#N/A</v>
      </c>
      <c r="U470" s="0" t="e">
        <f aca="false">VLOOKUP($A470,content_factors_backup!$A$2:$Q$468,U$525,FALSE())</f>
        <v>#N/A</v>
      </c>
      <c r="V470" s="0" t="e">
        <f aca="false">VLOOKUP($A470,content_factors_backup!$A$2:$Q$468,V$525,FALSE())</f>
        <v>#N/A</v>
      </c>
      <c r="W470" s="0" t="e">
        <f aca="false">VLOOKUP($A470,content_factors_backup!$A$2:$Q$468,W$525,FALSE())</f>
        <v>#N/A</v>
      </c>
    </row>
    <row r="471" customFormat="false" ht="14.25" hidden="false" customHeight="false" outlineLevel="0" collapsed="false">
      <c r="A471" s="0" t="n">
        <v>1120</v>
      </c>
      <c r="B471" s="0" t="s">
        <v>1093</v>
      </c>
      <c r="G471" s="0" t="s">
        <v>1094</v>
      </c>
      <c r="I471" s="0" t="e">
        <f aca="false">VLOOKUP($A471,content_factors_backup!$A$2:$Q$468,I$525,FALSE())</f>
        <v>#N/A</v>
      </c>
      <c r="J471" s="0" t="e">
        <f aca="false">VLOOKUP($A471,content_factors_backup!$A$2:$Q$468,J$525,FALSE())</f>
        <v>#N/A</v>
      </c>
      <c r="K471" s="0" t="e">
        <f aca="false">VLOOKUP($A471,content_factors_backup!$A$2:$Q$468,K$525,FALSE())</f>
        <v>#N/A</v>
      </c>
      <c r="L471" s="0" t="e">
        <f aca="false">VLOOKUP($A471,content_factors_backup!$A$2:$Q$468,L$525,FALSE())</f>
        <v>#N/A</v>
      </c>
      <c r="M471" s="0" t="e">
        <f aca="false">VLOOKUP($A471,content_factors_backup!$A$2:$Q$468,M$525,FALSE())</f>
        <v>#N/A</v>
      </c>
      <c r="N471" s="0" t="e">
        <f aca="false">VLOOKUP($A471,content_factors_backup!$A$2:$Q$468,N$525,FALSE())</f>
        <v>#N/A</v>
      </c>
      <c r="O471" s="0" t="e">
        <f aca="false">VLOOKUP($A471,content_factors_backup!$A$2:$Q$468,O$525,FALSE())</f>
        <v>#N/A</v>
      </c>
      <c r="P471" s="0" t="e">
        <f aca="false">VLOOKUP($A471,content_factors_backup!$A$2:$Q$468,P$525,FALSE())</f>
        <v>#N/A</v>
      </c>
      <c r="Q471" s="0" t="e">
        <f aca="false">VLOOKUP($A471,content_factors_backup!$A$2:$Q$468,Q$525,FALSE())</f>
        <v>#N/A</v>
      </c>
      <c r="R471" s="0" t="e">
        <f aca="false">VLOOKUP($A471,content_factors_backup!$A$2:$Q$468,R$525,FALSE())</f>
        <v>#N/A</v>
      </c>
      <c r="S471" s="0" t="e">
        <f aca="false">VLOOKUP($A471,content_factors_backup!$A$2:$Q$468,S$525,FALSE())</f>
        <v>#N/A</v>
      </c>
      <c r="T471" s="0" t="e">
        <f aca="false">VLOOKUP($A471,content_factors_backup!$A$2:$Q$468,T$525,FALSE())</f>
        <v>#N/A</v>
      </c>
      <c r="U471" s="0" t="e">
        <f aca="false">VLOOKUP($A471,content_factors_backup!$A$2:$Q$468,U$525,FALSE())</f>
        <v>#N/A</v>
      </c>
      <c r="V471" s="0" t="e">
        <f aca="false">VLOOKUP($A471,content_factors_backup!$A$2:$Q$468,V$525,FALSE())</f>
        <v>#N/A</v>
      </c>
      <c r="W471" s="0" t="e">
        <f aca="false">VLOOKUP($A471,content_factors_backup!$A$2:$Q$468,W$525,FALSE())</f>
        <v>#N/A</v>
      </c>
    </row>
    <row r="472" customFormat="false" ht="14.25" hidden="false" customHeight="false" outlineLevel="0" collapsed="false">
      <c r="A472" s="0" t="n">
        <v>1122</v>
      </c>
      <c r="B472" s="0" t="s">
        <v>1095</v>
      </c>
      <c r="G472" s="0" t="s">
        <v>1096</v>
      </c>
      <c r="I472" s="0" t="e">
        <f aca="false">VLOOKUP($A472,content_factors_backup!$A$2:$Q$468,I$525,FALSE())</f>
        <v>#N/A</v>
      </c>
      <c r="J472" s="0" t="e">
        <f aca="false">VLOOKUP($A472,content_factors_backup!$A$2:$Q$468,J$525,FALSE())</f>
        <v>#N/A</v>
      </c>
      <c r="K472" s="0" t="e">
        <f aca="false">VLOOKUP($A472,content_factors_backup!$A$2:$Q$468,K$525,FALSE())</f>
        <v>#N/A</v>
      </c>
      <c r="L472" s="0" t="e">
        <f aca="false">VLOOKUP($A472,content_factors_backup!$A$2:$Q$468,L$525,FALSE())</f>
        <v>#N/A</v>
      </c>
      <c r="M472" s="0" t="e">
        <f aca="false">VLOOKUP($A472,content_factors_backup!$A$2:$Q$468,M$525,FALSE())</f>
        <v>#N/A</v>
      </c>
      <c r="N472" s="0" t="e">
        <f aca="false">VLOOKUP($A472,content_factors_backup!$A$2:$Q$468,N$525,FALSE())</f>
        <v>#N/A</v>
      </c>
      <c r="O472" s="0" t="e">
        <f aca="false">VLOOKUP($A472,content_factors_backup!$A$2:$Q$468,O$525,FALSE())</f>
        <v>#N/A</v>
      </c>
      <c r="P472" s="0" t="e">
        <f aca="false">VLOOKUP($A472,content_factors_backup!$A$2:$Q$468,P$525,FALSE())</f>
        <v>#N/A</v>
      </c>
      <c r="Q472" s="0" t="e">
        <f aca="false">VLOOKUP($A472,content_factors_backup!$A$2:$Q$468,Q$525,FALSE())</f>
        <v>#N/A</v>
      </c>
      <c r="R472" s="0" t="e">
        <f aca="false">VLOOKUP($A472,content_factors_backup!$A$2:$Q$468,R$525,FALSE())</f>
        <v>#N/A</v>
      </c>
      <c r="S472" s="0" t="e">
        <f aca="false">VLOOKUP($A472,content_factors_backup!$A$2:$Q$468,S$525,FALSE())</f>
        <v>#N/A</v>
      </c>
      <c r="T472" s="0" t="e">
        <f aca="false">VLOOKUP($A472,content_factors_backup!$A$2:$Q$468,T$525,FALSE())</f>
        <v>#N/A</v>
      </c>
      <c r="U472" s="0" t="e">
        <f aca="false">VLOOKUP($A472,content_factors_backup!$A$2:$Q$468,U$525,FALSE())</f>
        <v>#N/A</v>
      </c>
      <c r="V472" s="0" t="e">
        <f aca="false">VLOOKUP($A472,content_factors_backup!$A$2:$Q$468,V$525,FALSE())</f>
        <v>#N/A</v>
      </c>
      <c r="W472" s="0" t="e">
        <f aca="false">VLOOKUP($A472,content_factors_backup!$A$2:$Q$468,W$525,FALSE())</f>
        <v>#N/A</v>
      </c>
    </row>
    <row r="473" customFormat="false" ht="14.25" hidden="false" customHeight="false" outlineLevel="0" collapsed="false">
      <c r="A473" s="0" t="n">
        <v>1124</v>
      </c>
      <c r="B473" s="0" t="s">
        <v>1097</v>
      </c>
      <c r="G473" s="0" t="s">
        <v>1098</v>
      </c>
      <c r="I473" s="0" t="e">
        <f aca="false">VLOOKUP($A473,content_factors_backup!$A$2:$Q$468,I$525,FALSE())</f>
        <v>#N/A</v>
      </c>
      <c r="J473" s="0" t="e">
        <f aca="false">VLOOKUP($A473,content_factors_backup!$A$2:$Q$468,J$525,FALSE())</f>
        <v>#N/A</v>
      </c>
      <c r="K473" s="0" t="e">
        <f aca="false">VLOOKUP($A473,content_factors_backup!$A$2:$Q$468,K$525,FALSE())</f>
        <v>#N/A</v>
      </c>
      <c r="L473" s="0" t="e">
        <f aca="false">VLOOKUP($A473,content_factors_backup!$A$2:$Q$468,L$525,FALSE())</f>
        <v>#N/A</v>
      </c>
      <c r="M473" s="0" t="e">
        <f aca="false">VLOOKUP($A473,content_factors_backup!$A$2:$Q$468,M$525,FALSE())</f>
        <v>#N/A</v>
      </c>
      <c r="N473" s="0" t="e">
        <f aca="false">VLOOKUP($A473,content_factors_backup!$A$2:$Q$468,N$525,FALSE())</f>
        <v>#N/A</v>
      </c>
      <c r="O473" s="0" t="e">
        <f aca="false">VLOOKUP($A473,content_factors_backup!$A$2:$Q$468,O$525,FALSE())</f>
        <v>#N/A</v>
      </c>
      <c r="P473" s="0" t="e">
        <f aca="false">VLOOKUP($A473,content_factors_backup!$A$2:$Q$468,P$525,FALSE())</f>
        <v>#N/A</v>
      </c>
      <c r="Q473" s="0" t="e">
        <f aca="false">VLOOKUP($A473,content_factors_backup!$A$2:$Q$468,Q$525,FALSE())</f>
        <v>#N/A</v>
      </c>
      <c r="R473" s="0" t="e">
        <f aca="false">VLOOKUP($A473,content_factors_backup!$A$2:$Q$468,R$525,FALSE())</f>
        <v>#N/A</v>
      </c>
      <c r="S473" s="0" t="e">
        <f aca="false">VLOOKUP($A473,content_factors_backup!$A$2:$Q$468,S$525,FALSE())</f>
        <v>#N/A</v>
      </c>
      <c r="T473" s="0" t="e">
        <f aca="false">VLOOKUP($A473,content_factors_backup!$A$2:$Q$468,T$525,FALSE())</f>
        <v>#N/A</v>
      </c>
      <c r="U473" s="0" t="e">
        <f aca="false">VLOOKUP($A473,content_factors_backup!$A$2:$Q$468,U$525,FALSE())</f>
        <v>#N/A</v>
      </c>
      <c r="V473" s="0" t="e">
        <f aca="false">VLOOKUP($A473,content_factors_backup!$A$2:$Q$468,V$525,FALSE())</f>
        <v>#N/A</v>
      </c>
      <c r="W473" s="0" t="e">
        <f aca="false">VLOOKUP($A473,content_factors_backup!$A$2:$Q$468,W$525,FALSE())</f>
        <v>#N/A</v>
      </c>
    </row>
    <row r="474" customFormat="false" ht="14.25" hidden="false" customHeight="false" outlineLevel="0" collapsed="false">
      <c r="A474" s="0" t="n">
        <v>1126</v>
      </c>
      <c r="B474" s="0" t="s">
        <v>1099</v>
      </c>
      <c r="C474" s="0" t="s">
        <v>1100</v>
      </c>
      <c r="E474" s="0" t="n">
        <v>10619</v>
      </c>
      <c r="F474" s="0" t="n">
        <v>10613</v>
      </c>
      <c r="G474" s="0" t="n">
        <v>2121.01</v>
      </c>
      <c r="I474" s="0" t="n">
        <f aca="false">VLOOKUP($A474,content_factors_backup!$A$2:$Q$468,I$525,FALSE())</f>
        <v>0</v>
      </c>
      <c r="J474" s="0" t="e">
        <f aca="false">VLOOKUP($A474,content_factors_backup!$A$2:$Q$468,J$525,FALSE())</f>
        <v>#N/A</v>
      </c>
      <c r="K474" s="0" t="e">
        <f aca="false">VLOOKUP($A474,content_factors_backup!$A$2:$Q$468,K$525,FALSE())</f>
        <v>#N/A</v>
      </c>
      <c r="L474" s="0" t="e">
        <f aca="false">VLOOKUP($A474,content_factors_backup!$A$2:$Q$468,L$525,FALSE())</f>
        <v>#N/A</v>
      </c>
      <c r="M474" s="0" t="e">
        <f aca="false">VLOOKUP($A474,content_factors_backup!$A$2:$Q$468,M$525,FALSE())</f>
        <v>#N/A</v>
      </c>
      <c r="N474" s="0" t="e">
        <f aca="false">VLOOKUP($A474,content_factors_backup!$A$2:$Q$468,N$525,FALSE())</f>
        <v>#N/A</v>
      </c>
      <c r="O474" s="0" t="e">
        <f aca="false">VLOOKUP($A474,content_factors_backup!$A$2:$Q$468,O$525,FALSE())</f>
        <v>#N/A</v>
      </c>
      <c r="P474" s="0" t="e">
        <f aca="false">VLOOKUP($A474,content_factors_backup!$A$2:$Q$468,P$525,FALSE())</f>
        <v>#N/A</v>
      </c>
      <c r="Q474" s="0" t="e">
        <f aca="false">VLOOKUP($A474,content_factors_backup!$A$2:$Q$468,Q$525,FALSE())</f>
        <v>#N/A</v>
      </c>
      <c r="R474" s="0" t="e">
        <f aca="false">VLOOKUP($A474,content_factors_backup!$A$2:$Q$468,R$525,FALSE())</f>
        <v>#N/A</v>
      </c>
      <c r="S474" s="0" t="e">
        <f aca="false">VLOOKUP($A474,content_factors_backup!$A$2:$Q$468,S$525,FALSE())</f>
        <v>#N/A</v>
      </c>
      <c r="T474" s="0" t="e">
        <f aca="false">VLOOKUP($A474,content_factors_backup!$A$2:$Q$468,T$525,FALSE())</f>
        <v>#N/A</v>
      </c>
      <c r="U474" s="0" t="e">
        <f aca="false">VLOOKUP($A474,content_factors_backup!$A$2:$Q$468,U$525,FALSE())</f>
        <v>#N/A</v>
      </c>
      <c r="V474" s="0" t="e">
        <f aca="false">VLOOKUP($A474,content_factors_backup!$A$2:$Q$468,V$525,FALSE())</f>
        <v>#N/A</v>
      </c>
      <c r="W474" s="0" t="e">
        <f aca="false">VLOOKUP($A474,content_factors_backup!$A$2:$Q$468,W$525,FALSE())</f>
        <v>#N/A</v>
      </c>
    </row>
    <row r="475" customFormat="false" ht="14.25" hidden="false" customHeight="false" outlineLevel="0" collapsed="false">
      <c r="A475" s="0" t="n">
        <v>1127</v>
      </c>
      <c r="B475" s="0" t="s">
        <v>1101</v>
      </c>
      <c r="C475" s="0" t="s">
        <v>855</v>
      </c>
      <c r="E475" s="0" t="n">
        <v>20890</v>
      </c>
      <c r="F475" s="0" t="n">
        <v>20860</v>
      </c>
      <c r="G475" s="0" t="n">
        <v>21117.01</v>
      </c>
      <c r="I475" s="0" t="n">
        <f aca="false">VLOOKUP($A475,content_factors_backup!$A$2:$Q$468,I$525,FALSE())</f>
        <v>50</v>
      </c>
      <c r="J475" s="0" t="e">
        <f aca="false">VLOOKUP($A475,content_factors_backup!$A$2:$Q$468,J$525,FALSE())</f>
        <v>#N/A</v>
      </c>
      <c r="K475" s="0" t="e">
        <f aca="false">VLOOKUP($A475,content_factors_backup!$A$2:$Q$468,K$525,FALSE())</f>
        <v>#N/A</v>
      </c>
      <c r="L475" s="0" t="e">
        <f aca="false">VLOOKUP($A475,content_factors_backup!$A$2:$Q$468,L$525,FALSE())</f>
        <v>#N/A</v>
      </c>
      <c r="M475" s="0" t="e">
        <f aca="false">VLOOKUP($A475,content_factors_backup!$A$2:$Q$468,M$525,FALSE())</f>
        <v>#N/A</v>
      </c>
      <c r="N475" s="0" t="e">
        <f aca="false">VLOOKUP($A475,content_factors_backup!$A$2:$Q$468,N$525,FALSE())</f>
        <v>#N/A</v>
      </c>
      <c r="O475" s="0" t="e">
        <f aca="false">VLOOKUP($A475,content_factors_backup!$A$2:$Q$468,O$525,FALSE())</f>
        <v>#N/A</v>
      </c>
      <c r="P475" s="0" t="e">
        <f aca="false">VLOOKUP($A475,content_factors_backup!$A$2:$Q$468,P$525,FALSE())</f>
        <v>#N/A</v>
      </c>
      <c r="Q475" s="0" t="e">
        <f aca="false">VLOOKUP($A475,content_factors_backup!$A$2:$Q$468,Q$525,FALSE())</f>
        <v>#N/A</v>
      </c>
      <c r="R475" s="0" t="e">
        <f aca="false">VLOOKUP($A475,content_factors_backup!$A$2:$Q$468,R$525,FALSE())</f>
        <v>#N/A</v>
      </c>
      <c r="S475" s="0" t="e">
        <f aca="false">VLOOKUP($A475,content_factors_backup!$A$2:$Q$468,S$525,FALSE())</f>
        <v>#N/A</v>
      </c>
      <c r="T475" s="0" t="e">
        <f aca="false">VLOOKUP($A475,content_factors_backup!$A$2:$Q$468,T$525,FALSE())</f>
        <v>#N/A</v>
      </c>
      <c r="U475" s="0" t="e">
        <f aca="false">VLOOKUP($A475,content_factors_backup!$A$2:$Q$468,U$525,FALSE())</f>
        <v>#N/A</v>
      </c>
      <c r="V475" s="0" t="e">
        <f aca="false">VLOOKUP($A475,content_factors_backup!$A$2:$Q$468,V$525,FALSE())</f>
        <v>#N/A</v>
      </c>
      <c r="W475" s="0" t="e">
        <f aca="false">VLOOKUP($A475,content_factors_backup!$A$2:$Q$468,W$525,FALSE())</f>
        <v>#N/A</v>
      </c>
    </row>
    <row r="476" customFormat="false" ht="14.25" hidden="false" customHeight="false" outlineLevel="0" collapsed="false">
      <c r="A476" s="0" t="n">
        <v>1128</v>
      </c>
      <c r="B476" s="0" t="s">
        <v>1102</v>
      </c>
      <c r="C476" s="0" t="s">
        <v>855</v>
      </c>
      <c r="E476" s="0" t="n">
        <v>20890</v>
      </c>
      <c r="F476" s="0" t="n">
        <v>20860</v>
      </c>
      <c r="G476" s="0" t="n">
        <v>21159.02</v>
      </c>
      <c r="I476" s="0" t="e">
        <f aca="false">VLOOKUP($A476,content_factors_backup!$A$2:$Q$468,I$525,FALSE())</f>
        <v>#N/A</v>
      </c>
      <c r="J476" s="0" t="e">
        <f aca="false">VLOOKUP($A476,content_factors_backup!$A$2:$Q$468,J$525,FALSE())</f>
        <v>#N/A</v>
      </c>
      <c r="K476" s="0" t="e">
        <f aca="false">VLOOKUP($A476,content_factors_backup!$A$2:$Q$468,K$525,FALSE())</f>
        <v>#N/A</v>
      </c>
      <c r="L476" s="0" t="e">
        <f aca="false">VLOOKUP($A476,content_factors_backup!$A$2:$Q$468,L$525,FALSE())</f>
        <v>#N/A</v>
      </c>
      <c r="M476" s="0" t="e">
        <f aca="false">VLOOKUP($A476,content_factors_backup!$A$2:$Q$468,M$525,FALSE())</f>
        <v>#N/A</v>
      </c>
      <c r="N476" s="0" t="e">
        <f aca="false">VLOOKUP($A476,content_factors_backup!$A$2:$Q$468,N$525,FALSE())</f>
        <v>#N/A</v>
      </c>
      <c r="O476" s="0" t="e">
        <f aca="false">VLOOKUP($A476,content_factors_backup!$A$2:$Q$468,O$525,FALSE())</f>
        <v>#N/A</v>
      </c>
      <c r="P476" s="0" t="e">
        <f aca="false">VLOOKUP($A476,content_factors_backup!$A$2:$Q$468,P$525,FALSE())</f>
        <v>#N/A</v>
      </c>
      <c r="Q476" s="0" t="e">
        <f aca="false">VLOOKUP($A476,content_factors_backup!$A$2:$Q$468,Q$525,FALSE())</f>
        <v>#N/A</v>
      </c>
      <c r="R476" s="0" t="e">
        <f aca="false">VLOOKUP($A476,content_factors_backup!$A$2:$Q$468,R$525,FALSE())</f>
        <v>#N/A</v>
      </c>
      <c r="S476" s="0" t="e">
        <f aca="false">VLOOKUP($A476,content_factors_backup!$A$2:$Q$468,S$525,FALSE())</f>
        <v>#N/A</v>
      </c>
      <c r="T476" s="0" t="e">
        <f aca="false">VLOOKUP($A476,content_factors_backup!$A$2:$Q$468,T$525,FALSE())</f>
        <v>#N/A</v>
      </c>
      <c r="U476" s="0" t="e">
        <f aca="false">VLOOKUP($A476,content_factors_backup!$A$2:$Q$468,U$525,FALSE())</f>
        <v>#N/A</v>
      </c>
      <c r="V476" s="0" t="e">
        <f aca="false">VLOOKUP($A476,content_factors_backup!$A$2:$Q$468,V$525,FALSE())</f>
        <v>#N/A</v>
      </c>
      <c r="W476" s="0" t="e">
        <f aca="false">VLOOKUP($A476,content_factors_backup!$A$2:$Q$468,W$525,FALSE())</f>
        <v>#N/A</v>
      </c>
    </row>
    <row r="477" customFormat="false" ht="14.25" hidden="false" customHeight="false" outlineLevel="0" collapsed="false">
      <c r="A477" s="0" t="n">
        <v>1129</v>
      </c>
      <c r="B477" s="0" t="s">
        <v>1103</v>
      </c>
      <c r="C477" s="0" t="s">
        <v>1104</v>
      </c>
      <c r="E477" s="0" t="n">
        <v>150600</v>
      </c>
      <c r="F477" s="0" t="n">
        <v>150600</v>
      </c>
      <c r="G477" s="0" t="n">
        <v>21519.02</v>
      </c>
      <c r="I477" s="0" t="n">
        <f aca="false">VLOOKUP($A477,content_factors_backup!$A$2:$Q$468,I$525,FALSE())</f>
        <v>100</v>
      </c>
      <c r="J477" s="0" t="e">
        <f aca="false">VLOOKUP($A477,content_factors_backup!$A$2:$Q$468,J$525,FALSE())</f>
        <v>#N/A</v>
      </c>
      <c r="K477" s="0" t="e">
        <f aca="false">VLOOKUP($A477,content_factors_backup!$A$2:$Q$468,K$525,FALSE())</f>
        <v>#N/A</v>
      </c>
      <c r="L477" s="0" t="e">
        <f aca="false">VLOOKUP($A477,content_factors_backup!$A$2:$Q$468,L$525,FALSE())</f>
        <v>#N/A</v>
      </c>
      <c r="M477" s="0" t="e">
        <f aca="false">VLOOKUP($A477,content_factors_backup!$A$2:$Q$468,M$525,FALSE())</f>
        <v>#N/A</v>
      </c>
      <c r="N477" s="0" t="e">
        <f aca="false">VLOOKUP($A477,content_factors_backup!$A$2:$Q$468,N$525,FALSE())</f>
        <v>#N/A</v>
      </c>
      <c r="O477" s="0" t="e">
        <f aca="false">VLOOKUP($A477,content_factors_backup!$A$2:$Q$468,O$525,FALSE())</f>
        <v>#N/A</v>
      </c>
      <c r="P477" s="0" t="e">
        <f aca="false">VLOOKUP($A477,content_factors_backup!$A$2:$Q$468,P$525,FALSE())</f>
        <v>#N/A</v>
      </c>
      <c r="Q477" s="0" t="e">
        <f aca="false">VLOOKUP($A477,content_factors_backup!$A$2:$Q$468,Q$525,FALSE())</f>
        <v>#N/A</v>
      </c>
      <c r="R477" s="0" t="e">
        <f aca="false">VLOOKUP($A477,content_factors_backup!$A$2:$Q$468,R$525,FALSE())</f>
        <v>#N/A</v>
      </c>
      <c r="S477" s="0" t="e">
        <f aca="false">VLOOKUP($A477,content_factors_backup!$A$2:$Q$468,S$525,FALSE())</f>
        <v>#N/A</v>
      </c>
      <c r="T477" s="0" t="e">
        <f aca="false">VLOOKUP($A477,content_factors_backup!$A$2:$Q$468,T$525,FALSE())</f>
        <v>#N/A</v>
      </c>
      <c r="U477" s="0" t="e">
        <f aca="false">VLOOKUP($A477,content_factors_backup!$A$2:$Q$468,U$525,FALSE())</f>
        <v>#N/A</v>
      </c>
      <c r="V477" s="0" t="e">
        <f aca="false">VLOOKUP($A477,content_factors_backup!$A$2:$Q$468,V$525,FALSE())</f>
        <v>#N/A</v>
      </c>
      <c r="W477" s="0" t="e">
        <f aca="false">VLOOKUP($A477,content_factors_backup!$A$2:$Q$468,W$525,FALSE())</f>
        <v>#N/A</v>
      </c>
    </row>
    <row r="478" customFormat="false" ht="14.25" hidden="false" customHeight="false" outlineLevel="0" collapsed="false">
      <c r="A478" s="0" t="n">
        <v>1130</v>
      </c>
      <c r="B478" s="0" t="s">
        <v>1105</v>
      </c>
      <c r="C478" s="0" t="s">
        <v>1106</v>
      </c>
      <c r="E478" s="0" t="s">
        <v>869</v>
      </c>
      <c r="F478" s="0" t="s">
        <v>870</v>
      </c>
      <c r="G478" s="0" t="n">
        <v>2293</v>
      </c>
      <c r="I478" s="0" t="e">
        <f aca="false">VLOOKUP($A478,content_factors_backup!$A$2:$Q$468,I$525,FALSE())</f>
        <v>#N/A</v>
      </c>
      <c r="J478" s="0" t="e">
        <f aca="false">VLOOKUP($A478,content_factors_backup!$A$2:$Q$468,J$525,FALSE())</f>
        <v>#N/A</v>
      </c>
      <c r="K478" s="0" t="e">
        <f aca="false">VLOOKUP($A478,content_factors_backup!$A$2:$Q$468,K$525,FALSE())</f>
        <v>#N/A</v>
      </c>
      <c r="L478" s="0" t="e">
        <f aca="false">VLOOKUP($A478,content_factors_backup!$A$2:$Q$468,L$525,FALSE())</f>
        <v>#N/A</v>
      </c>
      <c r="M478" s="0" t="e">
        <f aca="false">VLOOKUP($A478,content_factors_backup!$A$2:$Q$468,M$525,FALSE())</f>
        <v>#N/A</v>
      </c>
      <c r="N478" s="0" t="e">
        <f aca="false">VLOOKUP($A478,content_factors_backup!$A$2:$Q$468,N$525,FALSE())</f>
        <v>#N/A</v>
      </c>
      <c r="O478" s="0" t="e">
        <f aca="false">VLOOKUP($A478,content_factors_backup!$A$2:$Q$468,O$525,FALSE())</f>
        <v>#N/A</v>
      </c>
      <c r="P478" s="0" t="e">
        <f aca="false">VLOOKUP($A478,content_factors_backup!$A$2:$Q$468,P$525,FALSE())</f>
        <v>#N/A</v>
      </c>
      <c r="Q478" s="0" t="e">
        <f aca="false">VLOOKUP($A478,content_factors_backup!$A$2:$Q$468,Q$525,FALSE())</f>
        <v>#N/A</v>
      </c>
      <c r="R478" s="0" t="e">
        <f aca="false">VLOOKUP($A478,content_factors_backup!$A$2:$Q$468,R$525,FALSE())</f>
        <v>#N/A</v>
      </c>
      <c r="S478" s="0" t="e">
        <f aca="false">VLOOKUP($A478,content_factors_backup!$A$2:$Q$468,S$525,FALSE())</f>
        <v>#N/A</v>
      </c>
      <c r="T478" s="0" t="e">
        <f aca="false">VLOOKUP($A478,content_factors_backup!$A$2:$Q$468,T$525,FALSE())</f>
        <v>#N/A</v>
      </c>
      <c r="U478" s="0" t="e">
        <f aca="false">VLOOKUP($A478,content_factors_backup!$A$2:$Q$468,U$525,FALSE())</f>
        <v>#N/A</v>
      </c>
      <c r="V478" s="0" t="e">
        <f aca="false">VLOOKUP($A478,content_factors_backup!$A$2:$Q$468,V$525,FALSE())</f>
        <v>#N/A</v>
      </c>
      <c r="W478" s="0" t="e">
        <f aca="false">VLOOKUP($A478,content_factors_backup!$A$2:$Q$468,W$525,FALSE())</f>
        <v>#N/A</v>
      </c>
    </row>
    <row r="479" customFormat="false" ht="14.25" hidden="false" customHeight="false" outlineLevel="0" collapsed="false">
      <c r="A479" s="0" t="n">
        <v>1134</v>
      </c>
      <c r="B479" s="0" t="s">
        <v>1107</v>
      </c>
      <c r="C479" s="0" t="s">
        <v>914</v>
      </c>
      <c r="E479" s="0" t="n">
        <v>410390</v>
      </c>
      <c r="F479" s="0" t="n">
        <v>410390</v>
      </c>
      <c r="G479" s="0" t="n">
        <v>2959.06</v>
      </c>
      <c r="I479" s="0" t="n">
        <f aca="false">VLOOKUP($A479,content_factors_backup!$A$2:$Q$468,I$525,FALSE())</f>
        <v>0</v>
      </c>
      <c r="J479" s="0" t="e">
        <f aca="false">VLOOKUP($A479,content_factors_backup!$A$2:$Q$468,J$525,FALSE())</f>
        <v>#N/A</v>
      </c>
      <c r="K479" s="0" t="e">
        <f aca="false">VLOOKUP($A479,content_factors_backup!$A$2:$Q$468,K$525,FALSE())</f>
        <v>#N/A</v>
      </c>
      <c r="L479" s="0" t="e">
        <f aca="false">VLOOKUP($A479,content_factors_backup!$A$2:$Q$468,L$525,FALSE())</f>
        <v>#N/A</v>
      </c>
      <c r="M479" s="0" t="e">
        <f aca="false">VLOOKUP($A479,content_factors_backup!$A$2:$Q$468,M$525,FALSE())</f>
        <v>#N/A</v>
      </c>
      <c r="N479" s="0" t="e">
        <f aca="false">VLOOKUP($A479,content_factors_backup!$A$2:$Q$468,N$525,FALSE())</f>
        <v>#N/A</v>
      </c>
      <c r="O479" s="0" t="e">
        <f aca="false">VLOOKUP($A479,content_factors_backup!$A$2:$Q$468,O$525,FALSE())</f>
        <v>#N/A</v>
      </c>
      <c r="P479" s="0" t="e">
        <f aca="false">VLOOKUP($A479,content_factors_backup!$A$2:$Q$468,P$525,FALSE())</f>
        <v>#N/A</v>
      </c>
      <c r="Q479" s="0" t="e">
        <f aca="false">VLOOKUP($A479,content_factors_backup!$A$2:$Q$468,Q$525,FALSE())</f>
        <v>#N/A</v>
      </c>
      <c r="R479" s="0" t="e">
        <f aca="false">VLOOKUP($A479,content_factors_backup!$A$2:$Q$468,R$525,FALSE())</f>
        <v>#N/A</v>
      </c>
      <c r="S479" s="0" t="e">
        <f aca="false">VLOOKUP($A479,content_factors_backup!$A$2:$Q$468,S$525,FALSE())</f>
        <v>#N/A</v>
      </c>
      <c r="T479" s="0" t="e">
        <f aca="false">VLOOKUP($A479,content_factors_backup!$A$2:$Q$468,T$525,FALSE())</f>
        <v>#N/A</v>
      </c>
      <c r="U479" s="0" t="e">
        <f aca="false">VLOOKUP($A479,content_factors_backup!$A$2:$Q$468,U$525,FALSE())</f>
        <v>#N/A</v>
      </c>
      <c r="V479" s="0" t="e">
        <f aca="false">VLOOKUP($A479,content_factors_backup!$A$2:$Q$468,V$525,FALSE())</f>
        <v>#N/A</v>
      </c>
      <c r="W479" s="0" t="e">
        <f aca="false">VLOOKUP($A479,content_factors_backup!$A$2:$Q$468,W$525,FALSE())</f>
        <v>#N/A</v>
      </c>
    </row>
    <row r="480" customFormat="false" ht="14.25" hidden="false" customHeight="false" outlineLevel="0" collapsed="false">
      <c r="A480" s="0" t="n">
        <v>1136</v>
      </c>
      <c r="B480" s="0" t="s">
        <v>1108</v>
      </c>
      <c r="C480" s="0" t="s">
        <v>1109</v>
      </c>
      <c r="E480" s="0" t="n">
        <v>410390</v>
      </c>
      <c r="F480" s="0" t="n">
        <v>410390</v>
      </c>
      <c r="G480" s="0" t="n">
        <v>2959.08</v>
      </c>
      <c r="I480" s="0" t="e">
        <f aca="false">VLOOKUP($A480,content_factors_backup!$A$2:$Q$468,I$525,FALSE())</f>
        <v>#N/A</v>
      </c>
      <c r="J480" s="0" t="e">
        <f aca="false">VLOOKUP($A480,content_factors_backup!$A$2:$Q$468,J$525,FALSE())</f>
        <v>#N/A</v>
      </c>
      <c r="K480" s="0" t="e">
        <f aca="false">VLOOKUP($A480,content_factors_backup!$A$2:$Q$468,K$525,FALSE())</f>
        <v>#N/A</v>
      </c>
      <c r="L480" s="0" t="e">
        <f aca="false">VLOOKUP($A480,content_factors_backup!$A$2:$Q$468,L$525,FALSE())</f>
        <v>#N/A</v>
      </c>
      <c r="M480" s="0" t="e">
        <f aca="false">VLOOKUP($A480,content_factors_backup!$A$2:$Q$468,M$525,FALSE())</f>
        <v>#N/A</v>
      </c>
      <c r="N480" s="0" t="e">
        <f aca="false">VLOOKUP($A480,content_factors_backup!$A$2:$Q$468,N$525,FALSE())</f>
        <v>#N/A</v>
      </c>
      <c r="O480" s="0" t="e">
        <f aca="false">VLOOKUP($A480,content_factors_backup!$A$2:$Q$468,O$525,FALSE())</f>
        <v>#N/A</v>
      </c>
      <c r="P480" s="0" t="e">
        <f aca="false">VLOOKUP($A480,content_factors_backup!$A$2:$Q$468,P$525,FALSE())</f>
        <v>#N/A</v>
      </c>
      <c r="Q480" s="0" t="e">
        <f aca="false">VLOOKUP($A480,content_factors_backup!$A$2:$Q$468,Q$525,FALSE())</f>
        <v>#N/A</v>
      </c>
      <c r="R480" s="0" t="e">
        <f aca="false">VLOOKUP($A480,content_factors_backup!$A$2:$Q$468,R$525,FALSE())</f>
        <v>#N/A</v>
      </c>
      <c r="S480" s="0" t="e">
        <f aca="false">VLOOKUP($A480,content_factors_backup!$A$2:$Q$468,S$525,FALSE())</f>
        <v>#N/A</v>
      </c>
      <c r="T480" s="0" t="e">
        <f aca="false">VLOOKUP($A480,content_factors_backup!$A$2:$Q$468,T$525,FALSE())</f>
        <v>#N/A</v>
      </c>
      <c r="U480" s="0" t="e">
        <f aca="false">VLOOKUP($A480,content_factors_backup!$A$2:$Q$468,U$525,FALSE())</f>
        <v>#N/A</v>
      </c>
      <c r="V480" s="0" t="e">
        <f aca="false">VLOOKUP($A480,content_factors_backup!$A$2:$Q$468,V$525,FALSE())</f>
        <v>#N/A</v>
      </c>
      <c r="W480" s="0" t="e">
        <f aca="false">VLOOKUP($A480,content_factors_backup!$A$2:$Q$468,W$525,FALSE())</f>
        <v>#N/A</v>
      </c>
    </row>
    <row r="481" customFormat="false" ht="14.25" hidden="false" customHeight="false" outlineLevel="0" collapsed="false">
      <c r="A481" s="0" t="n">
        <v>1137</v>
      </c>
      <c r="B481" s="0" t="s">
        <v>1110</v>
      </c>
      <c r="G481" s="0" t="s">
        <v>1111</v>
      </c>
      <c r="I481" s="0" t="e">
        <f aca="false">VLOOKUP($A481,content_factors_backup!$A$2:$Q$468,I$525,FALSE())</f>
        <v>#N/A</v>
      </c>
      <c r="J481" s="0" t="e">
        <f aca="false">VLOOKUP($A481,content_factors_backup!$A$2:$Q$468,J$525,FALSE())</f>
        <v>#N/A</v>
      </c>
      <c r="K481" s="0" t="e">
        <f aca="false">VLOOKUP($A481,content_factors_backup!$A$2:$Q$468,K$525,FALSE())</f>
        <v>#N/A</v>
      </c>
      <c r="L481" s="0" t="e">
        <f aca="false">VLOOKUP($A481,content_factors_backup!$A$2:$Q$468,L$525,FALSE())</f>
        <v>#N/A</v>
      </c>
      <c r="M481" s="0" t="e">
        <f aca="false">VLOOKUP($A481,content_factors_backup!$A$2:$Q$468,M$525,FALSE())</f>
        <v>#N/A</v>
      </c>
      <c r="N481" s="0" t="e">
        <f aca="false">VLOOKUP($A481,content_factors_backup!$A$2:$Q$468,N$525,FALSE())</f>
        <v>#N/A</v>
      </c>
      <c r="O481" s="0" t="e">
        <f aca="false">VLOOKUP($A481,content_factors_backup!$A$2:$Q$468,O$525,FALSE())</f>
        <v>#N/A</v>
      </c>
      <c r="P481" s="0" t="e">
        <f aca="false">VLOOKUP($A481,content_factors_backup!$A$2:$Q$468,P$525,FALSE())</f>
        <v>#N/A</v>
      </c>
      <c r="Q481" s="0" t="e">
        <f aca="false">VLOOKUP($A481,content_factors_backup!$A$2:$Q$468,Q$525,FALSE())</f>
        <v>#N/A</v>
      </c>
      <c r="R481" s="0" t="e">
        <f aca="false">VLOOKUP($A481,content_factors_backup!$A$2:$Q$468,R$525,FALSE())</f>
        <v>#N/A</v>
      </c>
      <c r="S481" s="0" t="e">
        <f aca="false">VLOOKUP($A481,content_factors_backup!$A$2:$Q$468,S$525,FALSE())</f>
        <v>#N/A</v>
      </c>
      <c r="T481" s="0" t="e">
        <f aca="false">VLOOKUP($A481,content_factors_backup!$A$2:$Q$468,T$525,FALSE())</f>
        <v>#N/A</v>
      </c>
      <c r="U481" s="0" t="e">
        <f aca="false">VLOOKUP($A481,content_factors_backup!$A$2:$Q$468,U$525,FALSE())</f>
        <v>#N/A</v>
      </c>
      <c r="V481" s="0" t="e">
        <f aca="false">VLOOKUP($A481,content_factors_backup!$A$2:$Q$468,V$525,FALSE())</f>
        <v>#N/A</v>
      </c>
      <c r="W481" s="0" t="e">
        <f aca="false">VLOOKUP($A481,content_factors_backup!$A$2:$Q$468,W$525,FALSE())</f>
        <v>#N/A</v>
      </c>
    </row>
    <row r="482" customFormat="false" ht="14.25" hidden="false" customHeight="false" outlineLevel="0" collapsed="false">
      <c r="A482" s="0" t="n">
        <v>1140</v>
      </c>
      <c r="B482" s="0" t="s">
        <v>1112</v>
      </c>
      <c r="C482" s="0" t="s">
        <v>1113</v>
      </c>
      <c r="E482" s="0" t="n">
        <v>10619</v>
      </c>
      <c r="F482" s="0" t="n">
        <v>10614</v>
      </c>
      <c r="G482" s="0" t="n">
        <v>2191</v>
      </c>
      <c r="I482" s="0" t="n">
        <f aca="false">VLOOKUP($A482,content_factors_backup!$A$2:$Q$468,I$525,FALSE())</f>
        <v>0</v>
      </c>
      <c r="J482" s="0" t="e">
        <f aca="false">VLOOKUP($A482,content_factors_backup!$A$2:$Q$468,J$525,FALSE())</f>
        <v>#N/A</v>
      </c>
      <c r="K482" s="0" t="e">
        <f aca="false">VLOOKUP($A482,content_factors_backup!$A$2:$Q$468,K$525,FALSE())</f>
        <v>#N/A</v>
      </c>
      <c r="L482" s="0" t="e">
        <f aca="false">VLOOKUP($A482,content_factors_backup!$A$2:$Q$468,L$525,FALSE())</f>
        <v>#N/A</v>
      </c>
      <c r="M482" s="0" t="e">
        <f aca="false">VLOOKUP($A482,content_factors_backup!$A$2:$Q$468,M$525,FALSE())</f>
        <v>#N/A</v>
      </c>
      <c r="N482" s="0" t="e">
        <f aca="false">VLOOKUP($A482,content_factors_backup!$A$2:$Q$468,N$525,FALSE())</f>
        <v>#N/A</v>
      </c>
      <c r="O482" s="0" t="e">
        <f aca="false">VLOOKUP($A482,content_factors_backup!$A$2:$Q$468,O$525,FALSE())</f>
        <v>#N/A</v>
      </c>
      <c r="P482" s="0" t="e">
        <f aca="false">VLOOKUP($A482,content_factors_backup!$A$2:$Q$468,P$525,FALSE())</f>
        <v>#N/A</v>
      </c>
      <c r="Q482" s="0" t="e">
        <f aca="false">VLOOKUP($A482,content_factors_backup!$A$2:$Q$468,Q$525,FALSE())</f>
        <v>#N/A</v>
      </c>
      <c r="R482" s="0" t="e">
        <f aca="false">VLOOKUP($A482,content_factors_backup!$A$2:$Q$468,R$525,FALSE())</f>
        <v>#N/A</v>
      </c>
      <c r="S482" s="0" t="e">
        <f aca="false">VLOOKUP($A482,content_factors_backup!$A$2:$Q$468,S$525,FALSE())</f>
        <v>#N/A</v>
      </c>
      <c r="T482" s="0" t="e">
        <f aca="false">VLOOKUP($A482,content_factors_backup!$A$2:$Q$468,T$525,FALSE())</f>
        <v>#N/A</v>
      </c>
      <c r="U482" s="0" t="e">
        <f aca="false">VLOOKUP($A482,content_factors_backup!$A$2:$Q$468,U$525,FALSE())</f>
        <v>#N/A</v>
      </c>
      <c r="V482" s="0" t="e">
        <f aca="false">VLOOKUP($A482,content_factors_backup!$A$2:$Q$468,V$525,FALSE())</f>
        <v>#N/A</v>
      </c>
      <c r="W482" s="0" t="e">
        <f aca="false">VLOOKUP($A482,content_factors_backup!$A$2:$Q$468,W$525,FALSE())</f>
        <v>#N/A</v>
      </c>
    </row>
    <row r="483" customFormat="false" ht="14.25" hidden="false" customHeight="false" outlineLevel="0" collapsed="false">
      <c r="A483" s="0" t="n">
        <v>1141</v>
      </c>
      <c r="B483" s="0" t="s">
        <v>1114</v>
      </c>
      <c r="C483" s="0" t="s">
        <v>1115</v>
      </c>
      <c r="E483" s="0" t="n">
        <v>20810</v>
      </c>
      <c r="F483" s="0" t="n">
        <v>20810</v>
      </c>
      <c r="G483" s="0" t="n">
        <v>21114</v>
      </c>
      <c r="I483" s="0" t="n">
        <f aca="false">VLOOKUP($A483,content_factors_backup!$A$2:$Q$468,I$525,FALSE())</f>
        <v>50</v>
      </c>
      <c r="J483" s="0" t="e">
        <f aca="false">VLOOKUP($A483,content_factors_backup!$A$2:$Q$468,J$525,FALSE())</f>
        <v>#N/A</v>
      </c>
      <c r="K483" s="0" t="e">
        <f aca="false">VLOOKUP($A483,content_factors_backup!$A$2:$Q$468,K$525,FALSE())</f>
        <v>#N/A</v>
      </c>
      <c r="L483" s="0" t="e">
        <f aca="false">VLOOKUP($A483,content_factors_backup!$A$2:$Q$468,L$525,FALSE())</f>
        <v>#N/A</v>
      </c>
      <c r="M483" s="0" t="e">
        <f aca="false">VLOOKUP($A483,content_factors_backup!$A$2:$Q$468,M$525,FALSE())</f>
        <v>#N/A</v>
      </c>
      <c r="N483" s="0" t="e">
        <f aca="false">VLOOKUP($A483,content_factors_backup!$A$2:$Q$468,N$525,FALSE())</f>
        <v>#N/A</v>
      </c>
      <c r="O483" s="0" t="e">
        <f aca="false">VLOOKUP($A483,content_factors_backup!$A$2:$Q$468,O$525,FALSE())</f>
        <v>#N/A</v>
      </c>
      <c r="P483" s="0" t="e">
        <f aca="false">VLOOKUP($A483,content_factors_backup!$A$2:$Q$468,P$525,FALSE())</f>
        <v>#N/A</v>
      </c>
      <c r="Q483" s="0" t="e">
        <f aca="false">VLOOKUP($A483,content_factors_backup!$A$2:$Q$468,Q$525,FALSE())</f>
        <v>#N/A</v>
      </c>
      <c r="R483" s="0" t="e">
        <f aca="false">VLOOKUP($A483,content_factors_backup!$A$2:$Q$468,R$525,FALSE())</f>
        <v>#N/A</v>
      </c>
      <c r="S483" s="0" t="e">
        <f aca="false">VLOOKUP($A483,content_factors_backup!$A$2:$Q$468,S$525,FALSE())</f>
        <v>#N/A</v>
      </c>
      <c r="T483" s="0" t="e">
        <f aca="false">VLOOKUP($A483,content_factors_backup!$A$2:$Q$468,T$525,FALSE())</f>
        <v>#N/A</v>
      </c>
      <c r="U483" s="0" t="e">
        <f aca="false">VLOOKUP($A483,content_factors_backup!$A$2:$Q$468,U$525,FALSE())</f>
        <v>#N/A</v>
      </c>
      <c r="V483" s="0" t="e">
        <f aca="false">VLOOKUP($A483,content_factors_backup!$A$2:$Q$468,V$525,FALSE())</f>
        <v>#N/A</v>
      </c>
      <c r="W483" s="0" t="e">
        <f aca="false">VLOOKUP($A483,content_factors_backup!$A$2:$Q$468,W$525,FALSE())</f>
        <v>#N/A</v>
      </c>
    </row>
    <row r="484" customFormat="false" ht="14.25" hidden="false" customHeight="false" outlineLevel="0" collapsed="false">
      <c r="A484" s="0" t="n">
        <v>1144</v>
      </c>
      <c r="B484" s="0" t="s">
        <v>1116</v>
      </c>
      <c r="G484" s="0" t="s">
        <v>1117</v>
      </c>
      <c r="I484" s="0" t="e">
        <f aca="false">VLOOKUP($A484,content_factors_backup!$A$2:$Q$468,I$525,FALSE())</f>
        <v>#N/A</v>
      </c>
      <c r="J484" s="0" t="e">
        <f aca="false">VLOOKUP($A484,content_factors_backup!$A$2:$Q$468,J$525,FALSE())</f>
        <v>#N/A</v>
      </c>
      <c r="K484" s="0" t="e">
        <f aca="false">VLOOKUP($A484,content_factors_backup!$A$2:$Q$468,K$525,FALSE())</f>
        <v>#N/A</v>
      </c>
      <c r="L484" s="0" t="e">
        <f aca="false">VLOOKUP($A484,content_factors_backup!$A$2:$Q$468,L$525,FALSE())</f>
        <v>#N/A</v>
      </c>
      <c r="M484" s="0" t="e">
        <f aca="false">VLOOKUP($A484,content_factors_backup!$A$2:$Q$468,M$525,FALSE())</f>
        <v>#N/A</v>
      </c>
      <c r="N484" s="0" t="e">
        <f aca="false">VLOOKUP($A484,content_factors_backup!$A$2:$Q$468,N$525,FALSE())</f>
        <v>#N/A</v>
      </c>
      <c r="O484" s="0" t="e">
        <f aca="false">VLOOKUP($A484,content_factors_backup!$A$2:$Q$468,O$525,FALSE())</f>
        <v>#N/A</v>
      </c>
      <c r="P484" s="0" t="e">
        <f aca="false">VLOOKUP($A484,content_factors_backup!$A$2:$Q$468,P$525,FALSE())</f>
        <v>#N/A</v>
      </c>
      <c r="Q484" s="0" t="e">
        <f aca="false">VLOOKUP($A484,content_factors_backup!$A$2:$Q$468,Q$525,FALSE())</f>
        <v>#N/A</v>
      </c>
      <c r="R484" s="0" t="e">
        <f aca="false">VLOOKUP($A484,content_factors_backup!$A$2:$Q$468,R$525,FALSE())</f>
        <v>#N/A</v>
      </c>
      <c r="S484" s="0" t="e">
        <f aca="false">VLOOKUP($A484,content_factors_backup!$A$2:$Q$468,S$525,FALSE())</f>
        <v>#N/A</v>
      </c>
      <c r="T484" s="0" t="e">
        <f aca="false">VLOOKUP($A484,content_factors_backup!$A$2:$Q$468,T$525,FALSE())</f>
        <v>#N/A</v>
      </c>
      <c r="U484" s="0" t="e">
        <f aca="false">VLOOKUP($A484,content_factors_backup!$A$2:$Q$468,U$525,FALSE())</f>
        <v>#N/A</v>
      </c>
      <c r="V484" s="0" t="e">
        <f aca="false">VLOOKUP($A484,content_factors_backup!$A$2:$Q$468,V$525,FALSE())</f>
        <v>#N/A</v>
      </c>
      <c r="W484" s="0" t="e">
        <f aca="false">VLOOKUP($A484,content_factors_backup!$A$2:$Q$468,W$525,FALSE())</f>
        <v>#N/A</v>
      </c>
    </row>
    <row r="485" customFormat="false" ht="14.25" hidden="false" customHeight="false" outlineLevel="0" collapsed="false">
      <c r="A485" s="0" t="n">
        <v>1150</v>
      </c>
      <c r="B485" s="0" t="s">
        <v>1118</v>
      </c>
      <c r="C485" s="0" t="s">
        <v>1119</v>
      </c>
      <c r="E485" s="0" t="n">
        <v>10619</v>
      </c>
      <c r="F485" s="0" t="n">
        <v>10619</v>
      </c>
      <c r="G485" s="0" t="n">
        <v>2192.01</v>
      </c>
      <c r="I485" s="0" t="n">
        <f aca="false">VLOOKUP($A485,content_factors_backup!$A$2:$Q$468,I$525,FALSE())</f>
        <v>0</v>
      </c>
      <c r="J485" s="0" t="e">
        <f aca="false">VLOOKUP($A485,content_factors_backup!$A$2:$Q$468,J$525,FALSE())</f>
        <v>#N/A</v>
      </c>
      <c r="K485" s="0" t="e">
        <f aca="false">VLOOKUP($A485,content_factors_backup!$A$2:$Q$468,K$525,FALSE())</f>
        <v>#N/A</v>
      </c>
      <c r="L485" s="0" t="e">
        <f aca="false">VLOOKUP($A485,content_factors_backup!$A$2:$Q$468,L$525,FALSE())</f>
        <v>#N/A</v>
      </c>
      <c r="M485" s="0" t="e">
        <f aca="false">VLOOKUP($A485,content_factors_backup!$A$2:$Q$468,M$525,FALSE())</f>
        <v>#N/A</v>
      </c>
      <c r="N485" s="0" t="e">
        <f aca="false">VLOOKUP($A485,content_factors_backup!$A$2:$Q$468,N$525,FALSE())</f>
        <v>#N/A</v>
      </c>
      <c r="O485" s="0" t="e">
        <f aca="false">VLOOKUP($A485,content_factors_backup!$A$2:$Q$468,O$525,FALSE())</f>
        <v>#N/A</v>
      </c>
      <c r="P485" s="0" t="e">
        <f aca="false">VLOOKUP($A485,content_factors_backup!$A$2:$Q$468,P$525,FALSE())</f>
        <v>#N/A</v>
      </c>
      <c r="Q485" s="0" t="e">
        <f aca="false">VLOOKUP($A485,content_factors_backup!$A$2:$Q$468,Q$525,FALSE())</f>
        <v>#N/A</v>
      </c>
      <c r="R485" s="0" t="e">
        <f aca="false">VLOOKUP($A485,content_factors_backup!$A$2:$Q$468,R$525,FALSE())</f>
        <v>#N/A</v>
      </c>
      <c r="S485" s="0" t="e">
        <f aca="false">VLOOKUP($A485,content_factors_backup!$A$2:$Q$468,S$525,FALSE())</f>
        <v>#N/A</v>
      </c>
      <c r="T485" s="0" t="e">
        <f aca="false">VLOOKUP($A485,content_factors_backup!$A$2:$Q$468,T$525,FALSE())</f>
        <v>#N/A</v>
      </c>
      <c r="U485" s="0" t="e">
        <f aca="false">VLOOKUP($A485,content_factors_backup!$A$2:$Q$468,U$525,FALSE())</f>
        <v>#N/A</v>
      </c>
      <c r="V485" s="0" t="e">
        <f aca="false">VLOOKUP($A485,content_factors_backup!$A$2:$Q$468,V$525,FALSE())</f>
        <v>#N/A</v>
      </c>
      <c r="W485" s="0" t="e">
        <f aca="false">VLOOKUP($A485,content_factors_backup!$A$2:$Q$468,W$525,FALSE())</f>
        <v>#N/A</v>
      </c>
    </row>
    <row r="486" customFormat="false" ht="14.25" hidden="false" customHeight="false" outlineLevel="0" collapsed="false">
      <c r="A486" s="0" t="n">
        <v>1151</v>
      </c>
      <c r="B486" s="0" t="s">
        <v>1120</v>
      </c>
      <c r="C486" s="0" t="s">
        <v>855</v>
      </c>
      <c r="E486" s="0" t="n">
        <v>20890</v>
      </c>
      <c r="F486" s="0" t="n">
        <v>20890</v>
      </c>
      <c r="G486" s="0" t="n">
        <v>21119.01</v>
      </c>
      <c r="I486" s="0" t="e">
        <f aca="false">VLOOKUP($A486,content_factors_backup!$A$2:$Q$468,I$525,FALSE())</f>
        <v>#N/A</v>
      </c>
      <c r="J486" s="0" t="e">
        <f aca="false">VLOOKUP($A486,content_factors_backup!$A$2:$Q$468,J$525,FALSE())</f>
        <v>#N/A</v>
      </c>
      <c r="K486" s="0" t="e">
        <f aca="false">VLOOKUP($A486,content_factors_backup!$A$2:$Q$468,K$525,FALSE())</f>
        <v>#N/A</v>
      </c>
      <c r="L486" s="0" t="e">
        <f aca="false">VLOOKUP($A486,content_factors_backup!$A$2:$Q$468,L$525,FALSE())</f>
        <v>#N/A</v>
      </c>
      <c r="M486" s="0" t="e">
        <f aca="false">VLOOKUP($A486,content_factors_backup!$A$2:$Q$468,M$525,FALSE())</f>
        <v>#N/A</v>
      </c>
      <c r="N486" s="0" t="e">
        <f aca="false">VLOOKUP($A486,content_factors_backup!$A$2:$Q$468,N$525,FALSE())</f>
        <v>#N/A</v>
      </c>
      <c r="O486" s="0" t="e">
        <f aca="false">VLOOKUP($A486,content_factors_backup!$A$2:$Q$468,O$525,FALSE())</f>
        <v>#N/A</v>
      </c>
      <c r="P486" s="0" t="e">
        <f aca="false">VLOOKUP($A486,content_factors_backup!$A$2:$Q$468,P$525,FALSE())</f>
        <v>#N/A</v>
      </c>
      <c r="Q486" s="0" t="e">
        <f aca="false">VLOOKUP($A486,content_factors_backup!$A$2:$Q$468,Q$525,FALSE())</f>
        <v>#N/A</v>
      </c>
      <c r="R486" s="0" t="e">
        <f aca="false">VLOOKUP($A486,content_factors_backup!$A$2:$Q$468,R$525,FALSE())</f>
        <v>#N/A</v>
      </c>
      <c r="S486" s="0" t="e">
        <f aca="false">VLOOKUP($A486,content_factors_backup!$A$2:$Q$468,S$525,FALSE())</f>
        <v>#N/A</v>
      </c>
      <c r="T486" s="0" t="e">
        <f aca="false">VLOOKUP($A486,content_factors_backup!$A$2:$Q$468,T$525,FALSE())</f>
        <v>#N/A</v>
      </c>
      <c r="U486" s="0" t="e">
        <f aca="false">VLOOKUP($A486,content_factors_backup!$A$2:$Q$468,U$525,FALSE())</f>
        <v>#N/A</v>
      </c>
      <c r="V486" s="0" t="e">
        <f aca="false">VLOOKUP($A486,content_factors_backup!$A$2:$Q$468,V$525,FALSE())</f>
        <v>#N/A</v>
      </c>
      <c r="W486" s="0" t="e">
        <f aca="false">VLOOKUP($A486,content_factors_backup!$A$2:$Q$468,W$525,FALSE())</f>
        <v>#N/A</v>
      </c>
    </row>
    <row r="487" customFormat="false" ht="14.25" hidden="false" customHeight="false" outlineLevel="0" collapsed="false">
      <c r="A487" s="0" t="n">
        <v>1154</v>
      </c>
      <c r="B487" s="0" t="s">
        <v>1121</v>
      </c>
      <c r="G487" s="0" t="s">
        <v>1122</v>
      </c>
      <c r="I487" s="0" t="e">
        <f aca="false">VLOOKUP($A487,content_factors_backup!$A$2:$Q$468,I$525,FALSE())</f>
        <v>#N/A</v>
      </c>
      <c r="J487" s="0" t="e">
        <f aca="false">VLOOKUP($A487,content_factors_backup!$A$2:$Q$468,J$525,FALSE())</f>
        <v>#N/A</v>
      </c>
      <c r="K487" s="0" t="e">
        <f aca="false">VLOOKUP($A487,content_factors_backup!$A$2:$Q$468,K$525,FALSE())</f>
        <v>#N/A</v>
      </c>
      <c r="L487" s="0" t="e">
        <f aca="false">VLOOKUP($A487,content_factors_backup!$A$2:$Q$468,L$525,FALSE())</f>
        <v>#N/A</v>
      </c>
      <c r="M487" s="0" t="e">
        <f aca="false">VLOOKUP($A487,content_factors_backup!$A$2:$Q$468,M$525,FALSE())</f>
        <v>#N/A</v>
      </c>
      <c r="N487" s="0" t="e">
        <f aca="false">VLOOKUP($A487,content_factors_backup!$A$2:$Q$468,N$525,FALSE())</f>
        <v>#N/A</v>
      </c>
      <c r="O487" s="0" t="e">
        <f aca="false">VLOOKUP($A487,content_factors_backup!$A$2:$Q$468,O$525,FALSE())</f>
        <v>#N/A</v>
      </c>
      <c r="P487" s="0" t="e">
        <f aca="false">VLOOKUP($A487,content_factors_backup!$A$2:$Q$468,P$525,FALSE())</f>
        <v>#N/A</v>
      </c>
      <c r="Q487" s="0" t="e">
        <f aca="false">VLOOKUP($A487,content_factors_backup!$A$2:$Q$468,Q$525,FALSE())</f>
        <v>#N/A</v>
      </c>
      <c r="R487" s="0" t="e">
        <f aca="false">VLOOKUP($A487,content_factors_backup!$A$2:$Q$468,R$525,FALSE())</f>
        <v>#N/A</v>
      </c>
      <c r="S487" s="0" t="e">
        <f aca="false">VLOOKUP($A487,content_factors_backup!$A$2:$Q$468,S$525,FALSE())</f>
        <v>#N/A</v>
      </c>
      <c r="T487" s="0" t="e">
        <f aca="false">VLOOKUP($A487,content_factors_backup!$A$2:$Q$468,T$525,FALSE())</f>
        <v>#N/A</v>
      </c>
      <c r="U487" s="0" t="e">
        <f aca="false">VLOOKUP($A487,content_factors_backup!$A$2:$Q$468,U$525,FALSE())</f>
        <v>#N/A</v>
      </c>
      <c r="V487" s="0" t="e">
        <f aca="false">VLOOKUP($A487,content_factors_backup!$A$2:$Q$468,V$525,FALSE())</f>
        <v>#N/A</v>
      </c>
      <c r="W487" s="0" t="e">
        <f aca="false">VLOOKUP($A487,content_factors_backup!$A$2:$Q$468,W$525,FALSE())</f>
        <v>#N/A</v>
      </c>
    </row>
    <row r="488" customFormat="false" ht="14.25" hidden="false" customHeight="false" outlineLevel="0" collapsed="false">
      <c r="A488" s="0" t="n">
        <v>1157</v>
      </c>
      <c r="B488" s="0" t="s">
        <v>1123</v>
      </c>
      <c r="C488" s="0" t="s">
        <v>1124</v>
      </c>
      <c r="E488" s="0" t="n">
        <v>10619</v>
      </c>
      <c r="F488" s="0" t="n">
        <v>10613</v>
      </c>
      <c r="G488" s="0" t="n">
        <v>2121.02</v>
      </c>
      <c r="I488" s="0" t="n">
        <f aca="false">VLOOKUP($A488,content_factors_backup!$A$2:$Q$468,I$525,FALSE())</f>
        <v>0</v>
      </c>
      <c r="J488" s="0" t="e">
        <f aca="false">VLOOKUP($A488,content_factors_backup!$A$2:$Q$468,J$525,FALSE())</f>
        <v>#N/A</v>
      </c>
      <c r="K488" s="0" t="e">
        <f aca="false">VLOOKUP($A488,content_factors_backup!$A$2:$Q$468,K$525,FALSE())</f>
        <v>#N/A</v>
      </c>
      <c r="L488" s="0" t="e">
        <f aca="false">VLOOKUP($A488,content_factors_backup!$A$2:$Q$468,L$525,FALSE())</f>
        <v>#N/A</v>
      </c>
      <c r="M488" s="0" t="e">
        <f aca="false">VLOOKUP($A488,content_factors_backup!$A$2:$Q$468,M$525,FALSE())</f>
        <v>#N/A</v>
      </c>
      <c r="N488" s="0" t="e">
        <f aca="false">VLOOKUP($A488,content_factors_backup!$A$2:$Q$468,N$525,FALSE())</f>
        <v>#N/A</v>
      </c>
      <c r="O488" s="0" t="e">
        <f aca="false">VLOOKUP($A488,content_factors_backup!$A$2:$Q$468,O$525,FALSE())</f>
        <v>#N/A</v>
      </c>
      <c r="P488" s="0" t="e">
        <f aca="false">VLOOKUP($A488,content_factors_backup!$A$2:$Q$468,P$525,FALSE())</f>
        <v>#N/A</v>
      </c>
      <c r="Q488" s="0" t="e">
        <f aca="false">VLOOKUP($A488,content_factors_backup!$A$2:$Q$468,Q$525,FALSE())</f>
        <v>#N/A</v>
      </c>
      <c r="R488" s="0" t="e">
        <f aca="false">VLOOKUP($A488,content_factors_backup!$A$2:$Q$468,R$525,FALSE())</f>
        <v>#N/A</v>
      </c>
      <c r="S488" s="0" t="e">
        <f aca="false">VLOOKUP($A488,content_factors_backup!$A$2:$Q$468,S$525,FALSE())</f>
        <v>#N/A</v>
      </c>
      <c r="T488" s="0" t="e">
        <f aca="false">VLOOKUP($A488,content_factors_backup!$A$2:$Q$468,T$525,FALSE())</f>
        <v>#N/A</v>
      </c>
      <c r="U488" s="0" t="e">
        <f aca="false">VLOOKUP($A488,content_factors_backup!$A$2:$Q$468,U$525,FALSE())</f>
        <v>#N/A</v>
      </c>
      <c r="V488" s="0" t="e">
        <f aca="false">VLOOKUP($A488,content_factors_backup!$A$2:$Q$468,V$525,FALSE())</f>
        <v>#N/A</v>
      </c>
      <c r="W488" s="0" t="e">
        <f aca="false">VLOOKUP($A488,content_factors_backup!$A$2:$Q$468,W$525,FALSE())</f>
        <v>#N/A</v>
      </c>
    </row>
    <row r="489" customFormat="false" ht="14.25" hidden="false" customHeight="false" outlineLevel="0" collapsed="false">
      <c r="A489" s="0" t="n">
        <v>1158</v>
      </c>
      <c r="B489" s="0" t="s">
        <v>1125</v>
      </c>
      <c r="C489" s="0" t="s">
        <v>855</v>
      </c>
      <c r="E489" s="0" t="n">
        <v>20890</v>
      </c>
      <c r="F489" s="0" t="n">
        <v>20860</v>
      </c>
      <c r="G489" s="0" t="n">
        <v>21117.02</v>
      </c>
      <c r="I489" s="0" t="e">
        <f aca="false">VLOOKUP($A489,content_factors_backup!$A$2:$Q$468,I$525,FALSE())</f>
        <v>#N/A</v>
      </c>
      <c r="J489" s="0" t="e">
        <f aca="false">VLOOKUP($A489,content_factors_backup!$A$2:$Q$468,J$525,FALSE())</f>
        <v>#N/A</v>
      </c>
      <c r="K489" s="0" t="e">
        <f aca="false">VLOOKUP($A489,content_factors_backup!$A$2:$Q$468,K$525,FALSE())</f>
        <v>#N/A</v>
      </c>
      <c r="L489" s="0" t="e">
        <f aca="false">VLOOKUP($A489,content_factors_backup!$A$2:$Q$468,L$525,FALSE())</f>
        <v>#N/A</v>
      </c>
      <c r="M489" s="0" t="e">
        <f aca="false">VLOOKUP($A489,content_factors_backup!$A$2:$Q$468,M$525,FALSE())</f>
        <v>#N/A</v>
      </c>
      <c r="N489" s="0" t="e">
        <f aca="false">VLOOKUP($A489,content_factors_backup!$A$2:$Q$468,N$525,FALSE())</f>
        <v>#N/A</v>
      </c>
      <c r="O489" s="0" t="e">
        <f aca="false">VLOOKUP($A489,content_factors_backup!$A$2:$Q$468,O$525,FALSE())</f>
        <v>#N/A</v>
      </c>
      <c r="P489" s="0" t="e">
        <f aca="false">VLOOKUP($A489,content_factors_backup!$A$2:$Q$468,P$525,FALSE())</f>
        <v>#N/A</v>
      </c>
      <c r="Q489" s="0" t="e">
        <f aca="false">VLOOKUP($A489,content_factors_backup!$A$2:$Q$468,Q$525,FALSE())</f>
        <v>#N/A</v>
      </c>
      <c r="R489" s="0" t="e">
        <f aca="false">VLOOKUP($A489,content_factors_backup!$A$2:$Q$468,R$525,FALSE())</f>
        <v>#N/A</v>
      </c>
      <c r="S489" s="0" t="e">
        <f aca="false">VLOOKUP($A489,content_factors_backup!$A$2:$Q$468,S$525,FALSE())</f>
        <v>#N/A</v>
      </c>
      <c r="T489" s="0" t="e">
        <f aca="false">VLOOKUP($A489,content_factors_backup!$A$2:$Q$468,T$525,FALSE())</f>
        <v>#N/A</v>
      </c>
      <c r="U489" s="0" t="e">
        <f aca="false">VLOOKUP($A489,content_factors_backup!$A$2:$Q$468,U$525,FALSE())</f>
        <v>#N/A</v>
      </c>
      <c r="V489" s="0" t="e">
        <f aca="false">VLOOKUP($A489,content_factors_backup!$A$2:$Q$468,V$525,FALSE())</f>
        <v>#N/A</v>
      </c>
      <c r="W489" s="0" t="e">
        <f aca="false">VLOOKUP($A489,content_factors_backup!$A$2:$Q$468,W$525,FALSE())</f>
        <v>#N/A</v>
      </c>
    </row>
    <row r="490" customFormat="false" ht="14.25" hidden="false" customHeight="false" outlineLevel="0" collapsed="false">
      <c r="A490" s="0" t="n">
        <v>1159</v>
      </c>
      <c r="B490" s="0" t="s">
        <v>1126</v>
      </c>
      <c r="I490" s="0" t="n">
        <f aca="false">VLOOKUP($A490,content_factors_backup!$A$2:$Q$468,I$525,FALSE())</f>
        <v>50</v>
      </c>
      <c r="J490" s="0" t="e">
        <f aca="false">VLOOKUP($A490,content_factors_backup!$A$2:$Q$468,J$525,FALSE())</f>
        <v>#N/A</v>
      </c>
      <c r="K490" s="0" t="e">
        <f aca="false">VLOOKUP($A490,content_factors_backup!$A$2:$Q$468,K$525,FALSE())</f>
        <v>#N/A</v>
      </c>
      <c r="L490" s="0" t="e">
        <f aca="false">VLOOKUP($A490,content_factors_backup!$A$2:$Q$468,L$525,FALSE())</f>
        <v>#N/A</v>
      </c>
      <c r="M490" s="0" t="e">
        <f aca="false">VLOOKUP($A490,content_factors_backup!$A$2:$Q$468,M$525,FALSE())</f>
        <v>#N/A</v>
      </c>
      <c r="N490" s="0" t="e">
        <f aca="false">VLOOKUP($A490,content_factors_backup!$A$2:$Q$468,N$525,FALSE())</f>
        <v>#N/A</v>
      </c>
      <c r="O490" s="0" t="e">
        <f aca="false">VLOOKUP($A490,content_factors_backup!$A$2:$Q$468,O$525,FALSE())</f>
        <v>#N/A</v>
      </c>
      <c r="P490" s="0" t="e">
        <f aca="false">VLOOKUP($A490,content_factors_backup!$A$2:$Q$468,P$525,FALSE())</f>
        <v>#N/A</v>
      </c>
      <c r="Q490" s="0" t="e">
        <f aca="false">VLOOKUP($A490,content_factors_backup!$A$2:$Q$468,Q$525,FALSE())</f>
        <v>#N/A</v>
      </c>
      <c r="R490" s="0" t="e">
        <f aca="false">VLOOKUP($A490,content_factors_backup!$A$2:$Q$468,R$525,FALSE())</f>
        <v>#N/A</v>
      </c>
      <c r="S490" s="0" t="e">
        <f aca="false">VLOOKUP($A490,content_factors_backup!$A$2:$Q$468,S$525,FALSE())</f>
        <v>#N/A</v>
      </c>
      <c r="T490" s="0" t="e">
        <f aca="false">VLOOKUP($A490,content_factors_backup!$A$2:$Q$468,T$525,FALSE())</f>
        <v>#N/A</v>
      </c>
      <c r="U490" s="0" t="e">
        <f aca="false">VLOOKUP($A490,content_factors_backup!$A$2:$Q$468,U$525,FALSE())</f>
        <v>#N/A</v>
      </c>
      <c r="V490" s="0" t="e">
        <f aca="false">VLOOKUP($A490,content_factors_backup!$A$2:$Q$468,V$525,FALSE())</f>
        <v>#N/A</v>
      </c>
      <c r="W490" s="0" t="e">
        <f aca="false">VLOOKUP($A490,content_factors_backup!$A$2:$Q$468,W$525,FALSE())</f>
        <v>#N/A</v>
      </c>
    </row>
    <row r="491" customFormat="false" ht="14.25" hidden="false" customHeight="false" outlineLevel="0" collapsed="false">
      <c r="A491" s="0" t="n">
        <v>1161</v>
      </c>
      <c r="B491" s="0" t="s">
        <v>1127</v>
      </c>
      <c r="G491" s="0" t="s">
        <v>1128</v>
      </c>
      <c r="I491" s="0" t="e">
        <f aca="false">VLOOKUP($A491,content_factors_backup!$A$2:$Q$468,I$525,FALSE())</f>
        <v>#N/A</v>
      </c>
      <c r="J491" s="0" t="e">
        <f aca="false">VLOOKUP($A491,content_factors_backup!$A$2:$Q$468,J$525,FALSE())</f>
        <v>#N/A</v>
      </c>
      <c r="K491" s="0" t="e">
        <f aca="false">VLOOKUP($A491,content_factors_backup!$A$2:$Q$468,K$525,FALSE())</f>
        <v>#N/A</v>
      </c>
      <c r="L491" s="0" t="e">
        <f aca="false">VLOOKUP($A491,content_factors_backup!$A$2:$Q$468,L$525,FALSE())</f>
        <v>#N/A</v>
      </c>
      <c r="M491" s="0" t="e">
        <f aca="false">VLOOKUP($A491,content_factors_backup!$A$2:$Q$468,M$525,FALSE())</f>
        <v>#N/A</v>
      </c>
      <c r="N491" s="0" t="e">
        <f aca="false">VLOOKUP($A491,content_factors_backup!$A$2:$Q$468,N$525,FALSE())</f>
        <v>#N/A</v>
      </c>
      <c r="O491" s="0" t="e">
        <f aca="false">VLOOKUP($A491,content_factors_backup!$A$2:$Q$468,O$525,FALSE())</f>
        <v>#N/A</v>
      </c>
      <c r="P491" s="0" t="e">
        <f aca="false">VLOOKUP($A491,content_factors_backup!$A$2:$Q$468,P$525,FALSE())</f>
        <v>#N/A</v>
      </c>
      <c r="Q491" s="0" t="e">
        <f aca="false">VLOOKUP($A491,content_factors_backup!$A$2:$Q$468,Q$525,FALSE())</f>
        <v>#N/A</v>
      </c>
      <c r="R491" s="0" t="e">
        <f aca="false">VLOOKUP($A491,content_factors_backup!$A$2:$Q$468,R$525,FALSE())</f>
        <v>#N/A</v>
      </c>
      <c r="S491" s="0" t="e">
        <f aca="false">VLOOKUP($A491,content_factors_backup!$A$2:$Q$468,S$525,FALSE())</f>
        <v>#N/A</v>
      </c>
      <c r="T491" s="0" t="e">
        <f aca="false">VLOOKUP($A491,content_factors_backup!$A$2:$Q$468,T$525,FALSE())</f>
        <v>#N/A</v>
      </c>
      <c r="U491" s="0" t="e">
        <f aca="false">VLOOKUP($A491,content_factors_backup!$A$2:$Q$468,U$525,FALSE())</f>
        <v>#N/A</v>
      </c>
      <c r="V491" s="0" t="e">
        <f aca="false">VLOOKUP($A491,content_factors_backup!$A$2:$Q$468,V$525,FALSE())</f>
        <v>#N/A</v>
      </c>
      <c r="W491" s="0" t="e">
        <f aca="false">VLOOKUP($A491,content_factors_backup!$A$2:$Q$468,W$525,FALSE())</f>
        <v>#N/A</v>
      </c>
    </row>
    <row r="492" customFormat="false" ht="14.25" hidden="false" customHeight="false" outlineLevel="0" collapsed="false">
      <c r="A492" s="0" t="n">
        <v>1163</v>
      </c>
      <c r="B492" s="0" t="s">
        <v>1129</v>
      </c>
      <c r="C492" s="0" t="s">
        <v>1130</v>
      </c>
      <c r="E492" s="0" t="n">
        <v>20890</v>
      </c>
      <c r="F492" s="0" t="n">
        <v>20890</v>
      </c>
      <c r="G492" s="0" t="n">
        <v>21170.02</v>
      </c>
      <c r="I492" s="0" t="n">
        <f aca="false">VLOOKUP($A492,content_factors_backup!$A$2:$Q$468,I$525,FALSE())</f>
        <v>50</v>
      </c>
      <c r="J492" s="0" t="e">
        <f aca="false">VLOOKUP($A492,content_factors_backup!$A$2:$Q$468,J$525,FALSE())</f>
        <v>#N/A</v>
      </c>
      <c r="K492" s="0" t="e">
        <f aca="false">VLOOKUP($A492,content_factors_backup!$A$2:$Q$468,K$525,FALSE())</f>
        <v>#N/A</v>
      </c>
      <c r="L492" s="0" t="e">
        <f aca="false">VLOOKUP($A492,content_factors_backup!$A$2:$Q$468,L$525,FALSE())</f>
        <v>#N/A</v>
      </c>
      <c r="M492" s="0" t="e">
        <f aca="false">VLOOKUP($A492,content_factors_backup!$A$2:$Q$468,M$525,FALSE())</f>
        <v>#N/A</v>
      </c>
      <c r="N492" s="0" t="e">
        <f aca="false">VLOOKUP($A492,content_factors_backup!$A$2:$Q$468,N$525,FALSE())</f>
        <v>#N/A</v>
      </c>
      <c r="O492" s="0" t="e">
        <f aca="false">VLOOKUP($A492,content_factors_backup!$A$2:$Q$468,O$525,FALSE())</f>
        <v>#N/A</v>
      </c>
      <c r="P492" s="0" t="e">
        <f aca="false">VLOOKUP($A492,content_factors_backup!$A$2:$Q$468,P$525,FALSE())</f>
        <v>#N/A</v>
      </c>
      <c r="Q492" s="0" t="e">
        <f aca="false">VLOOKUP($A492,content_factors_backup!$A$2:$Q$468,Q$525,FALSE())</f>
        <v>#N/A</v>
      </c>
      <c r="R492" s="0" t="e">
        <f aca="false">VLOOKUP($A492,content_factors_backup!$A$2:$Q$468,R$525,FALSE())</f>
        <v>#N/A</v>
      </c>
      <c r="S492" s="0" t="e">
        <f aca="false">VLOOKUP($A492,content_factors_backup!$A$2:$Q$468,S$525,FALSE())</f>
        <v>#N/A</v>
      </c>
      <c r="T492" s="0" t="e">
        <f aca="false">VLOOKUP($A492,content_factors_backup!$A$2:$Q$468,T$525,FALSE())</f>
        <v>#N/A</v>
      </c>
      <c r="U492" s="0" t="e">
        <f aca="false">VLOOKUP($A492,content_factors_backup!$A$2:$Q$468,U$525,FALSE())</f>
        <v>#N/A</v>
      </c>
      <c r="V492" s="0" t="e">
        <f aca="false">VLOOKUP($A492,content_factors_backup!$A$2:$Q$468,V$525,FALSE())</f>
        <v>#N/A</v>
      </c>
      <c r="W492" s="0" t="e">
        <f aca="false">VLOOKUP($A492,content_factors_backup!$A$2:$Q$468,W$525,FALSE())</f>
        <v>#N/A</v>
      </c>
    </row>
    <row r="493" customFormat="false" ht="14.25" hidden="false" customHeight="false" outlineLevel="0" collapsed="false">
      <c r="A493" s="0" t="n">
        <v>1164</v>
      </c>
      <c r="B493" s="0" t="s">
        <v>1131</v>
      </c>
      <c r="C493" s="0" t="s">
        <v>1132</v>
      </c>
      <c r="E493" s="0" t="s">
        <v>1133</v>
      </c>
      <c r="F493" s="0" t="s">
        <v>1133</v>
      </c>
      <c r="G493" s="0" t="n">
        <v>21183</v>
      </c>
      <c r="I493" s="0" t="n">
        <f aca="false">VLOOKUP($A493,content_factors_backup!$A$2:$Q$468,I$525,FALSE())</f>
        <v>65</v>
      </c>
      <c r="J493" s="0" t="e">
        <f aca="false">VLOOKUP($A493,content_factors_backup!$A$2:$Q$468,J$525,FALSE())</f>
        <v>#N/A</v>
      </c>
      <c r="K493" s="0" t="e">
        <f aca="false">VLOOKUP($A493,content_factors_backup!$A$2:$Q$468,K$525,FALSE())</f>
        <v>#N/A</v>
      </c>
      <c r="L493" s="0" t="e">
        <f aca="false">VLOOKUP($A493,content_factors_backup!$A$2:$Q$468,L$525,FALSE())</f>
        <v>#N/A</v>
      </c>
      <c r="M493" s="0" t="e">
        <f aca="false">VLOOKUP($A493,content_factors_backup!$A$2:$Q$468,M$525,FALSE())</f>
        <v>#N/A</v>
      </c>
      <c r="N493" s="0" t="e">
        <f aca="false">VLOOKUP($A493,content_factors_backup!$A$2:$Q$468,N$525,FALSE())</f>
        <v>#N/A</v>
      </c>
      <c r="O493" s="0" t="e">
        <f aca="false">VLOOKUP($A493,content_factors_backup!$A$2:$Q$468,O$525,FALSE())</f>
        <v>#N/A</v>
      </c>
      <c r="P493" s="0" t="e">
        <f aca="false">VLOOKUP($A493,content_factors_backup!$A$2:$Q$468,P$525,FALSE())</f>
        <v>#N/A</v>
      </c>
      <c r="Q493" s="0" t="e">
        <f aca="false">VLOOKUP($A493,content_factors_backup!$A$2:$Q$468,Q$525,FALSE())</f>
        <v>#N/A</v>
      </c>
      <c r="R493" s="0" t="e">
        <f aca="false">VLOOKUP($A493,content_factors_backup!$A$2:$Q$468,R$525,FALSE())</f>
        <v>#N/A</v>
      </c>
      <c r="S493" s="0" t="e">
        <f aca="false">VLOOKUP($A493,content_factors_backup!$A$2:$Q$468,S$525,FALSE())</f>
        <v>#N/A</v>
      </c>
      <c r="T493" s="0" t="e">
        <f aca="false">VLOOKUP($A493,content_factors_backup!$A$2:$Q$468,T$525,FALSE())</f>
        <v>#N/A</v>
      </c>
      <c r="U493" s="0" t="e">
        <f aca="false">VLOOKUP($A493,content_factors_backup!$A$2:$Q$468,U$525,FALSE())</f>
        <v>#N/A</v>
      </c>
      <c r="V493" s="0" t="e">
        <f aca="false">VLOOKUP($A493,content_factors_backup!$A$2:$Q$468,V$525,FALSE())</f>
        <v>#N/A</v>
      </c>
      <c r="W493" s="0" t="e">
        <f aca="false">VLOOKUP($A493,content_factors_backup!$A$2:$Q$468,W$525,FALSE())</f>
        <v>#N/A</v>
      </c>
    </row>
    <row r="494" customFormat="false" ht="14.25" hidden="false" customHeight="false" outlineLevel="0" collapsed="false">
      <c r="A494" s="0" t="n">
        <v>1166</v>
      </c>
      <c r="B494" s="0" t="s">
        <v>1134</v>
      </c>
      <c r="C494" s="0" t="s">
        <v>1135</v>
      </c>
      <c r="E494" s="0" t="s">
        <v>1136</v>
      </c>
      <c r="F494" s="0" t="s">
        <v>1136</v>
      </c>
      <c r="G494" s="0" t="n">
        <v>21170.92</v>
      </c>
      <c r="I494" s="0" t="n">
        <f aca="false">VLOOKUP($A494,content_factors_backup!$A$2:$Q$468,I$525,FALSE())</f>
        <v>50</v>
      </c>
      <c r="J494" s="0" t="e">
        <f aca="false">VLOOKUP($A494,content_factors_backup!$A$2:$Q$468,J$525,FALSE())</f>
        <v>#N/A</v>
      </c>
      <c r="K494" s="0" t="e">
        <f aca="false">VLOOKUP($A494,content_factors_backup!$A$2:$Q$468,K$525,FALSE())</f>
        <v>#N/A</v>
      </c>
      <c r="L494" s="0" t="e">
        <f aca="false">VLOOKUP($A494,content_factors_backup!$A$2:$Q$468,L$525,FALSE())</f>
        <v>#N/A</v>
      </c>
      <c r="M494" s="0" t="e">
        <f aca="false">VLOOKUP($A494,content_factors_backup!$A$2:$Q$468,M$525,FALSE())</f>
        <v>#N/A</v>
      </c>
      <c r="N494" s="0" t="e">
        <f aca="false">VLOOKUP($A494,content_factors_backup!$A$2:$Q$468,N$525,FALSE())</f>
        <v>#N/A</v>
      </c>
      <c r="O494" s="0" t="e">
        <f aca="false">VLOOKUP($A494,content_factors_backup!$A$2:$Q$468,O$525,FALSE())</f>
        <v>#N/A</v>
      </c>
      <c r="P494" s="0" t="e">
        <f aca="false">VLOOKUP($A494,content_factors_backup!$A$2:$Q$468,P$525,FALSE())</f>
        <v>#N/A</v>
      </c>
      <c r="Q494" s="0" t="e">
        <f aca="false">VLOOKUP($A494,content_factors_backup!$A$2:$Q$468,Q$525,FALSE())</f>
        <v>#N/A</v>
      </c>
      <c r="R494" s="0" t="e">
        <f aca="false">VLOOKUP($A494,content_factors_backup!$A$2:$Q$468,R$525,FALSE())</f>
        <v>#N/A</v>
      </c>
      <c r="S494" s="0" t="e">
        <f aca="false">VLOOKUP($A494,content_factors_backup!$A$2:$Q$468,S$525,FALSE())</f>
        <v>#N/A</v>
      </c>
      <c r="T494" s="0" t="e">
        <f aca="false">VLOOKUP($A494,content_factors_backup!$A$2:$Q$468,T$525,FALSE())</f>
        <v>#N/A</v>
      </c>
      <c r="U494" s="0" t="e">
        <f aca="false">VLOOKUP($A494,content_factors_backup!$A$2:$Q$468,U$525,FALSE())</f>
        <v>#N/A</v>
      </c>
      <c r="V494" s="0" t="e">
        <f aca="false">VLOOKUP($A494,content_factors_backup!$A$2:$Q$468,V$525,FALSE())</f>
        <v>#N/A</v>
      </c>
      <c r="W494" s="0" t="e">
        <f aca="false">VLOOKUP($A494,content_factors_backup!$A$2:$Q$468,W$525,FALSE())</f>
        <v>#N/A</v>
      </c>
    </row>
    <row r="495" customFormat="false" ht="14.25" hidden="false" customHeight="false" outlineLevel="0" collapsed="false">
      <c r="A495" s="0" t="n">
        <v>1166</v>
      </c>
      <c r="B495" s="0" t="s">
        <v>1134</v>
      </c>
      <c r="C495" s="0" t="s">
        <v>1135</v>
      </c>
      <c r="E495" s="0" t="s">
        <v>1136</v>
      </c>
      <c r="F495" s="0" t="s">
        <v>1136</v>
      </c>
      <c r="G495" s="0" t="n">
        <v>21119.9</v>
      </c>
      <c r="I495" s="0" t="n">
        <f aca="false">VLOOKUP($A495,content_factors_backup!$A$2:$Q$468,I$525,FALSE())</f>
        <v>50</v>
      </c>
      <c r="J495" s="0" t="e">
        <f aca="false">VLOOKUP($A495,content_factors_backup!$A$2:$Q$468,J$525,FALSE())</f>
        <v>#N/A</v>
      </c>
      <c r="K495" s="0" t="e">
        <f aca="false">VLOOKUP($A495,content_factors_backup!$A$2:$Q$468,K$525,FALSE())</f>
        <v>#N/A</v>
      </c>
      <c r="L495" s="0" t="e">
        <f aca="false">VLOOKUP($A495,content_factors_backup!$A$2:$Q$468,L$525,FALSE())</f>
        <v>#N/A</v>
      </c>
      <c r="M495" s="0" t="e">
        <f aca="false">VLOOKUP($A495,content_factors_backup!$A$2:$Q$468,M$525,FALSE())</f>
        <v>#N/A</v>
      </c>
      <c r="N495" s="0" t="e">
        <f aca="false">VLOOKUP($A495,content_factors_backup!$A$2:$Q$468,N$525,FALSE())</f>
        <v>#N/A</v>
      </c>
      <c r="O495" s="0" t="e">
        <f aca="false">VLOOKUP($A495,content_factors_backup!$A$2:$Q$468,O$525,FALSE())</f>
        <v>#N/A</v>
      </c>
      <c r="P495" s="0" t="e">
        <f aca="false">VLOOKUP($A495,content_factors_backup!$A$2:$Q$468,P$525,FALSE())</f>
        <v>#N/A</v>
      </c>
      <c r="Q495" s="0" t="e">
        <f aca="false">VLOOKUP($A495,content_factors_backup!$A$2:$Q$468,Q$525,FALSE())</f>
        <v>#N/A</v>
      </c>
      <c r="R495" s="0" t="e">
        <f aca="false">VLOOKUP($A495,content_factors_backup!$A$2:$Q$468,R$525,FALSE())</f>
        <v>#N/A</v>
      </c>
      <c r="S495" s="0" t="e">
        <f aca="false">VLOOKUP($A495,content_factors_backup!$A$2:$Q$468,S$525,FALSE())</f>
        <v>#N/A</v>
      </c>
      <c r="T495" s="0" t="e">
        <f aca="false">VLOOKUP($A495,content_factors_backup!$A$2:$Q$468,T$525,FALSE())</f>
        <v>#N/A</v>
      </c>
      <c r="U495" s="0" t="e">
        <f aca="false">VLOOKUP($A495,content_factors_backup!$A$2:$Q$468,U$525,FALSE())</f>
        <v>#N/A</v>
      </c>
      <c r="V495" s="0" t="e">
        <f aca="false">VLOOKUP($A495,content_factors_backup!$A$2:$Q$468,V$525,FALSE())</f>
        <v>#N/A</v>
      </c>
      <c r="W495" s="0" t="e">
        <f aca="false">VLOOKUP($A495,content_factors_backup!$A$2:$Q$468,W$525,FALSE())</f>
        <v>#N/A</v>
      </c>
    </row>
    <row r="496" customFormat="false" ht="14.25" hidden="false" customHeight="false" outlineLevel="0" collapsed="false">
      <c r="A496" s="0" t="n">
        <v>1168</v>
      </c>
      <c r="B496" s="0" t="s">
        <v>1137</v>
      </c>
      <c r="C496" s="0" t="s">
        <v>1138</v>
      </c>
      <c r="E496" s="0" t="n">
        <v>150600</v>
      </c>
      <c r="F496" s="0" t="n">
        <v>150600</v>
      </c>
      <c r="G496" s="0" t="n">
        <v>21529.03</v>
      </c>
      <c r="I496" s="0" t="n">
        <f aca="false">VLOOKUP($A496,content_factors_backup!$A$2:$Q$468,I$525,FALSE())</f>
        <v>100</v>
      </c>
      <c r="J496" s="0" t="e">
        <f aca="false">VLOOKUP($A496,content_factors_backup!$A$2:$Q$468,J$525,FALSE())</f>
        <v>#N/A</v>
      </c>
      <c r="K496" s="0" t="e">
        <f aca="false">VLOOKUP($A496,content_factors_backup!$A$2:$Q$468,K$525,FALSE())</f>
        <v>#N/A</v>
      </c>
      <c r="L496" s="0" t="e">
        <f aca="false">VLOOKUP($A496,content_factors_backup!$A$2:$Q$468,L$525,FALSE())</f>
        <v>#N/A</v>
      </c>
      <c r="M496" s="0" t="e">
        <f aca="false">VLOOKUP($A496,content_factors_backup!$A$2:$Q$468,M$525,FALSE())</f>
        <v>#N/A</v>
      </c>
      <c r="N496" s="0" t="e">
        <f aca="false">VLOOKUP($A496,content_factors_backup!$A$2:$Q$468,N$525,FALSE())</f>
        <v>#N/A</v>
      </c>
      <c r="O496" s="0" t="e">
        <f aca="false">VLOOKUP($A496,content_factors_backup!$A$2:$Q$468,O$525,FALSE())</f>
        <v>#N/A</v>
      </c>
      <c r="P496" s="0" t="e">
        <f aca="false">VLOOKUP($A496,content_factors_backup!$A$2:$Q$468,P$525,FALSE())</f>
        <v>#N/A</v>
      </c>
      <c r="Q496" s="0" t="e">
        <f aca="false">VLOOKUP($A496,content_factors_backup!$A$2:$Q$468,Q$525,FALSE())</f>
        <v>#N/A</v>
      </c>
      <c r="R496" s="0" t="e">
        <f aca="false">VLOOKUP($A496,content_factors_backup!$A$2:$Q$468,R$525,FALSE())</f>
        <v>#N/A</v>
      </c>
      <c r="S496" s="0" t="e">
        <f aca="false">VLOOKUP($A496,content_factors_backup!$A$2:$Q$468,S$525,FALSE())</f>
        <v>#N/A</v>
      </c>
      <c r="T496" s="0" t="e">
        <f aca="false">VLOOKUP($A496,content_factors_backup!$A$2:$Q$468,T$525,FALSE())</f>
        <v>#N/A</v>
      </c>
      <c r="U496" s="0" t="e">
        <f aca="false">VLOOKUP($A496,content_factors_backup!$A$2:$Q$468,U$525,FALSE())</f>
        <v>#N/A</v>
      </c>
      <c r="V496" s="0" t="e">
        <f aca="false">VLOOKUP($A496,content_factors_backup!$A$2:$Q$468,V$525,FALSE())</f>
        <v>#N/A</v>
      </c>
      <c r="W496" s="0" t="e">
        <f aca="false">VLOOKUP($A496,content_factors_backup!$A$2:$Q$468,W$525,FALSE())</f>
        <v>#N/A</v>
      </c>
    </row>
    <row r="497" customFormat="false" ht="14.25" hidden="false" customHeight="false" outlineLevel="0" collapsed="false">
      <c r="A497" s="0" t="n">
        <v>1169</v>
      </c>
      <c r="B497" s="0" t="s">
        <v>1139</v>
      </c>
      <c r="C497" s="0" t="s">
        <v>1140</v>
      </c>
      <c r="E497" s="0" t="s">
        <v>1141</v>
      </c>
      <c r="F497" s="0" t="s">
        <v>1141</v>
      </c>
      <c r="G497" s="0" t="n">
        <v>2199.1</v>
      </c>
      <c r="I497" s="0" t="n">
        <f aca="false">VLOOKUP($A497,content_factors_backup!$A$2:$Q$468,I$525,FALSE())</f>
        <v>0</v>
      </c>
      <c r="J497" s="0" t="e">
        <f aca="false">VLOOKUP($A497,content_factors_backup!$A$2:$Q$468,J$525,FALSE())</f>
        <v>#N/A</v>
      </c>
      <c r="K497" s="0" t="e">
        <f aca="false">VLOOKUP($A497,content_factors_backup!$A$2:$Q$468,K$525,FALSE())</f>
        <v>#N/A</v>
      </c>
      <c r="L497" s="0" t="e">
        <f aca="false">VLOOKUP($A497,content_factors_backup!$A$2:$Q$468,L$525,FALSE())</f>
        <v>#N/A</v>
      </c>
      <c r="M497" s="0" t="e">
        <f aca="false">VLOOKUP($A497,content_factors_backup!$A$2:$Q$468,M$525,FALSE())</f>
        <v>#N/A</v>
      </c>
      <c r="N497" s="0" t="e">
        <f aca="false">VLOOKUP($A497,content_factors_backup!$A$2:$Q$468,N$525,FALSE())</f>
        <v>#N/A</v>
      </c>
      <c r="O497" s="0" t="e">
        <f aca="false">VLOOKUP($A497,content_factors_backup!$A$2:$Q$468,O$525,FALSE())</f>
        <v>#N/A</v>
      </c>
      <c r="P497" s="0" t="e">
        <f aca="false">VLOOKUP($A497,content_factors_backup!$A$2:$Q$468,P$525,FALSE())</f>
        <v>#N/A</v>
      </c>
      <c r="Q497" s="0" t="e">
        <f aca="false">VLOOKUP($A497,content_factors_backup!$A$2:$Q$468,Q$525,FALSE())</f>
        <v>#N/A</v>
      </c>
      <c r="R497" s="0" t="e">
        <f aca="false">VLOOKUP($A497,content_factors_backup!$A$2:$Q$468,R$525,FALSE())</f>
        <v>#N/A</v>
      </c>
      <c r="S497" s="0" t="e">
        <f aca="false">VLOOKUP($A497,content_factors_backup!$A$2:$Q$468,S$525,FALSE())</f>
        <v>#N/A</v>
      </c>
      <c r="T497" s="0" t="e">
        <f aca="false">VLOOKUP($A497,content_factors_backup!$A$2:$Q$468,T$525,FALSE())</f>
        <v>#N/A</v>
      </c>
      <c r="U497" s="0" t="e">
        <f aca="false">VLOOKUP($A497,content_factors_backup!$A$2:$Q$468,U$525,FALSE())</f>
        <v>#N/A</v>
      </c>
      <c r="V497" s="0" t="e">
        <f aca="false">VLOOKUP($A497,content_factors_backup!$A$2:$Q$468,V$525,FALSE())</f>
        <v>#N/A</v>
      </c>
      <c r="W497" s="0" t="e">
        <f aca="false">VLOOKUP($A497,content_factors_backup!$A$2:$Q$468,W$525,FALSE())</f>
        <v>#N/A</v>
      </c>
    </row>
    <row r="498" customFormat="false" ht="14.25" hidden="false" customHeight="false" outlineLevel="0" collapsed="false">
      <c r="A498" s="0" t="n">
        <v>1171</v>
      </c>
      <c r="B498" s="0" t="s">
        <v>1142</v>
      </c>
      <c r="C498" s="0" t="s">
        <v>1143</v>
      </c>
      <c r="E498" s="0" t="s">
        <v>1144</v>
      </c>
      <c r="F498" s="0" t="s">
        <v>1145</v>
      </c>
      <c r="G498" s="0" t="n">
        <v>2199.2</v>
      </c>
      <c r="I498" s="0" t="n">
        <f aca="false">VLOOKUP($A498,content_factors_backup!$A$2:$Q$468,I$525,FALSE())</f>
        <v>0</v>
      </c>
      <c r="J498" s="0" t="e">
        <f aca="false">VLOOKUP($A498,content_factors_backup!$A$2:$Q$468,J$525,FALSE())</f>
        <v>#N/A</v>
      </c>
      <c r="K498" s="0" t="e">
        <f aca="false">VLOOKUP($A498,content_factors_backup!$A$2:$Q$468,K$525,FALSE())</f>
        <v>#N/A</v>
      </c>
      <c r="L498" s="0" t="e">
        <f aca="false">VLOOKUP($A498,content_factors_backup!$A$2:$Q$468,L$525,FALSE())</f>
        <v>#N/A</v>
      </c>
      <c r="M498" s="0" t="e">
        <f aca="false">VLOOKUP($A498,content_factors_backup!$A$2:$Q$468,M$525,FALSE())</f>
        <v>#N/A</v>
      </c>
      <c r="N498" s="0" t="e">
        <f aca="false">VLOOKUP($A498,content_factors_backup!$A$2:$Q$468,N$525,FALSE())</f>
        <v>#N/A</v>
      </c>
      <c r="O498" s="0" t="e">
        <f aca="false">VLOOKUP($A498,content_factors_backup!$A$2:$Q$468,O$525,FALSE())</f>
        <v>#N/A</v>
      </c>
      <c r="P498" s="0" t="e">
        <f aca="false">VLOOKUP($A498,content_factors_backup!$A$2:$Q$468,P$525,FALSE())</f>
        <v>#N/A</v>
      </c>
      <c r="Q498" s="0" t="e">
        <f aca="false">VLOOKUP($A498,content_factors_backup!$A$2:$Q$468,Q$525,FALSE())</f>
        <v>#N/A</v>
      </c>
      <c r="R498" s="0" t="e">
        <f aca="false">VLOOKUP($A498,content_factors_backup!$A$2:$Q$468,R$525,FALSE())</f>
        <v>#N/A</v>
      </c>
      <c r="S498" s="0" t="e">
        <f aca="false">VLOOKUP($A498,content_factors_backup!$A$2:$Q$468,S$525,FALSE())</f>
        <v>#N/A</v>
      </c>
      <c r="T498" s="0" t="e">
        <f aca="false">VLOOKUP($A498,content_factors_backup!$A$2:$Q$468,T$525,FALSE())</f>
        <v>#N/A</v>
      </c>
      <c r="U498" s="0" t="e">
        <f aca="false">VLOOKUP($A498,content_factors_backup!$A$2:$Q$468,U$525,FALSE())</f>
        <v>#N/A</v>
      </c>
      <c r="V498" s="0" t="e">
        <f aca="false">VLOOKUP($A498,content_factors_backup!$A$2:$Q$468,V$525,FALSE())</f>
        <v>#N/A</v>
      </c>
      <c r="W498" s="0" t="e">
        <f aca="false">VLOOKUP($A498,content_factors_backup!$A$2:$Q$468,W$525,FALSE())</f>
        <v>#N/A</v>
      </c>
    </row>
    <row r="499" customFormat="false" ht="14.25" hidden="false" customHeight="false" outlineLevel="0" collapsed="false">
      <c r="A499" s="0" t="n">
        <v>1173</v>
      </c>
      <c r="B499" s="0" t="s">
        <v>1146</v>
      </c>
      <c r="C499" s="0" t="s">
        <v>1147</v>
      </c>
      <c r="E499" s="0" t="n">
        <v>230110</v>
      </c>
      <c r="F499" s="0" t="n">
        <v>230110</v>
      </c>
      <c r="G499" s="0" t="n">
        <v>21190.01</v>
      </c>
      <c r="I499" s="0" t="n">
        <f aca="false">VLOOKUP($A499,content_factors_backup!$A$2:$Q$468,I$525,FALSE())</f>
        <v>0</v>
      </c>
      <c r="J499" s="0" t="e">
        <f aca="false">VLOOKUP($A499,content_factors_backup!$A$2:$Q$468,J$525,FALSE())</f>
        <v>#N/A</v>
      </c>
      <c r="K499" s="0" t="e">
        <f aca="false">VLOOKUP($A499,content_factors_backup!$A$2:$Q$468,K$525,FALSE())</f>
        <v>#N/A</v>
      </c>
      <c r="L499" s="0" t="e">
        <f aca="false">VLOOKUP($A499,content_factors_backup!$A$2:$Q$468,L$525,FALSE())</f>
        <v>#N/A</v>
      </c>
      <c r="M499" s="0" t="e">
        <f aca="false">VLOOKUP($A499,content_factors_backup!$A$2:$Q$468,M$525,FALSE())</f>
        <v>#N/A</v>
      </c>
      <c r="N499" s="0" t="e">
        <f aca="false">VLOOKUP($A499,content_factors_backup!$A$2:$Q$468,N$525,FALSE())</f>
        <v>#N/A</v>
      </c>
      <c r="O499" s="0" t="e">
        <f aca="false">VLOOKUP($A499,content_factors_backup!$A$2:$Q$468,O$525,FALSE())</f>
        <v>#N/A</v>
      </c>
      <c r="P499" s="0" t="e">
        <f aca="false">VLOOKUP($A499,content_factors_backup!$A$2:$Q$468,P$525,FALSE())</f>
        <v>#N/A</v>
      </c>
      <c r="Q499" s="0" t="e">
        <f aca="false">VLOOKUP($A499,content_factors_backup!$A$2:$Q$468,Q$525,FALSE())</f>
        <v>#N/A</v>
      </c>
      <c r="R499" s="0" t="e">
        <f aca="false">VLOOKUP($A499,content_factors_backup!$A$2:$Q$468,R$525,FALSE())</f>
        <v>#N/A</v>
      </c>
      <c r="S499" s="0" t="e">
        <f aca="false">VLOOKUP($A499,content_factors_backup!$A$2:$Q$468,S$525,FALSE())</f>
        <v>#N/A</v>
      </c>
      <c r="T499" s="0" t="e">
        <f aca="false">VLOOKUP($A499,content_factors_backup!$A$2:$Q$468,T$525,FALSE())</f>
        <v>#N/A</v>
      </c>
      <c r="U499" s="0" t="e">
        <f aca="false">VLOOKUP($A499,content_factors_backup!$A$2:$Q$468,U$525,FALSE())</f>
        <v>#N/A</v>
      </c>
      <c r="V499" s="0" t="e">
        <f aca="false">VLOOKUP($A499,content_factors_backup!$A$2:$Q$468,V$525,FALSE())</f>
        <v>#N/A</v>
      </c>
      <c r="W499" s="0" t="e">
        <f aca="false">VLOOKUP($A499,content_factors_backup!$A$2:$Q$468,W$525,FALSE())</f>
        <v>#N/A</v>
      </c>
    </row>
    <row r="500" customFormat="false" ht="14.25" hidden="false" customHeight="false" outlineLevel="0" collapsed="false">
      <c r="A500" s="0" t="n">
        <v>1176</v>
      </c>
      <c r="B500" s="0" t="s">
        <v>1148</v>
      </c>
      <c r="C500" s="0" t="s">
        <v>1149</v>
      </c>
      <c r="E500" s="0" t="n">
        <v>30760</v>
      </c>
      <c r="F500" s="0" t="n">
        <v>30760</v>
      </c>
      <c r="G500" s="0" t="n">
        <v>2920</v>
      </c>
      <c r="I500" s="0" t="e">
        <f aca="false">VLOOKUP($A500,content_factors_backup!$A$2:$Q$468,I$525,FALSE())</f>
        <v>#N/A</v>
      </c>
      <c r="J500" s="0" t="e">
        <f aca="false">VLOOKUP($A500,content_factors_backup!$A$2:$Q$468,J$525,FALSE())</f>
        <v>#N/A</v>
      </c>
      <c r="K500" s="0" t="e">
        <f aca="false">VLOOKUP($A500,content_factors_backup!$A$2:$Q$468,K$525,FALSE())</f>
        <v>#N/A</v>
      </c>
      <c r="L500" s="0" t="e">
        <f aca="false">VLOOKUP($A500,content_factors_backup!$A$2:$Q$468,L$525,FALSE())</f>
        <v>#N/A</v>
      </c>
      <c r="M500" s="0" t="e">
        <f aca="false">VLOOKUP($A500,content_factors_backup!$A$2:$Q$468,M$525,FALSE())</f>
        <v>#N/A</v>
      </c>
      <c r="N500" s="0" t="e">
        <f aca="false">VLOOKUP($A500,content_factors_backup!$A$2:$Q$468,N$525,FALSE())</f>
        <v>#N/A</v>
      </c>
      <c r="O500" s="0" t="e">
        <f aca="false">VLOOKUP($A500,content_factors_backup!$A$2:$Q$468,O$525,FALSE())</f>
        <v>#N/A</v>
      </c>
      <c r="P500" s="0" t="e">
        <f aca="false">VLOOKUP($A500,content_factors_backup!$A$2:$Q$468,P$525,FALSE())</f>
        <v>#N/A</v>
      </c>
      <c r="Q500" s="0" t="e">
        <f aca="false">VLOOKUP($A500,content_factors_backup!$A$2:$Q$468,Q$525,FALSE())</f>
        <v>#N/A</v>
      </c>
      <c r="R500" s="0" t="e">
        <f aca="false">VLOOKUP($A500,content_factors_backup!$A$2:$Q$468,R$525,FALSE())</f>
        <v>#N/A</v>
      </c>
      <c r="S500" s="0" t="e">
        <f aca="false">VLOOKUP($A500,content_factors_backup!$A$2:$Q$468,S$525,FALSE())</f>
        <v>#N/A</v>
      </c>
      <c r="T500" s="0" t="e">
        <f aca="false">VLOOKUP($A500,content_factors_backup!$A$2:$Q$468,T$525,FALSE())</f>
        <v>#N/A</v>
      </c>
      <c r="U500" s="0" t="e">
        <f aca="false">VLOOKUP($A500,content_factors_backup!$A$2:$Q$468,U$525,FALSE())</f>
        <v>#N/A</v>
      </c>
      <c r="V500" s="0" t="e">
        <f aca="false">VLOOKUP($A500,content_factors_backup!$A$2:$Q$468,V$525,FALSE())</f>
        <v>#N/A</v>
      </c>
      <c r="W500" s="0" t="e">
        <f aca="false">VLOOKUP($A500,content_factors_backup!$A$2:$Q$468,W$525,FALSE())</f>
        <v>#N/A</v>
      </c>
    </row>
    <row r="501" customFormat="false" ht="14.25" hidden="false" customHeight="false" outlineLevel="0" collapsed="false">
      <c r="A501" s="0" t="n">
        <v>1181</v>
      </c>
      <c r="B501" s="0" t="s">
        <v>1150</v>
      </c>
      <c r="C501" s="0" t="s">
        <v>1151</v>
      </c>
      <c r="E501" s="0" t="n">
        <v>10690</v>
      </c>
      <c r="F501" s="0" t="n">
        <v>10641</v>
      </c>
      <c r="G501" s="0" t="n">
        <v>2196</v>
      </c>
      <c r="I501" s="0" t="n">
        <f aca="false">VLOOKUP($A501,content_factors_backup!$A$2:$Q$468,I$525,FALSE())</f>
        <v>0</v>
      </c>
      <c r="J501" s="0" t="e">
        <f aca="false">VLOOKUP($A501,content_factors_backup!$A$2:$Q$468,J$525,FALSE())</f>
        <v>#N/A</v>
      </c>
      <c r="K501" s="0" t="e">
        <f aca="false">VLOOKUP($A501,content_factors_backup!$A$2:$Q$468,K$525,FALSE())</f>
        <v>#N/A</v>
      </c>
      <c r="L501" s="0" t="e">
        <f aca="false">VLOOKUP($A501,content_factors_backup!$A$2:$Q$468,L$525,FALSE())</f>
        <v>#N/A</v>
      </c>
      <c r="M501" s="0" t="e">
        <f aca="false">VLOOKUP($A501,content_factors_backup!$A$2:$Q$468,M$525,FALSE())</f>
        <v>#N/A</v>
      </c>
      <c r="N501" s="0" t="e">
        <f aca="false">VLOOKUP($A501,content_factors_backup!$A$2:$Q$468,N$525,FALSE())</f>
        <v>#N/A</v>
      </c>
      <c r="O501" s="0" t="e">
        <f aca="false">VLOOKUP($A501,content_factors_backup!$A$2:$Q$468,O$525,FALSE())</f>
        <v>#N/A</v>
      </c>
      <c r="P501" s="0" t="e">
        <f aca="false">VLOOKUP($A501,content_factors_backup!$A$2:$Q$468,P$525,FALSE())</f>
        <v>#N/A</v>
      </c>
      <c r="Q501" s="0" t="e">
        <f aca="false">VLOOKUP($A501,content_factors_backup!$A$2:$Q$468,Q$525,FALSE())</f>
        <v>#N/A</v>
      </c>
      <c r="R501" s="0" t="e">
        <f aca="false">VLOOKUP($A501,content_factors_backup!$A$2:$Q$468,R$525,FALSE())</f>
        <v>#N/A</v>
      </c>
      <c r="S501" s="0" t="e">
        <f aca="false">VLOOKUP($A501,content_factors_backup!$A$2:$Q$468,S$525,FALSE())</f>
        <v>#N/A</v>
      </c>
      <c r="T501" s="0" t="e">
        <f aca="false">VLOOKUP($A501,content_factors_backup!$A$2:$Q$468,T$525,FALSE())</f>
        <v>#N/A</v>
      </c>
      <c r="U501" s="0" t="e">
        <f aca="false">VLOOKUP($A501,content_factors_backup!$A$2:$Q$468,U$525,FALSE())</f>
        <v>#N/A</v>
      </c>
      <c r="V501" s="0" t="e">
        <f aca="false">VLOOKUP($A501,content_factors_backup!$A$2:$Q$468,V$525,FALSE())</f>
        <v>#N/A</v>
      </c>
      <c r="W501" s="0" t="e">
        <f aca="false">VLOOKUP($A501,content_factors_backup!$A$2:$Q$468,W$525,FALSE())</f>
        <v>#N/A</v>
      </c>
    </row>
    <row r="502" customFormat="false" ht="14.25" hidden="false" customHeight="false" outlineLevel="0" collapsed="false">
      <c r="A502" s="0" t="n">
        <v>1182</v>
      </c>
      <c r="B502" s="0" t="s">
        <v>1152</v>
      </c>
      <c r="C502" s="0" t="s">
        <v>1153</v>
      </c>
      <c r="E502" s="0" t="n">
        <v>40900</v>
      </c>
      <c r="F502" s="0" t="n">
        <v>40900</v>
      </c>
      <c r="G502" s="0" t="n">
        <v>2910</v>
      </c>
      <c r="I502" s="0" t="n">
        <f aca="false">VLOOKUP($A502,content_factors_backup!$A$2:$Q$468,I$525,FALSE())</f>
        <v>83</v>
      </c>
      <c r="J502" s="0" t="e">
        <f aca="false">VLOOKUP($A502,content_factors_backup!$A$2:$Q$468,J$525,FALSE())</f>
        <v>#N/A</v>
      </c>
      <c r="K502" s="0" t="e">
        <f aca="false">VLOOKUP($A502,content_factors_backup!$A$2:$Q$468,K$525,FALSE())</f>
        <v>#N/A</v>
      </c>
      <c r="L502" s="0" t="e">
        <f aca="false">VLOOKUP($A502,content_factors_backup!$A$2:$Q$468,L$525,FALSE())</f>
        <v>#N/A</v>
      </c>
      <c r="M502" s="0" t="e">
        <f aca="false">VLOOKUP($A502,content_factors_backup!$A$2:$Q$468,M$525,FALSE())</f>
        <v>#N/A</v>
      </c>
      <c r="N502" s="0" t="e">
        <f aca="false">VLOOKUP($A502,content_factors_backup!$A$2:$Q$468,N$525,FALSE())</f>
        <v>#N/A</v>
      </c>
      <c r="O502" s="0" t="e">
        <f aca="false">VLOOKUP($A502,content_factors_backup!$A$2:$Q$468,O$525,FALSE())</f>
        <v>#N/A</v>
      </c>
      <c r="P502" s="0" t="e">
        <f aca="false">VLOOKUP($A502,content_factors_backup!$A$2:$Q$468,P$525,FALSE())</f>
        <v>#N/A</v>
      </c>
      <c r="Q502" s="0" t="e">
        <f aca="false">VLOOKUP($A502,content_factors_backup!$A$2:$Q$468,Q$525,FALSE())</f>
        <v>#N/A</v>
      </c>
      <c r="R502" s="0" t="e">
        <f aca="false">VLOOKUP($A502,content_factors_backup!$A$2:$Q$468,R$525,FALSE())</f>
        <v>#N/A</v>
      </c>
      <c r="S502" s="0" t="e">
        <f aca="false">VLOOKUP($A502,content_factors_backup!$A$2:$Q$468,S$525,FALSE())</f>
        <v>#N/A</v>
      </c>
      <c r="T502" s="0" t="e">
        <f aca="false">VLOOKUP($A502,content_factors_backup!$A$2:$Q$468,T$525,FALSE())</f>
        <v>#N/A</v>
      </c>
      <c r="U502" s="0" t="e">
        <f aca="false">VLOOKUP($A502,content_factors_backup!$A$2:$Q$468,U$525,FALSE())</f>
        <v>#N/A</v>
      </c>
      <c r="V502" s="0" t="e">
        <f aca="false">VLOOKUP($A502,content_factors_backup!$A$2:$Q$468,V$525,FALSE())</f>
        <v>#N/A</v>
      </c>
      <c r="W502" s="0" t="e">
        <f aca="false">VLOOKUP($A502,content_factors_backup!$A$2:$Q$468,W$525,FALSE())</f>
        <v>#N/A</v>
      </c>
    </row>
    <row r="503" customFormat="false" ht="14.25" hidden="false" customHeight="false" outlineLevel="0" collapsed="false">
      <c r="A503" s="0" t="n">
        <v>1183</v>
      </c>
      <c r="B503" s="0" t="s">
        <v>1154</v>
      </c>
      <c r="C503" s="0" t="s">
        <v>1155</v>
      </c>
      <c r="E503" s="0" t="n">
        <v>152190</v>
      </c>
      <c r="F503" s="0" t="n">
        <v>152190</v>
      </c>
      <c r="G503" s="0" t="n">
        <v>2960.01</v>
      </c>
      <c r="I503" s="0" t="n">
        <f aca="false">VLOOKUP($A503,content_factors_backup!$A$2:$Q$468,I$525,FALSE())</f>
        <v>90</v>
      </c>
      <c r="J503" s="0" t="e">
        <f aca="false">VLOOKUP($A503,content_factors_backup!$A$2:$Q$468,J$525,FALSE())</f>
        <v>#N/A</v>
      </c>
      <c r="K503" s="0" t="e">
        <f aca="false">VLOOKUP($A503,content_factors_backup!$A$2:$Q$468,K$525,FALSE())</f>
        <v>#N/A</v>
      </c>
      <c r="L503" s="0" t="e">
        <f aca="false">VLOOKUP($A503,content_factors_backup!$A$2:$Q$468,L$525,FALSE())</f>
        <v>#N/A</v>
      </c>
      <c r="M503" s="0" t="e">
        <f aca="false">VLOOKUP($A503,content_factors_backup!$A$2:$Q$468,M$525,FALSE())</f>
        <v>#N/A</v>
      </c>
      <c r="N503" s="0" t="e">
        <f aca="false">VLOOKUP($A503,content_factors_backup!$A$2:$Q$468,N$525,FALSE())</f>
        <v>#N/A</v>
      </c>
      <c r="O503" s="0" t="e">
        <f aca="false">VLOOKUP($A503,content_factors_backup!$A$2:$Q$468,O$525,FALSE())</f>
        <v>#N/A</v>
      </c>
      <c r="P503" s="0" t="e">
        <f aca="false">VLOOKUP($A503,content_factors_backup!$A$2:$Q$468,P$525,FALSE())</f>
        <v>#N/A</v>
      </c>
      <c r="Q503" s="0" t="e">
        <f aca="false">VLOOKUP($A503,content_factors_backup!$A$2:$Q$468,Q$525,FALSE())</f>
        <v>#N/A</v>
      </c>
      <c r="R503" s="0" t="e">
        <f aca="false">VLOOKUP($A503,content_factors_backup!$A$2:$Q$468,R$525,FALSE())</f>
        <v>#N/A</v>
      </c>
      <c r="S503" s="0" t="e">
        <f aca="false">VLOOKUP($A503,content_factors_backup!$A$2:$Q$468,S$525,FALSE())</f>
        <v>#N/A</v>
      </c>
      <c r="T503" s="0" t="e">
        <f aca="false">VLOOKUP($A503,content_factors_backup!$A$2:$Q$468,T$525,FALSE())</f>
        <v>#N/A</v>
      </c>
      <c r="U503" s="0" t="e">
        <f aca="false">VLOOKUP($A503,content_factors_backup!$A$2:$Q$468,U$525,FALSE())</f>
        <v>#N/A</v>
      </c>
      <c r="V503" s="0" t="e">
        <f aca="false">VLOOKUP($A503,content_factors_backup!$A$2:$Q$468,V$525,FALSE())</f>
        <v>#N/A</v>
      </c>
      <c r="W503" s="0" t="e">
        <f aca="false">VLOOKUP($A503,content_factors_backup!$A$2:$Q$468,W$525,FALSE())</f>
        <v>#N/A</v>
      </c>
    </row>
    <row r="504" customFormat="false" ht="14.25" hidden="false" customHeight="false" outlineLevel="0" collapsed="false">
      <c r="A504" s="0" t="n">
        <v>1185</v>
      </c>
      <c r="B504" s="0" t="s">
        <v>1156</v>
      </c>
      <c r="C504" s="0" t="s">
        <v>1157</v>
      </c>
      <c r="E504" s="0" t="n">
        <v>500100</v>
      </c>
      <c r="F504" s="0" t="n">
        <v>500100</v>
      </c>
      <c r="G504" s="0" t="n">
        <v>2944</v>
      </c>
      <c r="I504" s="0" t="n">
        <f aca="false">VLOOKUP($A504,content_factors_backup!$A$2:$Q$468,I$525,FALSE())</f>
        <v>90</v>
      </c>
      <c r="J504" s="0" t="e">
        <f aca="false">VLOOKUP($A504,content_factors_backup!$A$2:$Q$468,J$525,FALSE())</f>
        <v>#N/A</v>
      </c>
      <c r="K504" s="0" t="e">
        <f aca="false">VLOOKUP($A504,content_factors_backup!$A$2:$Q$468,K$525,FALSE())</f>
        <v>#N/A</v>
      </c>
      <c r="L504" s="0" t="e">
        <f aca="false">VLOOKUP($A504,content_factors_backup!$A$2:$Q$468,L$525,FALSE())</f>
        <v>#N/A</v>
      </c>
      <c r="M504" s="0" t="e">
        <f aca="false">VLOOKUP($A504,content_factors_backup!$A$2:$Q$468,M$525,FALSE())</f>
        <v>#N/A</v>
      </c>
      <c r="N504" s="0" t="e">
        <f aca="false">VLOOKUP($A504,content_factors_backup!$A$2:$Q$468,N$525,FALSE())</f>
        <v>#N/A</v>
      </c>
      <c r="O504" s="0" t="e">
        <f aca="false">VLOOKUP($A504,content_factors_backup!$A$2:$Q$468,O$525,FALSE())</f>
        <v>#N/A</v>
      </c>
      <c r="P504" s="0" t="e">
        <f aca="false">VLOOKUP($A504,content_factors_backup!$A$2:$Q$468,P$525,FALSE())</f>
        <v>#N/A</v>
      </c>
      <c r="Q504" s="0" t="e">
        <f aca="false">VLOOKUP($A504,content_factors_backup!$A$2:$Q$468,Q$525,FALSE())</f>
        <v>#N/A</v>
      </c>
      <c r="R504" s="0" t="e">
        <f aca="false">VLOOKUP($A504,content_factors_backup!$A$2:$Q$468,R$525,FALSE())</f>
        <v>#N/A</v>
      </c>
      <c r="S504" s="0" t="e">
        <f aca="false">VLOOKUP($A504,content_factors_backup!$A$2:$Q$468,S$525,FALSE())</f>
        <v>#N/A</v>
      </c>
      <c r="T504" s="0" t="e">
        <f aca="false">VLOOKUP($A504,content_factors_backup!$A$2:$Q$468,T$525,FALSE())</f>
        <v>#N/A</v>
      </c>
      <c r="U504" s="0" t="e">
        <f aca="false">VLOOKUP($A504,content_factors_backup!$A$2:$Q$468,U$525,FALSE())</f>
        <v>#N/A</v>
      </c>
      <c r="V504" s="0" t="e">
        <f aca="false">VLOOKUP($A504,content_factors_backup!$A$2:$Q$468,V$525,FALSE())</f>
        <v>#N/A</v>
      </c>
      <c r="W504" s="0" t="e">
        <f aca="false">VLOOKUP($A504,content_factors_backup!$A$2:$Q$468,W$525,FALSE())</f>
        <v>#N/A</v>
      </c>
    </row>
    <row r="505" customFormat="false" ht="14.25" hidden="false" customHeight="false" outlineLevel="0" collapsed="false">
      <c r="A505" s="0" t="n">
        <v>1186</v>
      </c>
      <c r="B505" s="0" t="s">
        <v>1158</v>
      </c>
      <c r="C505" s="0" t="s">
        <v>1159</v>
      </c>
      <c r="E505" s="0" t="n">
        <v>500200</v>
      </c>
      <c r="F505" s="0" t="n">
        <v>500200</v>
      </c>
      <c r="G505" s="0" t="n">
        <v>26110</v>
      </c>
      <c r="I505" s="0" t="n">
        <f aca="false">VLOOKUP($A505,content_factors_backup!$A$2:$Q$468,I$525,FALSE())</f>
        <v>0</v>
      </c>
      <c r="J505" s="0" t="e">
        <f aca="false">VLOOKUP($A505,content_factors_backup!$A$2:$Q$468,J$525,FALSE())</f>
        <v>#N/A</v>
      </c>
      <c r="K505" s="0" t="e">
        <f aca="false">VLOOKUP($A505,content_factors_backup!$A$2:$Q$468,K$525,FALSE())</f>
        <v>#N/A</v>
      </c>
      <c r="L505" s="0" t="e">
        <f aca="false">VLOOKUP($A505,content_factors_backup!$A$2:$Q$468,L$525,FALSE())</f>
        <v>#N/A</v>
      </c>
      <c r="M505" s="0" t="e">
        <f aca="false">VLOOKUP($A505,content_factors_backup!$A$2:$Q$468,M$525,FALSE())</f>
        <v>#N/A</v>
      </c>
      <c r="N505" s="0" t="e">
        <f aca="false">VLOOKUP($A505,content_factors_backup!$A$2:$Q$468,N$525,FALSE())</f>
        <v>#N/A</v>
      </c>
      <c r="O505" s="0" t="e">
        <f aca="false">VLOOKUP($A505,content_factors_backup!$A$2:$Q$468,O$525,FALSE())</f>
        <v>#N/A</v>
      </c>
      <c r="P505" s="0" t="e">
        <f aca="false">VLOOKUP($A505,content_factors_backup!$A$2:$Q$468,P$525,FALSE())</f>
        <v>#N/A</v>
      </c>
      <c r="Q505" s="0" t="e">
        <f aca="false">VLOOKUP($A505,content_factors_backup!$A$2:$Q$468,Q$525,FALSE())</f>
        <v>#N/A</v>
      </c>
      <c r="R505" s="0" t="e">
        <f aca="false">VLOOKUP($A505,content_factors_backup!$A$2:$Q$468,R$525,FALSE())</f>
        <v>#N/A</v>
      </c>
      <c r="S505" s="0" t="e">
        <f aca="false">VLOOKUP($A505,content_factors_backup!$A$2:$Q$468,S$525,FALSE())</f>
        <v>#N/A</v>
      </c>
      <c r="T505" s="0" t="e">
        <f aca="false">VLOOKUP($A505,content_factors_backup!$A$2:$Q$468,T$525,FALSE())</f>
        <v>#N/A</v>
      </c>
      <c r="U505" s="0" t="e">
        <f aca="false">VLOOKUP($A505,content_factors_backup!$A$2:$Q$468,U$525,FALSE())</f>
        <v>#N/A</v>
      </c>
      <c r="V505" s="0" t="e">
        <f aca="false">VLOOKUP($A505,content_factors_backup!$A$2:$Q$468,V$525,FALSE())</f>
        <v>#N/A</v>
      </c>
      <c r="W505" s="0" t="e">
        <f aca="false">VLOOKUP($A505,content_factors_backup!$A$2:$Q$468,W$525,FALSE())</f>
        <v>#N/A</v>
      </c>
    </row>
    <row r="506" customFormat="false" ht="14.25" hidden="false" customHeight="false" outlineLevel="0" collapsed="false">
      <c r="A506" s="0" t="n">
        <v>1187</v>
      </c>
      <c r="B506" s="0" t="s">
        <v>1160</v>
      </c>
      <c r="C506" s="0" t="s">
        <v>1161</v>
      </c>
      <c r="E506" s="0" t="n">
        <v>500300</v>
      </c>
      <c r="F506" s="0" t="n">
        <v>500300</v>
      </c>
      <c r="G506" s="0" t="n">
        <v>39211</v>
      </c>
      <c r="I506" s="0" t="n">
        <f aca="false">VLOOKUP($A506,content_factors_backup!$A$2:$Q$468,I$525,FALSE())</f>
        <v>0</v>
      </c>
      <c r="J506" s="0" t="e">
        <f aca="false">VLOOKUP($A506,content_factors_backup!$A$2:$Q$468,J$525,FALSE())</f>
        <v>#N/A</v>
      </c>
      <c r="K506" s="0" t="e">
        <f aca="false">VLOOKUP($A506,content_factors_backup!$A$2:$Q$468,K$525,FALSE())</f>
        <v>#N/A</v>
      </c>
      <c r="L506" s="0" t="e">
        <f aca="false">VLOOKUP($A506,content_factors_backup!$A$2:$Q$468,L$525,FALSE())</f>
        <v>#N/A</v>
      </c>
      <c r="M506" s="0" t="e">
        <f aca="false">VLOOKUP($A506,content_factors_backup!$A$2:$Q$468,M$525,FALSE())</f>
        <v>#N/A</v>
      </c>
      <c r="N506" s="0" t="e">
        <f aca="false">VLOOKUP($A506,content_factors_backup!$A$2:$Q$468,N$525,FALSE())</f>
        <v>#N/A</v>
      </c>
      <c r="O506" s="0" t="e">
        <f aca="false">VLOOKUP($A506,content_factors_backup!$A$2:$Q$468,O$525,FALSE())</f>
        <v>#N/A</v>
      </c>
      <c r="P506" s="0" t="e">
        <f aca="false">VLOOKUP($A506,content_factors_backup!$A$2:$Q$468,P$525,FALSE())</f>
        <v>#N/A</v>
      </c>
      <c r="Q506" s="0" t="e">
        <f aca="false">VLOOKUP($A506,content_factors_backup!$A$2:$Q$468,Q$525,FALSE())</f>
        <v>#N/A</v>
      </c>
      <c r="R506" s="0" t="e">
        <f aca="false">VLOOKUP($A506,content_factors_backup!$A$2:$Q$468,R$525,FALSE())</f>
        <v>#N/A</v>
      </c>
      <c r="S506" s="0" t="e">
        <f aca="false">VLOOKUP($A506,content_factors_backup!$A$2:$Q$468,S$525,FALSE())</f>
        <v>#N/A</v>
      </c>
      <c r="T506" s="0" t="e">
        <f aca="false">VLOOKUP($A506,content_factors_backup!$A$2:$Q$468,T$525,FALSE())</f>
        <v>#N/A</v>
      </c>
      <c r="U506" s="0" t="e">
        <f aca="false">VLOOKUP($A506,content_factors_backup!$A$2:$Q$468,U$525,FALSE())</f>
        <v>#N/A</v>
      </c>
      <c r="V506" s="0" t="e">
        <f aca="false">VLOOKUP($A506,content_factors_backup!$A$2:$Q$468,V$525,FALSE())</f>
        <v>#N/A</v>
      </c>
      <c r="W506" s="0" t="e">
        <f aca="false">VLOOKUP($A506,content_factors_backup!$A$2:$Q$468,W$525,FALSE())</f>
        <v>#N/A</v>
      </c>
    </row>
    <row r="507" customFormat="false" ht="14.25" hidden="false" customHeight="false" outlineLevel="0" collapsed="false">
      <c r="A507" s="0" t="n">
        <v>1213</v>
      </c>
      <c r="B507" s="0" t="s">
        <v>1162</v>
      </c>
      <c r="C507" s="0" t="s">
        <v>1163</v>
      </c>
      <c r="E507" s="0" t="s">
        <v>1164</v>
      </c>
      <c r="F507" s="0" t="s">
        <v>1164</v>
      </c>
      <c r="G507" s="0" t="n">
        <v>2959.91</v>
      </c>
      <c r="I507" s="0" t="n">
        <f aca="false">VLOOKUP($A507,content_factors_backup!$A$2:$Q$468,I$525,FALSE())</f>
        <v>0</v>
      </c>
      <c r="J507" s="0" t="e">
        <f aca="false">VLOOKUP($A507,content_factors_backup!$A$2:$Q$468,J$525,FALSE())</f>
        <v>#N/A</v>
      </c>
      <c r="K507" s="0" t="e">
        <f aca="false">VLOOKUP($A507,content_factors_backup!$A$2:$Q$468,K$525,FALSE())</f>
        <v>#N/A</v>
      </c>
      <c r="L507" s="0" t="e">
        <f aca="false">VLOOKUP($A507,content_factors_backup!$A$2:$Q$468,L$525,FALSE())</f>
        <v>#N/A</v>
      </c>
      <c r="M507" s="0" t="e">
        <f aca="false">VLOOKUP($A507,content_factors_backup!$A$2:$Q$468,M$525,FALSE())</f>
        <v>#N/A</v>
      </c>
      <c r="N507" s="0" t="e">
        <f aca="false">VLOOKUP($A507,content_factors_backup!$A$2:$Q$468,N$525,FALSE())</f>
        <v>#N/A</v>
      </c>
      <c r="O507" s="0" t="e">
        <f aca="false">VLOOKUP($A507,content_factors_backup!$A$2:$Q$468,O$525,FALSE())</f>
        <v>#N/A</v>
      </c>
      <c r="P507" s="0" t="e">
        <f aca="false">VLOOKUP($A507,content_factors_backup!$A$2:$Q$468,P$525,FALSE())</f>
        <v>#N/A</v>
      </c>
      <c r="Q507" s="0" t="e">
        <f aca="false">VLOOKUP($A507,content_factors_backup!$A$2:$Q$468,Q$525,FALSE())</f>
        <v>#N/A</v>
      </c>
      <c r="R507" s="0" t="e">
        <f aca="false">VLOOKUP($A507,content_factors_backup!$A$2:$Q$468,R$525,FALSE())</f>
        <v>#N/A</v>
      </c>
      <c r="S507" s="0" t="e">
        <f aca="false">VLOOKUP($A507,content_factors_backup!$A$2:$Q$468,S$525,FALSE())</f>
        <v>#N/A</v>
      </c>
      <c r="T507" s="0" t="e">
        <f aca="false">VLOOKUP($A507,content_factors_backup!$A$2:$Q$468,T$525,FALSE())</f>
        <v>#N/A</v>
      </c>
      <c r="U507" s="0" t="e">
        <f aca="false">VLOOKUP($A507,content_factors_backup!$A$2:$Q$468,U$525,FALSE())</f>
        <v>#N/A</v>
      </c>
      <c r="V507" s="0" t="e">
        <f aca="false">VLOOKUP($A507,content_factors_backup!$A$2:$Q$468,V$525,FALSE())</f>
        <v>#N/A</v>
      </c>
      <c r="W507" s="0" t="e">
        <f aca="false">VLOOKUP($A507,content_factors_backup!$A$2:$Q$468,W$525,FALSE())</f>
        <v>#N/A</v>
      </c>
    </row>
    <row r="508" customFormat="false" ht="14.25" hidden="false" customHeight="false" outlineLevel="0" collapsed="false">
      <c r="A508" s="0" t="n">
        <v>1216</v>
      </c>
      <c r="B508" s="0" t="s">
        <v>1165</v>
      </c>
      <c r="C508" s="0" t="s">
        <v>1109</v>
      </c>
      <c r="E508" s="0" t="s">
        <v>1164</v>
      </c>
      <c r="F508" s="0" t="s">
        <v>1164</v>
      </c>
      <c r="G508" s="0" t="n">
        <v>2959.99</v>
      </c>
      <c r="I508" s="0" t="n">
        <f aca="false">VLOOKUP($A508,content_factors_backup!$A$2:$Q$468,I$525,FALSE())</f>
        <v>0</v>
      </c>
      <c r="J508" s="0" t="e">
        <f aca="false">VLOOKUP($A508,content_factors_backup!$A$2:$Q$468,J$525,FALSE())</f>
        <v>#N/A</v>
      </c>
      <c r="K508" s="0" t="e">
        <f aca="false">VLOOKUP($A508,content_factors_backup!$A$2:$Q$468,K$525,FALSE())</f>
        <v>#N/A</v>
      </c>
      <c r="L508" s="0" t="e">
        <f aca="false">VLOOKUP($A508,content_factors_backup!$A$2:$Q$468,L$525,FALSE())</f>
        <v>#N/A</v>
      </c>
      <c r="M508" s="0" t="e">
        <f aca="false">VLOOKUP($A508,content_factors_backup!$A$2:$Q$468,M$525,FALSE())</f>
        <v>#N/A</v>
      </c>
      <c r="N508" s="0" t="e">
        <f aca="false">VLOOKUP($A508,content_factors_backup!$A$2:$Q$468,N$525,FALSE())</f>
        <v>#N/A</v>
      </c>
      <c r="O508" s="0" t="e">
        <f aca="false">VLOOKUP($A508,content_factors_backup!$A$2:$Q$468,O$525,FALSE())</f>
        <v>#N/A</v>
      </c>
      <c r="P508" s="0" t="e">
        <f aca="false">VLOOKUP($A508,content_factors_backup!$A$2:$Q$468,P$525,FALSE())</f>
        <v>#N/A</v>
      </c>
      <c r="Q508" s="0" t="e">
        <f aca="false">VLOOKUP($A508,content_factors_backup!$A$2:$Q$468,Q$525,FALSE())</f>
        <v>#N/A</v>
      </c>
      <c r="R508" s="0" t="e">
        <f aca="false">VLOOKUP($A508,content_factors_backup!$A$2:$Q$468,R$525,FALSE())</f>
        <v>#N/A</v>
      </c>
      <c r="S508" s="0" t="e">
        <f aca="false">VLOOKUP($A508,content_factors_backup!$A$2:$Q$468,S$525,FALSE())</f>
        <v>#N/A</v>
      </c>
      <c r="T508" s="0" t="e">
        <f aca="false">VLOOKUP($A508,content_factors_backup!$A$2:$Q$468,T$525,FALSE())</f>
        <v>#N/A</v>
      </c>
      <c r="U508" s="0" t="e">
        <f aca="false">VLOOKUP($A508,content_factors_backup!$A$2:$Q$468,U$525,FALSE())</f>
        <v>#N/A</v>
      </c>
      <c r="V508" s="0" t="e">
        <f aca="false">VLOOKUP($A508,content_factors_backup!$A$2:$Q$468,V$525,FALSE())</f>
        <v>#N/A</v>
      </c>
      <c r="W508" s="0" t="e">
        <f aca="false">VLOOKUP($A508,content_factors_backup!$A$2:$Q$468,W$525,FALSE())</f>
        <v>#N/A</v>
      </c>
    </row>
    <row r="509" customFormat="false" ht="14.25" hidden="false" customHeight="false" outlineLevel="0" collapsed="false">
      <c r="A509" s="0" t="n">
        <v>1218</v>
      </c>
      <c r="B509" s="0" t="s">
        <v>1166</v>
      </c>
      <c r="C509" s="0" t="s">
        <v>1167</v>
      </c>
      <c r="E509" s="0" t="n">
        <v>510219</v>
      </c>
      <c r="F509" s="0" t="n">
        <v>510219</v>
      </c>
      <c r="G509" s="0" t="n">
        <v>2943.02</v>
      </c>
      <c r="I509" s="0" t="n">
        <f aca="false">VLOOKUP($A509,content_factors_backup!$A$2:$Q$468,I$525,FALSE())</f>
        <v>0</v>
      </c>
      <c r="J509" s="0" t="e">
        <f aca="false">VLOOKUP($A509,content_factors_backup!$A$2:$Q$468,J$525,FALSE())</f>
        <v>#N/A</v>
      </c>
      <c r="K509" s="0" t="e">
        <f aca="false">VLOOKUP($A509,content_factors_backup!$A$2:$Q$468,K$525,FALSE())</f>
        <v>#N/A</v>
      </c>
      <c r="L509" s="0" t="e">
        <f aca="false">VLOOKUP($A509,content_factors_backup!$A$2:$Q$468,L$525,FALSE())</f>
        <v>#N/A</v>
      </c>
      <c r="M509" s="0" t="e">
        <f aca="false">VLOOKUP($A509,content_factors_backup!$A$2:$Q$468,M$525,FALSE())</f>
        <v>#N/A</v>
      </c>
      <c r="N509" s="0" t="e">
        <f aca="false">VLOOKUP($A509,content_factors_backup!$A$2:$Q$468,N$525,FALSE())</f>
        <v>#N/A</v>
      </c>
      <c r="O509" s="0" t="e">
        <f aca="false">VLOOKUP($A509,content_factors_backup!$A$2:$Q$468,O$525,FALSE())</f>
        <v>#N/A</v>
      </c>
      <c r="P509" s="0" t="e">
        <f aca="false">VLOOKUP($A509,content_factors_backup!$A$2:$Q$468,P$525,FALSE())</f>
        <v>#N/A</v>
      </c>
      <c r="Q509" s="0" t="e">
        <f aca="false">VLOOKUP($A509,content_factors_backup!$A$2:$Q$468,Q$525,FALSE())</f>
        <v>#N/A</v>
      </c>
      <c r="R509" s="0" t="e">
        <f aca="false">VLOOKUP($A509,content_factors_backup!$A$2:$Q$468,R$525,FALSE())</f>
        <v>#N/A</v>
      </c>
      <c r="S509" s="0" t="e">
        <f aca="false">VLOOKUP($A509,content_factors_backup!$A$2:$Q$468,S$525,FALSE())</f>
        <v>#N/A</v>
      </c>
      <c r="T509" s="0" t="e">
        <f aca="false">VLOOKUP($A509,content_factors_backup!$A$2:$Q$468,T$525,FALSE())</f>
        <v>#N/A</v>
      </c>
      <c r="U509" s="0" t="e">
        <f aca="false">VLOOKUP($A509,content_factors_backup!$A$2:$Q$468,U$525,FALSE())</f>
        <v>#N/A</v>
      </c>
      <c r="V509" s="0" t="e">
        <f aca="false">VLOOKUP($A509,content_factors_backup!$A$2:$Q$468,V$525,FALSE())</f>
        <v>#N/A</v>
      </c>
      <c r="W509" s="0" t="e">
        <f aca="false">VLOOKUP($A509,content_factors_backup!$A$2:$Q$468,W$525,FALSE())</f>
        <v>#N/A</v>
      </c>
    </row>
    <row r="510" customFormat="false" ht="14.25" hidden="false" customHeight="false" outlineLevel="0" collapsed="false">
      <c r="A510" s="0" t="n">
        <v>1225</v>
      </c>
      <c r="B510" s="0" t="s">
        <v>1168</v>
      </c>
      <c r="C510" s="0" t="s">
        <v>1169</v>
      </c>
      <c r="E510" s="0" t="n">
        <v>150200</v>
      </c>
      <c r="F510" s="0" t="n">
        <v>150210</v>
      </c>
      <c r="G510" s="0" t="n">
        <v>21523</v>
      </c>
      <c r="I510" s="0" t="n">
        <f aca="false">VLOOKUP($A510,content_factors_backup!$A$2:$Q$468,I$525,FALSE())</f>
        <v>0</v>
      </c>
      <c r="J510" s="0" t="e">
        <f aca="false">VLOOKUP($A510,content_factors_backup!$A$2:$Q$468,J$525,FALSE())</f>
        <v>#N/A</v>
      </c>
      <c r="K510" s="0" t="e">
        <f aca="false">VLOOKUP($A510,content_factors_backup!$A$2:$Q$468,K$525,FALSE())</f>
        <v>#N/A</v>
      </c>
      <c r="L510" s="0" t="e">
        <f aca="false">VLOOKUP($A510,content_factors_backup!$A$2:$Q$468,L$525,FALSE())</f>
        <v>#N/A</v>
      </c>
      <c r="M510" s="0" t="e">
        <f aca="false">VLOOKUP($A510,content_factors_backup!$A$2:$Q$468,M$525,FALSE())</f>
        <v>#N/A</v>
      </c>
      <c r="N510" s="0" t="e">
        <f aca="false">VLOOKUP($A510,content_factors_backup!$A$2:$Q$468,N$525,FALSE())</f>
        <v>#N/A</v>
      </c>
      <c r="O510" s="0" t="e">
        <f aca="false">VLOOKUP($A510,content_factors_backup!$A$2:$Q$468,O$525,FALSE())</f>
        <v>#N/A</v>
      </c>
      <c r="P510" s="0" t="e">
        <f aca="false">VLOOKUP($A510,content_factors_backup!$A$2:$Q$468,P$525,FALSE())</f>
        <v>#N/A</v>
      </c>
      <c r="Q510" s="0" t="e">
        <f aca="false">VLOOKUP($A510,content_factors_backup!$A$2:$Q$468,Q$525,FALSE())</f>
        <v>#N/A</v>
      </c>
      <c r="R510" s="0" t="e">
        <f aca="false">VLOOKUP($A510,content_factors_backup!$A$2:$Q$468,R$525,FALSE())</f>
        <v>#N/A</v>
      </c>
      <c r="S510" s="0" t="e">
        <f aca="false">VLOOKUP($A510,content_factors_backup!$A$2:$Q$468,S$525,FALSE())</f>
        <v>#N/A</v>
      </c>
      <c r="T510" s="0" t="e">
        <f aca="false">VLOOKUP($A510,content_factors_backup!$A$2:$Q$468,T$525,FALSE())</f>
        <v>#N/A</v>
      </c>
      <c r="U510" s="0" t="e">
        <f aca="false">VLOOKUP($A510,content_factors_backup!$A$2:$Q$468,U$525,FALSE())</f>
        <v>#N/A</v>
      </c>
      <c r="V510" s="0" t="e">
        <f aca="false">VLOOKUP($A510,content_factors_backup!$A$2:$Q$468,V$525,FALSE())</f>
        <v>#N/A</v>
      </c>
      <c r="W510" s="0" t="e">
        <f aca="false">VLOOKUP($A510,content_factors_backup!$A$2:$Q$468,W$525,FALSE())</f>
        <v>#N/A</v>
      </c>
    </row>
    <row r="511" customFormat="false" ht="14.25" hidden="false" customHeight="false" outlineLevel="0" collapsed="false">
      <c r="A511" s="0" t="n">
        <v>1232</v>
      </c>
      <c r="B511" s="0" t="s">
        <v>1170</v>
      </c>
      <c r="C511" s="0" t="s">
        <v>1171</v>
      </c>
      <c r="E511" s="0" t="s">
        <v>1172</v>
      </c>
      <c r="F511" s="0" t="s">
        <v>1172</v>
      </c>
      <c r="G511" s="0" t="s">
        <v>1173</v>
      </c>
      <c r="I511" s="0" t="n">
        <f aca="false">VLOOKUP($A511,content_factors_backup!$A$2:$Q$468,I$525,FALSE())</f>
        <v>50</v>
      </c>
      <c r="J511" s="0" t="e">
        <f aca="false">VLOOKUP($A511,content_factors_backup!$A$2:$Q$468,J$525,FALSE())</f>
        <v>#N/A</v>
      </c>
      <c r="K511" s="0" t="e">
        <f aca="false">VLOOKUP($A511,content_factors_backup!$A$2:$Q$468,K$525,FALSE())</f>
        <v>#N/A</v>
      </c>
      <c r="L511" s="0" t="e">
        <f aca="false">VLOOKUP($A511,content_factors_backup!$A$2:$Q$468,L$525,FALSE())</f>
        <v>#N/A</v>
      </c>
      <c r="M511" s="0" t="e">
        <f aca="false">VLOOKUP($A511,content_factors_backup!$A$2:$Q$468,M$525,FALSE())</f>
        <v>#N/A</v>
      </c>
      <c r="N511" s="0" t="e">
        <f aca="false">VLOOKUP($A511,content_factors_backup!$A$2:$Q$468,N$525,FALSE())</f>
        <v>#N/A</v>
      </c>
      <c r="O511" s="0" t="e">
        <f aca="false">VLOOKUP($A511,content_factors_backup!$A$2:$Q$468,O$525,FALSE())</f>
        <v>#N/A</v>
      </c>
      <c r="P511" s="0" t="e">
        <f aca="false">VLOOKUP($A511,content_factors_backup!$A$2:$Q$468,P$525,FALSE())</f>
        <v>#N/A</v>
      </c>
      <c r="Q511" s="0" t="e">
        <f aca="false">VLOOKUP($A511,content_factors_backup!$A$2:$Q$468,Q$525,FALSE())</f>
        <v>#N/A</v>
      </c>
      <c r="R511" s="0" t="e">
        <f aca="false">VLOOKUP($A511,content_factors_backup!$A$2:$Q$468,R$525,FALSE())</f>
        <v>#N/A</v>
      </c>
      <c r="S511" s="0" t="e">
        <f aca="false">VLOOKUP($A511,content_factors_backup!$A$2:$Q$468,S$525,FALSE())</f>
        <v>#N/A</v>
      </c>
      <c r="T511" s="0" t="e">
        <f aca="false">VLOOKUP($A511,content_factors_backup!$A$2:$Q$468,T$525,FALSE())</f>
        <v>#N/A</v>
      </c>
      <c r="U511" s="0" t="e">
        <f aca="false">VLOOKUP($A511,content_factors_backup!$A$2:$Q$468,U$525,FALSE())</f>
        <v>#N/A</v>
      </c>
      <c r="V511" s="0" t="e">
        <f aca="false">VLOOKUP($A511,content_factors_backup!$A$2:$Q$468,V$525,FALSE())</f>
        <v>#N/A</v>
      </c>
      <c r="W511" s="0" t="e">
        <f aca="false">VLOOKUP($A511,content_factors_backup!$A$2:$Q$468,W$525,FALSE())</f>
        <v>#N/A</v>
      </c>
    </row>
    <row r="512" customFormat="false" ht="14.25" hidden="false" customHeight="false" outlineLevel="0" collapsed="false">
      <c r="A512" s="0" t="n">
        <v>1241</v>
      </c>
      <c r="B512" s="0" t="s">
        <v>1174</v>
      </c>
      <c r="C512" s="0" t="s">
        <v>1175</v>
      </c>
      <c r="E512" s="0" t="n">
        <v>151790</v>
      </c>
      <c r="F512" s="0" t="n">
        <v>151790</v>
      </c>
      <c r="G512" s="0" t="n">
        <v>21700.01</v>
      </c>
      <c r="I512" s="0" t="n">
        <f aca="false">VLOOKUP($A512,content_factors_backup!$A$2:$Q$468,I$525,FALSE())</f>
        <v>85</v>
      </c>
      <c r="J512" s="0" t="e">
        <f aca="false">VLOOKUP($A512,content_factors_backup!$A$2:$Q$468,J$525,FALSE())</f>
        <v>#N/A</v>
      </c>
      <c r="K512" s="0" t="e">
        <f aca="false">VLOOKUP($A512,content_factors_backup!$A$2:$Q$468,K$525,FALSE())</f>
        <v>#N/A</v>
      </c>
      <c r="L512" s="0" t="e">
        <f aca="false">VLOOKUP($A512,content_factors_backup!$A$2:$Q$468,L$525,FALSE())</f>
        <v>#N/A</v>
      </c>
      <c r="M512" s="0" t="e">
        <f aca="false">VLOOKUP($A512,content_factors_backup!$A$2:$Q$468,M$525,FALSE())</f>
        <v>#N/A</v>
      </c>
      <c r="N512" s="0" t="e">
        <f aca="false">VLOOKUP($A512,content_factors_backup!$A$2:$Q$468,N$525,FALSE())</f>
        <v>#N/A</v>
      </c>
      <c r="O512" s="0" t="e">
        <f aca="false">VLOOKUP($A512,content_factors_backup!$A$2:$Q$468,O$525,FALSE())</f>
        <v>#N/A</v>
      </c>
      <c r="P512" s="0" t="e">
        <f aca="false">VLOOKUP($A512,content_factors_backup!$A$2:$Q$468,P$525,FALSE())</f>
        <v>#N/A</v>
      </c>
      <c r="Q512" s="0" t="e">
        <f aca="false">VLOOKUP($A512,content_factors_backup!$A$2:$Q$468,Q$525,FALSE())</f>
        <v>#N/A</v>
      </c>
      <c r="R512" s="0" t="e">
        <f aca="false">VLOOKUP($A512,content_factors_backup!$A$2:$Q$468,R$525,FALSE())</f>
        <v>#N/A</v>
      </c>
      <c r="S512" s="0" t="e">
        <f aca="false">VLOOKUP($A512,content_factors_backup!$A$2:$Q$468,S$525,FALSE())</f>
        <v>#N/A</v>
      </c>
      <c r="T512" s="0" t="e">
        <f aca="false">VLOOKUP($A512,content_factors_backup!$A$2:$Q$468,T$525,FALSE())</f>
        <v>#N/A</v>
      </c>
      <c r="U512" s="0" t="e">
        <f aca="false">VLOOKUP($A512,content_factors_backup!$A$2:$Q$468,U$525,FALSE())</f>
        <v>#N/A</v>
      </c>
      <c r="V512" s="0" t="e">
        <f aca="false">VLOOKUP($A512,content_factors_backup!$A$2:$Q$468,V$525,FALSE())</f>
        <v>#N/A</v>
      </c>
      <c r="W512" s="0" t="e">
        <f aca="false">VLOOKUP($A512,content_factors_backup!$A$2:$Q$468,W$525,FALSE())</f>
        <v>#N/A</v>
      </c>
    </row>
    <row r="513" customFormat="false" ht="14.25" hidden="false" customHeight="false" outlineLevel="0" collapsed="false">
      <c r="A513" s="0" t="n">
        <v>1242</v>
      </c>
      <c r="B513" s="0" t="s">
        <v>1176</v>
      </c>
      <c r="C513" s="0" t="s">
        <v>1177</v>
      </c>
      <c r="E513" s="0" t="s">
        <v>1178</v>
      </c>
      <c r="F513" s="0" t="s">
        <v>1178</v>
      </c>
      <c r="G513" s="0" t="n">
        <v>21700.02</v>
      </c>
      <c r="I513" s="0" t="n">
        <f aca="false">VLOOKUP($A513,content_factors_backup!$A$2:$Q$468,I$525,FALSE())</f>
        <v>85</v>
      </c>
      <c r="J513" s="0" t="e">
        <f aca="false">VLOOKUP($A513,content_factors_backup!$A$2:$Q$468,J$525,FALSE())</f>
        <v>#N/A</v>
      </c>
      <c r="K513" s="0" t="e">
        <f aca="false">VLOOKUP($A513,content_factors_backup!$A$2:$Q$468,K$525,FALSE())</f>
        <v>#N/A</v>
      </c>
      <c r="L513" s="0" t="e">
        <f aca="false">VLOOKUP($A513,content_factors_backup!$A$2:$Q$468,L$525,FALSE())</f>
        <v>#N/A</v>
      </c>
      <c r="M513" s="0" t="e">
        <f aca="false">VLOOKUP($A513,content_factors_backup!$A$2:$Q$468,M$525,FALSE())</f>
        <v>#N/A</v>
      </c>
      <c r="N513" s="0" t="e">
        <f aca="false">VLOOKUP($A513,content_factors_backup!$A$2:$Q$468,N$525,FALSE())</f>
        <v>#N/A</v>
      </c>
      <c r="O513" s="0" t="e">
        <f aca="false">VLOOKUP($A513,content_factors_backup!$A$2:$Q$468,O$525,FALSE())</f>
        <v>#N/A</v>
      </c>
      <c r="P513" s="0" t="e">
        <f aca="false">VLOOKUP($A513,content_factors_backup!$A$2:$Q$468,P$525,FALSE())</f>
        <v>#N/A</v>
      </c>
      <c r="Q513" s="0" t="e">
        <f aca="false">VLOOKUP($A513,content_factors_backup!$A$2:$Q$468,Q$525,FALSE())</f>
        <v>#N/A</v>
      </c>
      <c r="R513" s="0" t="e">
        <f aca="false">VLOOKUP($A513,content_factors_backup!$A$2:$Q$468,R$525,FALSE())</f>
        <v>#N/A</v>
      </c>
      <c r="S513" s="0" t="e">
        <f aca="false">VLOOKUP($A513,content_factors_backup!$A$2:$Q$468,S$525,FALSE())</f>
        <v>#N/A</v>
      </c>
      <c r="T513" s="0" t="e">
        <f aca="false">VLOOKUP($A513,content_factors_backup!$A$2:$Q$468,T$525,FALSE())</f>
        <v>#N/A</v>
      </c>
      <c r="U513" s="0" t="e">
        <f aca="false">VLOOKUP($A513,content_factors_backup!$A$2:$Q$468,U$525,FALSE())</f>
        <v>#N/A</v>
      </c>
      <c r="V513" s="0" t="e">
        <f aca="false">VLOOKUP($A513,content_factors_backup!$A$2:$Q$468,V$525,FALSE())</f>
        <v>#N/A</v>
      </c>
      <c r="W513" s="0" t="e">
        <f aca="false">VLOOKUP($A513,content_factors_backup!$A$2:$Q$468,W$525,FALSE())</f>
        <v>#N/A</v>
      </c>
    </row>
    <row r="514" customFormat="false" ht="14.25" hidden="false" customHeight="false" outlineLevel="0" collapsed="false">
      <c r="A514" s="0" t="n">
        <v>1243</v>
      </c>
      <c r="B514" s="0" t="s">
        <v>1179</v>
      </c>
      <c r="C514" s="0" t="s">
        <v>1180</v>
      </c>
      <c r="E514" s="0" t="s">
        <v>1181</v>
      </c>
      <c r="F514" s="0" t="s">
        <v>1181</v>
      </c>
      <c r="G514" s="0" t="s">
        <v>1182</v>
      </c>
      <c r="I514" s="0" t="n">
        <f aca="false">VLOOKUP($A514,content_factors_backup!$A$2:$Q$468,I$525,FALSE())</f>
        <v>100</v>
      </c>
      <c r="J514" s="0" t="e">
        <f aca="false">VLOOKUP($A514,content_factors_backup!$A$2:$Q$468,J$525,FALSE())</f>
        <v>#N/A</v>
      </c>
      <c r="K514" s="0" t="e">
        <f aca="false">VLOOKUP($A514,content_factors_backup!$A$2:$Q$468,K$525,FALSE())</f>
        <v>#N/A</v>
      </c>
      <c r="L514" s="0" t="e">
        <f aca="false">VLOOKUP($A514,content_factors_backup!$A$2:$Q$468,L$525,FALSE())</f>
        <v>#N/A</v>
      </c>
      <c r="M514" s="0" t="e">
        <f aca="false">VLOOKUP($A514,content_factors_backup!$A$2:$Q$468,M$525,FALSE())</f>
        <v>#N/A</v>
      </c>
      <c r="N514" s="0" t="e">
        <f aca="false">VLOOKUP($A514,content_factors_backup!$A$2:$Q$468,N$525,FALSE())</f>
        <v>#N/A</v>
      </c>
      <c r="O514" s="0" t="e">
        <f aca="false">VLOOKUP($A514,content_factors_backup!$A$2:$Q$468,O$525,FALSE())</f>
        <v>#N/A</v>
      </c>
      <c r="P514" s="0" t="e">
        <f aca="false">VLOOKUP($A514,content_factors_backup!$A$2:$Q$468,P$525,FALSE())</f>
        <v>#N/A</v>
      </c>
      <c r="Q514" s="0" t="e">
        <f aca="false">VLOOKUP($A514,content_factors_backup!$A$2:$Q$468,Q$525,FALSE())</f>
        <v>#N/A</v>
      </c>
      <c r="R514" s="0" t="e">
        <f aca="false">VLOOKUP($A514,content_factors_backup!$A$2:$Q$468,R$525,FALSE())</f>
        <v>#N/A</v>
      </c>
      <c r="S514" s="0" t="e">
        <f aca="false">VLOOKUP($A514,content_factors_backup!$A$2:$Q$468,S$525,FALSE())</f>
        <v>#N/A</v>
      </c>
      <c r="T514" s="0" t="e">
        <f aca="false">VLOOKUP($A514,content_factors_backup!$A$2:$Q$468,T$525,FALSE())</f>
        <v>#N/A</v>
      </c>
      <c r="U514" s="0" t="e">
        <f aca="false">VLOOKUP($A514,content_factors_backup!$A$2:$Q$468,U$525,FALSE())</f>
        <v>#N/A</v>
      </c>
      <c r="V514" s="0" t="e">
        <f aca="false">VLOOKUP($A514,content_factors_backup!$A$2:$Q$468,V$525,FALSE())</f>
        <v>#N/A</v>
      </c>
      <c r="W514" s="0" t="e">
        <f aca="false">VLOOKUP($A514,content_factors_backup!$A$2:$Q$468,W$525,FALSE())</f>
        <v>#N/A</v>
      </c>
    </row>
    <row r="515" customFormat="false" ht="14.25" hidden="false" customHeight="false" outlineLevel="0" collapsed="false">
      <c r="A515" s="0" t="n">
        <v>1274</v>
      </c>
      <c r="B515" s="0" t="s">
        <v>1183</v>
      </c>
      <c r="C515" s="0" t="s">
        <v>1184</v>
      </c>
      <c r="E515" s="0" t="n">
        <v>151800</v>
      </c>
      <c r="F515" s="0" t="n">
        <v>151800</v>
      </c>
      <c r="G515" s="0" t="n">
        <v>34550</v>
      </c>
      <c r="I515" s="0" t="n">
        <f aca="false">VLOOKUP($A515,content_factors_backup!$A$2:$Q$468,I$525,FALSE())</f>
        <v>100</v>
      </c>
      <c r="J515" s="0" t="e">
        <f aca="false">VLOOKUP($A515,content_factors_backup!$A$2:$Q$468,J$525,FALSE())</f>
        <v>#N/A</v>
      </c>
      <c r="K515" s="0" t="e">
        <f aca="false">VLOOKUP($A515,content_factors_backup!$A$2:$Q$468,K$525,FALSE())</f>
        <v>#N/A</v>
      </c>
      <c r="L515" s="0" t="e">
        <f aca="false">VLOOKUP($A515,content_factors_backup!$A$2:$Q$468,L$525,FALSE())</f>
        <v>#N/A</v>
      </c>
      <c r="M515" s="0" t="e">
        <f aca="false">VLOOKUP($A515,content_factors_backup!$A$2:$Q$468,M$525,FALSE())</f>
        <v>#N/A</v>
      </c>
      <c r="N515" s="0" t="e">
        <f aca="false">VLOOKUP($A515,content_factors_backup!$A$2:$Q$468,N$525,FALSE())</f>
        <v>#N/A</v>
      </c>
      <c r="O515" s="0" t="e">
        <f aca="false">VLOOKUP($A515,content_factors_backup!$A$2:$Q$468,O$525,FALSE())</f>
        <v>#N/A</v>
      </c>
      <c r="P515" s="0" t="e">
        <f aca="false">VLOOKUP($A515,content_factors_backup!$A$2:$Q$468,P$525,FALSE())</f>
        <v>#N/A</v>
      </c>
      <c r="Q515" s="0" t="e">
        <f aca="false">VLOOKUP($A515,content_factors_backup!$A$2:$Q$468,Q$525,FALSE())</f>
        <v>#N/A</v>
      </c>
      <c r="R515" s="0" t="e">
        <f aca="false">VLOOKUP($A515,content_factors_backup!$A$2:$Q$468,R$525,FALSE())</f>
        <v>#N/A</v>
      </c>
      <c r="S515" s="0" t="e">
        <f aca="false">VLOOKUP($A515,content_factors_backup!$A$2:$Q$468,S$525,FALSE())</f>
        <v>#N/A</v>
      </c>
      <c r="T515" s="0" t="e">
        <f aca="false">VLOOKUP($A515,content_factors_backup!$A$2:$Q$468,T$525,FALSE())</f>
        <v>#N/A</v>
      </c>
      <c r="U515" s="0" t="e">
        <f aca="false">VLOOKUP($A515,content_factors_backup!$A$2:$Q$468,U$525,FALSE())</f>
        <v>#N/A</v>
      </c>
      <c r="V515" s="0" t="e">
        <f aca="false">VLOOKUP($A515,content_factors_backup!$A$2:$Q$468,V$525,FALSE())</f>
        <v>#N/A</v>
      </c>
      <c r="W515" s="0" t="e">
        <f aca="false">VLOOKUP($A515,content_factors_backup!$A$2:$Q$468,W$525,FALSE())</f>
        <v>#N/A</v>
      </c>
    </row>
    <row r="516" customFormat="false" ht="14.25" hidden="false" customHeight="false" outlineLevel="0" collapsed="false">
      <c r="A516" s="0" t="n">
        <v>1276</v>
      </c>
      <c r="B516" s="0" t="s">
        <v>1185</v>
      </c>
      <c r="C516" s="0" t="s">
        <v>1186</v>
      </c>
      <c r="E516" s="0" t="s">
        <v>1187</v>
      </c>
      <c r="F516" s="0" t="s">
        <v>1187</v>
      </c>
      <c r="G516" s="0" t="n">
        <v>34120</v>
      </c>
      <c r="I516" s="0" t="n">
        <f aca="false">VLOOKUP($A516,content_factors_backup!$A$2:$Q$468,I$525,FALSE())</f>
        <v>100</v>
      </c>
      <c r="J516" s="0" t="e">
        <f aca="false">VLOOKUP($A516,content_factors_backup!$A$2:$Q$468,J$525,FALSE())</f>
        <v>#N/A</v>
      </c>
      <c r="K516" s="0" t="e">
        <f aca="false">VLOOKUP($A516,content_factors_backup!$A$2:$Q$468,K$525,FALSE())</f>
        <v>#N/A</v>
      </c>
      <c r="L516" s="0" t="e">
        <f aca="false">VLOOKUP($A516,content_factors_backup!$A$2:$Q$468,L$525,FALSE())</f>
        <v>#N/A</v>
      </c>
      <c r="M516" s="0" t="e">
        <f aca="false">VLOOKUP($A516,content_factors_backup!$A$2:$Q$468,M$525,FALSE())</f>
        <v>#N/A</v>
      </c>
      <c r="N516" s="0" t="e">
        <f aca="false">VLOOKUP($A516,content_factors_backup!$A$2:$Q$468,N$525,FALSE())</f>
        <v>#N/A</v>
      </c>
      <c r="O516" s="0" t="e">
        <f aca="false">VLOOKUP($A516,content_factors_backup!$A$2:$Q$468,O$525,FALSE())</f>
        <v>#N/A</v>
      </c>
      <c r="P516" s="0" t="e">
        <f aca="false">VLOOKUP($A516,content_factors_backup!$A$2:$Q$468,P$525,FALSE())</f>
        <v>#N/A</v>
      </c>
      <c r="Q516" s="0" t="e">
        <f aca="false">VLOOKUP($A516,content_factors_backup!$A$2:$Q$468,Q$525,FALSE())</f>
        <v>#N/A</v>
      </c>
      <c r="R516" s="0" t="e">
        <f aca="false">VLOOKUP($A516,content_factors_backup!$A$2:$Q$468,R$525,FALSE())</f>
        <v>#N/A</v>
      </c>
      <c r="S516" s="0" t="e">
        <f aca="false">VLOOKUP($A516,content_factors_backup!$A$2:$Q$468,S$525,FALSE())</f>
        <v>#N/A</v>
      </c>
      <c r="T516" s="0" t="e">
        <f aca="false">VLOOKUP($A516,content_factors_backup!$A$2:$Q$468,T$525,FALSE())</f>
        <v>#N/A</v>
      </c>
      <c r="U516" s="0" t="e">
        <f aca="false">VLOOKUP($A516,content_factors_backup!$A$2:$Q$468,U$525,FALSE())</f>
        <v>#N/A</v>
      </c>
      <c r="V516" s="0" t="e">
        <f aca="false">VLOOKUP($A516,content_factors_backup!$A$2:$Q$468,V$525,FALSE())</f>
        <v>#N/A</v>
      </c>
      <c r="W516" s="0" t="e">
        <f aca="false">VLOOKUP($A516,content_factors_backup!$A$2:$Q$468,W$525,FALSE())</f>
        <v>#N/A</v>
      </c>
    </row>
    <row r="517" customFormat="false" ht="14.25" hidden="false" customHeight="false" outlineLevel="0" collapsed="false">
      <c r="A517" s="0" t="n">
        <v>1277</v>
      </c>
      <c r="B517" s="0" t="s">
        <v>1188</v>
      </c>
      <c r="C517" s="0" t="s">
        <v>1189</v>
      </c>
      <c r="E517" s="0" t="n">
        <v>152200</v>
      </c>
      <c r="F517" s="0" t="n">
        <v>152200</v>
      </c>
      <c r="G517" s="0" t="n">
        <v>21932.02</v>
      </c>
      <c r="I517" s="0" t="n">
        <f aca="false">VLOOKUP($A517,content_factors_backup!$A$2:$Q$468,I$525,FALSE())</f>
        <v>100</v>
      </c>
      <c r="J517" s="0" t="e">
        <f aca="false">VLOOKUP($A517,content_factors_backup!$A$2:$Q$468,J$525,FALSE())</f>
        <v>#N/A</v>
      </c>
      <c r="K517" s="0" t="e">
        <f aca="false">VLOOKUP($A517,content_factors_backup!$A$2:$Q$468,K$525,FALSE())</f>
        <v>#N/A</v>
      </c>
      <c r="L517" s="0" t="e">
        <f aca="false">VLOOKUP($A517,content_factors_backup!$A$2:$Q$468,L$525,FALSE())</f>
        <v>#N/A</v>
      </c>
      <c r="M517" s="0" t="e">
        <f aca="false">VLOOKUP($A517,content_factors_backup!$A$2:$Q$468,M$525,FALSE())</f>
        <v>#N/A</v>
      </c>
      <c r="N517" s="0" t="e">
        <f aca="false">VLOOKUP($A517,content_factors_backup!$A$2:$Q$468,N$525,FALSE())</f>
        <v>#N/A</v>
      </c>
      <c r="O517" s="0" t="e">
        <f aca="false">VLOOKUP($A517,content_factors_backup!$A$2:$Q$468,O$525,FALSE())</f>
        <v>#N/A</v>
      </c>
      <c r="P517" s="0" t="e">
        <f aca="false">VLOOKUP($A517,content_factors_backup!$A$2:$Q$468,P$525,FALSE())</f>
        <v>#N/A</v>
      </c>
      <c r="Q517" s="0" t="e">
        <f aca="false">VLOOKUP($A517,content_factors_backup!$A$2:$Q$468,Q$525,FALSE())</f>
        <v>#N/A</v>
      </c>
      <c r="R517" s="0" t="e">
        <f aca="false">VLOOKUP($A517,content_factors_backup!$A$2:$Q$468,R$525,FALSE())</f>
        <v>#N/A</v>
      </c>
      <c r="S517" s="0" t="e">
        <f aca="false">VLOOKUP($A517,content_factors_backup!$A$2:$Q$468,S$525,FALSE())</f>
        <v>#N/A</v>
      </c>
      <c r="T517" s="0" t="e">
        <f aca="false">VLOOKUP($A517,content_factors_backup!$A$2:$Q$468,T$525,FALSE())</f>
        <v>#N/A</v>
      </c>
      <c r="U517" s="0" t="e">
        <f aca="false">VLOOKUP($A517,content_factors_backup!$A$2:$Q$468,U$525,FALSE())</f>
        <v>#N/A</v>
      </c>
      <c r="V517" s="0" t="e">
        <f aca="false">VLOOKUP($A517,content_factors_backup!$A$2:$Q$468,V$525,FALSE())</f>
        <v>#N/A</v>
      </c>
      <c r="W517" s="0" t="e">
        <f aca="false">VLOOKUP($A517,content_factors_backup!$A$2:$Q$468,W$525,FALSE())</f>
        <v>#N/A</v>
      </c>
    </row>
    <row r="518" customFormat="false" ht="14.25" hidden="false" customHeight="false" outlineLevel="0" collapsed="false">
      <c r="A518" s="0" t="n">
        <v>1293</v>
      </c>
      <c r="B518" s="0" t="s">
        <v>1190</v>
      </c>
      <c r="C518" s="0" t="s">
        <v>1191</v>
      </c>
      <c r="E518" s="0" t="s">
        <v>1192</v>
      </c>
      <c r="F518" s="0" t="s">
        <v>1193</v>
      </c>
      <c r="G518" s="0" t="s">
        <v>1194</v>
      </c>
      <c r="I518" s="0" t="n">
        <f aca="false">VLOOKUP($A518,content_factors_backup!$A$2:$Q$468,I$525,FALSE())</f>
        <v>50</v>
      </c>
      <c r="J518" s="0" t="e">
        <f aca="false">VLOOKUP($A518,content_factors_backup!$A$2:$Q$468,J$525,FALSE())</f>
        <v>#N/A</v>
      </c>
      <c r="K518" s="0" t="e">
        <f aca="false">VLOOKUP($A518,content_factors_backup!$A$2:$Q$468,K$525,FALSE())</f>
        <v>#N/A</v>
      </c>
      <c r="L518" s="0" t="e">
        <f aca="false">VLOOKUP($A518,content_factors_backup!$A$2:$Q$468,L$525,FALSE())</f>
        <v>#N/A</v>
      </c>
      <c r="M518" s="0" t="e">
        <f aca="false">VLOOKUP($A518,content_factors_backup!$A$2:$Q$468,M$525,FALSE())</f>
        <v>#N/A</v>
      </c>
      <c r="N518" s="0" t="e">
        <f aca="false">VLOOKUP($A518,content_factors_backup!$A$2:$Q$468,N$525,FALSE())</f>
        <v>#N/A</v>
      </c>
      <c r="O518" s="0" t="e">
        <f aca="false">VLOOKUP($A518,content_factors_backup!$A$2:$Q$468,O$525,FALSE())</f>
        <v>#N/A</v>
      </c>
      <c r="P518" s="0" t="e">
        <f aca="false">VLOOKUP($A518,content_factors_backup!$A$2:$Q$468,P$525,FALSE())</f>
        <v>#N/A</v>
      </c>
      <c r="Q518" s="0" t="e">
        <f aca="false">VLOOKUP($A518,content_factors_backup!$A$2:$Q$468,Q$525,FALSE())</f>
        <v>#N/A</v>
      </c>
      <c r="R518" s="0" t="e">
        <f aca="false">VLOOKUP($A518,content_factors_backup!$A$2:$Q$468,R$525,FALSE())</f>
        <v>#N/A</v>
      </c>
      <c r="S518" s="0" t="e">
        <f aca="false">VLOOKUP($A518,content_factors_backup!$A$2:$Q$468,S$525,FALSE())</f>
        <v>#N/A</v>
      </c>
      <c r="T518" s="0" t="e">
        <f aca="false">VLOOKUP($A518,content_factors_backup!$A$2:$Q$468,T$525,FALSE())</f>
        <v>#N/A</v>
      </c>
      <c r="U518" s="0" t="e">
        <f aca="false">VLOOKUP($A518,content_factors_backup!$A$2:$Q$468,U$525,FALSE())</f>
        <v>#N/A</v>
      </c>
      <c r="V518" s="0" t="e">
        <f aca="false">VLOOKUP($A518,content_factors_backup!$A$2:$Q$468,V$525,FALSE())</f>
        <v>#N/A</v>
      </c>
      <c r="W518" s="0" t="e">
        <f aca="false">VLOOKUP($A518,content_factors_backup!$A$2:$Q$468,W$525,FALSE())</f>
        <v>#N/A</v>
      </c>
    </row>
    <row r="519" customFormat="false" ht="14.25" hidden="false" customHeight="false" outlineLevel="0" collapsed="false">
      <c r="A519" s="0" t="n">
        <v>1296</v>
      </c>
      <c r="B519" s="0" t="s">
        <v>1195</v>
      </c>
      <c r="C519" s="0" t="s">
        <v>1196</v>
      </c>
      <c r="E519" s="0" t="n">
        <v>152110</v>
      </c>
      <c r="F519" s="0" t="n">
        <v>152110</v>
      </c>
      <c r="G519" s="0" t="n">
        <v>21931</v>
      </c>
      <c r="I519" s="0" t="n">
        <f aca="false">VLOOKUP($A519,content_factors_backup!$A$2:$Q$468,I$525,FALSE())</f>
        <v>90</v>
      </c>
      <c r="J519" s="0" t="e">
        <f aca="false">VLOOKUP($A519,content_factors_backup!$A$2:$Q$468,J$525,FALSE())</f>
        <v>#N/A</v>
      </c>
      <c r="K519" s="0" t="e">
        <f aca="false">VLOOKUP($A519,content_factors_backup!$A$2:$Q$468,K$525,FALSE())</f>
        <v>#N/A</v>
      </c>
      <c r="L519" s="0" t="e">
        <f aca="false">VLOOKUP($A519,content_factors_backup!$A$2:$Q$468,L$525,FALSE())</f>
        <v>#N/A</v>
      </c>
      <c r="M519" s="0" t="e">
        <f aca="false">VLOOKUP($A519,content_factors_backup!$A$2:$Q$468,M$525,FALSE())</f>
        <v>#N/A</v>
      </c>
      <c r="N519" s="0" t="e">
        <f aca="false">VLOOKUP($A519,content_factors_backup!$A$2:$Q$468,N$525,FALSE())</f>
        <v>#N/A</v>
      </c>
      <c r="O519" s="0" t="e">
        <f aca="false">VLOOKUP($A519,content_factors_backup!$A$2:$Q$468,O$525,FALSE())</f>
        <v>#N/A</v>
      </c>
      <c r="P519" s="0" t="e">
        <f aca="false">VLOOKUP($A519,content_factors_backup!$A$2:$Q$468,P$525,FALSE())</f>
        <v>#N/A</v>
      </c>
      <c r="Q519" s="0" t="e">
        <f aca="false">VLOOKUP($A519,content_factors_backup!$A$2:$Q$468,Q$525,FALSE())</f>
        <v>#N/A</v>
      </c>
      <c r="R519" s="0" t="e">
        <f aca="false">VLOOKUP($A519,content_factors_backup!$A$2:$Q$468,R$525,FALSE())</f>
        <v>#N/A</v>
      </c>
      <c r="S519" s="0" t="e">
        <f aca="false">VLOOKUP($A519,content_factors_backup!$A$2:$Q$468,S$525,FALSE())</f>
        <v>#N/A</v>
      </c>
      <c r="T519" s="0" t="e">
        <f aca="false">VLOOKUP($A519,content_factors_backup!$A$2:$Q$468,T$525,FALSE())</f>
        <v>#N/A</v>
      </c>
      <c r="U519" s="0" t="e">
        <f aca="false">VLOOKUP($A519,content_factors_backup!$A$2:$Q$468,U$525,FALSE())</f>
        <v>#N/A</v>
      </c>
      <c r="V519" s="0" t="e">
        <f aca="false">VLOOKUP($A519,content_factors_backup!$A$2:$Q$468,V$525,FALSE())</f>
        <v>#N/A</v>
      </c>
      <c r="W519" s="0" t="e">
        <f aca="false">VLOOKUP($A519,content_factors_backup!$A$2:$Q$468,W$525,FALSE())</f>
        <v>#N/A</v>
      </c>
    </row>
    <row r="520" customFormat="false" ht="14.25" hidden="false" customHeight="false" outlineLevel="0" collapsed="false">
      <c r="A520" s="0" t="n">
        <v>2545</v>
      </c>
      <c r="B520" s="0" t="s">
        <v>1197</v>
      </c>
      <c r="I520" s="0" t="n">
        <v>99.5</v>
      </c>
    </row>
    <row r="525" customFormat="false" ht="14.25" hidden="false" customHeight="false" outlineLevel="0" collapsed="false">
      <c r="I525" s="0" t="n">
        <v>3</v>
      </c>
      <c r="J525" s="0" t="n">
        <v>4</v>
      </c>
      <c r="K525" s="0" t="n">
        <v>5</v>
      </c>
      <c r="L525" s="0" t="n">
        <v>6</v>
      </c>
      <c r="M525" s="0" t="n">
        <v>7</v>
      </c>
      <c r="N525" s="0" t="n">
        <v>8</v>
      </c>
      <c r="O525" s="0" t="n">
        <v>9</v>
      </c>
      <c r="P525" s="0" t="n">
        <v>10</v>
      </c>
      <c r="Q525" s="0" t="n">
        <v>11</v>
      </c>
      <c r="R525" s="0" t="n">
        <v>12</v>
      </c>
      <c r="S525" s="0" t="n">
        <v>13</v>
      </c>
      <c r="T525" s="0" t="n">
        <v>14</v>
      </c>
      <c r="U525" s="0" t="n">
        <v>15</v>
      </c>
      <c r="V525" s="0" t="n">
        <v>16</v>
      </c>
      <c r="W525" s="0" t="n">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68"/>
  <sheetViews>
    <sheetView showFormulas="false" showGridLines="true" showRowColHeaders="true" showZeros="true" rightToLeft="false" tabSelected="false" showOutlineSymbols="true" defaultGridColor="true" view="normal" topLeftCell="A422" colorId="64" zoomScale="100" zoomScaleNormal="100" zoomScalePageLayoutView="100" workbookViewId="0">
      <selection pane="topLeft" activeCell="E468" activeCellId="0" sqref="E468"/>
    </sheetView>
  </sheetViews>
  <sheetFormatPr defaultColWidth="8.88671875" defaultRowHeight="14.25" customHeight="true" zeroHeight="false" outlineLevelRow="0" outlineLevelCol="0"/>
  <cols>
    <col collapsed="false" customWidth="true" hidden="false" outlineLevel="0" max="1" min="1" style="0" width="8.67"/>
    <col collapsed="false" customWidth="true" hidden="false" outlineLevel="0" max="2" min="2" style="0" width="39"/>
    <col collapsed="false" customWidth="true" hidden="false" outlineLevel="0" max="3" min="3" style="0" width="13.33"/>
    <col collapsed="false" customWidth="true" hidden="false" outlineLevel="0" max="4" min="4" style="0" width="10.89"/>
    <col collapsed="false" customWidth="true" hidden="false" outlineLevel="0" max="9" min="5" style="0" width="12"/>
    <col collapsed="false" customWidth="true" hidden="false" outlineLevel="0" max="10" min="10" style="0" width="14.11"/>
    <col collapsed="false" customWidth="true" hidden="false" outlineLevel="0" max="11" min="11" style="0" width="13.66"/>
    <col collapsed="false" customWidth="true" hidden="false" outlineLevel="0" max="12" min="12" style="0" width="16"/>
    <col collapsed="false" customWidth="true" hidden="false" outlineLevel="0" max="13" min="13" style="0" width="14"/>
    <col collapsed="false" customWidth="true" hidden="false" outlineLevel="0" max="17" min="14" style="0" width="12"/>
  </cols>
  <sheetData>
    <row r="1" customFormat="false" ht="14.25" hidden="false" customHeight="false" outlineLevel="0" collapsed="false">
      <c r="A1" s="1" t="s">
        <v>1198</v>
      </c>
      <c r="B1" s="1" t="s">
        <v>1199</v>
      </c>
      <c r="C1" s="1" t="s">
        <v>1200</v>
      </c>
      <c r="D1" s="2" t="s">
        <v>1201</v>
      </c>
      <c r="E1" s="0" t="s">
        <v>1202</v>
      </c>
      <c r="F1" s="2" t="s">
        <v>1203</v>
      </c>
      <c r="G1" s="3" t="s">
        <v>1204</v>
      </c>
      <c r="H1" s="3" t="s">
        <v>1205</v>
      </c>
      <c r="I1" s="3" t="s">
        <v>1206</v>
      </c>
      <c r="J1" s="3" t="s">
        <v>1207</v>
      </c>
      <c r="K1" s="3" t="s">
        <v>1208</v>
      </c>
      <c r="L1" s="3" t="s">
        <v>1209</v>
      </c>
      <c r="M1" s="3" t="s">
        <v>1210</v>
      </c>
      <c r="N1" s="3" t="s">
        <v>1211</v>
      </c>
      <c r="O1" s="3" t="s">
        <v>1212</v>
      </c>
      <c r="P1" s="3" t="s">
        <v>1213</v>
      </c>
      <c r="Q1" s="3" t="s">
        <v>1214</v>
      </c>
    </row>
    <row r="2" customFormat="false" ht="14.25" hidden="false" customHeight="false" outlineLevel="0" collapsed="false">
      <c r="A2" s="5" t="n">
        <v>15</v>
      </c>
      <c r="B2" s="5" t="s">
        <v>38</v>
      </c>
      <c r="C2" s="5" t="n">
        <v>86</v>
      </c>
      <c r="D2" s="0" t="n">
        <f aca="false">VLOOKUP($A2,'[2]Sheet 1'!$A$2:$Q$3504,4,FALSE())</f>
        <v>341</v>
      </c>
      <c r="E2" s="0" t="n">
        <f aca="false">VLOOKUP($A2,'[2]Sheet 1'!$A$2:$Q$3504,5,FALSE())</f>
        <v>11.95</v>
      </c>
      <c r="F2" s="0" t="n">
        <f aca="false">VLOOKUP($A2,'[2]Sheet 1'!$A$2:$Q$3504,6,FALSE())</f>
        <v>2</v>
      </c>
      <c r="G2" s="0" t="n">
        <f aca="false">VLOOKUP($A2,'[2]Sheet 1'!$A$2:$Q$3504,7,FALSE())</f>
        <v>2.465</v>
      </c>
      <c r="H2" s="0" t="n">
        <f aca="false">VLOOKUP($A2,'[2]Sheet 1'!$A$2:$Q$3504,8,FALSE())</f>
        <v>4</v>
      </c>
      <c r="I2" s="0" t="n">
        <f aca="false">VLOOKUP($A2,'[2]Sheet 1'!$A$2:$Q$3504,9,FALSE())</f>
        <v>38.5</v>
      </c>
      <c r="J2" s="0" t="n">
        <f aca="false">VLOOKUP($A2,'[2]Sheet 1'!$A$2:$Q$3504,10,FALSE())</f>
        <v>40.5</v>
      </c>
      <c r="K2" s="0" t="n">
        <f aca="false">VLOOKUP($A2,'[2]Sheet 1'!$A$2:$Q$3504,11,FALSE())</f>
        <v>0.16</v>
      </c>
      <c r="L2" s="0" t="n">
        <f aca="false">VLOOKUP($A2,'[2]Sheet 1'!$A$2:$Q$3504,12,FALSE())</f>
        <v>31.2</v>
      </c>
      <c r="M2" s="0" t="n">
        <f aca="false">VLOOKUP($A2,'[2]Sheet 1'!$A$2:$Q$3504,13,FALSE())</f>
        <v>349</v>
      </c>
      <c r="N2" s="0" t="n">
        <f aca="false">VLOOKUP($A2,'[2]Sheet 1'!$A$2:$Q$3504,14,FALSE())</f>
        <v>0.904227240565099</v>
      </c>
      <c r="O2" s="0" t="n">
        <f aca="false">VLOOKUP($A2,'[2]Sheet 1'!$A$2:$Q$3504,15,FALSE())</f>
        <v>0.000105622147075484</v>
      </c>
      <c r="P2" s="0" t="n">
        <f aca="false">VLOOKUP($A2,'[2]Sheet 1'!$A$2:$Q$3504,16,FALSE())</f>
        <v>2.98541766221414</v>
      </c>
      <c r="Q2" s="0" t="n">
        <f aca="false">VLOOKUP($A2,'[2]Sheet 1'!$A$2:$Q$3504,17,FALSE())</f>
        <v>0</v>
      </c>
      <c r="S2" s="5"/>
    </row>
    <row r="3" customFormat="false" ht="14.25" hidden="false" customHeight="false" outlineLevel="0" collapsed="false">
      <c r="A3" s="5" t="n">
        <v>16</v>
      </c>
      <c r="B3" s="5" t="s">
        <v>42</v>
      </c>
      <c r="C3" s="5" t="n">
        <v>88</v>
      </c>
      <c r="D3" s="0" t="n">
        <f aca="false">VLOOKUP($A3,'[2]Sheet 1'!$A$2:$Q$3504,4,FALSE())</f>
        <v>348</v>
      </c>
      <c r="E3" s="0" t="n">
        <f aca="false">VLOOKUP($A3,'[2]Sheet 1'!$A$2:$Q$3504,5,FALSE())</f>
        <v>11.4</v>
      </c>
      <c r="F3" s="0" t="n">
        <f aca="false">VLOOKUP($A3,'[2]Sheet 1'!$A$2:$Q$3504,6,FALSE())</f>
        <v>0.4</v>
      </c>
      <c r="G3" s="0" t="n">
        <f aca="false">VLOOKUP($A3,'[2]Sheet 1'!$A$2:$Q$3504,7,FALSE())</f>
        <v>1.1</v>
      </c>
      <c r="H3" s="0" t="n">
        <f aca="false">VLOOKUP($A3,'[2]Sheet 1'!$A$2:$Q$3504,8,FALSE())</f>
        <v>2.2</v>
      </c>
      <c r="I3" s="0" t="n">
        <f aca="false">VLOOKUP($A3,'[2]Sheet 1'!$A$2:$Q$3504,9,FALSE())</f>
        <v>29.5</v>
      </c>
      <c r="J3" s="0" t="n">
        <f aca="false">VLOOKUP($A3,'[2]Sheet 1'!$A$2:$Q$3504,10,FALSE())</f>
        <v>25</v>
      </c>
      <c r="K3" s="0" t="n">
        <f aca="false">VLOOKUP($A3,'[2]Sheet 1'!$A$2:$Q$3504,11,FALSE())</f>
        <v>0.103333333</v>
      </c>
      <c r="L3" s="0" t="n">
        <f aca="false">VLOOKUP($A3,'[2]Sheet 1'!$A$2:$Q$3504,12,FALSE())</f>
        <v>10.4</v>
      </c>
      <c r="M3" s="0" t="n">
        <f aca="false">VLOOKUP($A3,'[2]Sheet 1'!$A$2:$Q$3504,13,FALSE())</f>
        <v>132.5</v>
      </c>
      <c r="N3" s="0" t="n">
        <f aca="false">VLOOKUP($A3,'[2]Sheet 1'!$A$2:$Q$3504,14,FALSE())</f>
        <v>0.71</v>
      </c>
      <c r="O3" s="0" t="n">
        <f aca="false">VLOOKUP($A3,'[2]Sheet 1'!$A$2:$Q$3504,15,FALSE())</f>
        <v>0</v>
      </c>
      <c r="P3" s="0" t="n">
        <f aca="false">VLOOKUP($A3,'[2]Sheet 1'!$A$2:$Q$3504,16,FALSE())</f>
        <v>1.9</v>
      </c>
      <c r="Q3" s="0" t="n">
        <f aca="false">VLOOKUP($A3,'[2]Sheet 1'!$A$2:$Q$3504,17,FALSE())</f>
        <v>0</v>
      </c>
      <c r="S3" s="5"/>
    </row>
    <row r="4" customFormat="false" ht="14.25" hidden="false" customHeight="false" outlineLevel="0" collapsed="false">
      <c r="A4" s="5" t="n">
        <v>17</v>
      </c>
      <c r="B4" s="5" t="s">
        <v>45</v>
      </c>
      <c r="C4" s="5" t="n">
        <v>88.5</v>
      </c>
      <c r="D4" s="0" t="n">
        <f aca="false">VLOOKUP($A4,'[2]Sheet 1'!$A$2:$Q$3504,4,FALSE())</f>
        <v>216</v>
      </c>
      <c r="E4" s="0" t="n">
        <f aca="false">VLOOKUP($A4,'[2]Sheet 1'!$A$2:$Q$3504,5,FALSE())</f>
        <v>15.55</v>
      </c>
      <c r="F4" s="0" t="n">
        <f aca="false">VLOOKUP($A4,'[2]Sheet 1'!$A$2:$Q$3504,6,FALSE())</f>
        <v>42.8</v>
      </c>
      <c r="G4" s="0" t="n">
        <f aca="false">VLOOKUP($A4,'[2]Sheet 1'!$A$2:$Q$3504,7,FALSE())</f>
        <v>7.27</v>
      </c>
      <c r="H4" s="0" t="n">
        <f aca="false">VLOOKUP($A4,'[2]Sheet 1'!$A$2:$Q$3504,8,FALSE())</f>
        <v>10.57</v>
      </c>
      <c r="I4" s="0" t="n">
        <f aca="false">VLOOKUP($A4,'[2]Sheet 1'!$A$2:$Q$3504,9,FALSE())</f>
        <v>73</v>
      </c>
      <c r="J4" s="0" t="n">
        <f aca="false">VLOOKUP($A4,'[2]Sheet 1'!$A$2:$Q$3504,10,FALSE())</f>
        <v>79</v>
      </c>
      <c r="K4" s="0" t="n">
        <f aca="false">VLOOKUP($A4,'[2]Sheet 1'!$A$2:$Q$3504,11,FALSE())</f>
        <v>0.577</v>
      </c>
      <c r="L4" s="0" t="n">
        <f aca="false">VLOOKUP($A4,'[2]Sheet 1'!$A$2:$Q$3504,12,FALSE())</f>
        <v>74.4</v>
      </c>
      <c r="M4" s="0" t="n">
        <f aca="false">VLOOKUP($A4,'[2]Sheet 1'!$A$2:$Q$3504,13,FALSE())</f>
        <v>1182</v>
      </c>
      <c r="N4" s="0" t="n">
        <f aca="false">VLOOKUP($A4,'[2]Sheet 1'!$A$2:$Q$3504,14,FALSE())</f>
        <v>1.49</v>
      </c>
      <c r="O4" s="0" t="n">
        <f aca="false">VLOOKUP($A4,'[2]Sheet 1'!$A$2:$Q$3504,15,FALSE())</f>
        <v>0</v>
      </c>
      <c r="P4" s="0" t="n">
        <f aca="false">VLOOKUP($A4,'[2]Sheet 1'!$A$2:$Q$3504,16,FALSE())</f>
        <v>1.9</v>
      </c>
      <c r="Q4" s="0" t="n">
        <f aca="false">VLOOKUP($A4,'[2]Sheet 1'!$A$2:$Q$3504,17,FALSE())</f>
        <v>0</v>
      </c>
      <c r="S4" s="5"/>
    </row>
    <row r="5" customFormat="false" ht="14.25" hidden="false" customHeight="false" outlineLevel="0" collapsed="false">
      <c r="A5" s="5" t="n">
        <v>18</v>
      </c>
      <c r="B5" s="5" t="s">
        <v>47</v>
      </c>
      <c r="C5" s="5" t="n">
        <v>89.6</v>
      </c>
      <c r="D5" s="0" t="n">
        <f aca="false">VLOOKUP($A5,'[2]Sheet 1'!$A$2:$Q$3504,4,FALSE())</f>
        <v>124</v>
      </c>
      <c r="E5" s="0" t="n">
        <f aca="false">VLOOKUP($A5,'[2]Sheet 1'!$A$2:$Q$3504,5,FALSE())</f>
        <v>5.33</v>
      </c>
      <c r="F5" s="0" t="n">
        <f aca="false">VLOOKUP($A5,'[2]Sheet 1'!$A$2:$Q$3504,6,FALSE())</f>
        <v>2.8</v>
      </c>
      <c r="G5" s="0" t="n">
        <f aca="false">VLOOKUP($A5,'[2]Sheet 1'!$A$2:$Q$3504,7,FALSE())</f>
        <v>0.81</v>
      </c>
      <c r="H5" s="0" t="n">
        <f aca="false">VLOOKUP($A5,'[2]Sheet 1'!$A$2:$Q$3504,8,FALSE())</f>
        <v>1.06</v>
      </c>
      <c r="I5" s="0" t="n">
        <f aca="false">VLOOKUP($A5,'[2]Sheet 1'!$A$2:$Q$3504,9,FALSE())</f>
        <v>15</v>
      </c>
      <c r="J5" s="0" t="n">
        <f aca="false">VLOOKUP($A5,'[2]Sheet 1'!$A$2:$Q$3504,10,FALSE())</f>
        <v>5</v>
      </c>
      <c r="K5" s="0" t="n">
        <f aca="false">VLOOKUP($A5,'[2]Sheet 1'!$A$2:$Q$3504,11,FALSE())</f>
        <v>0.045</v>
      </c>
      <c r="L5" s="0" t="n">
        <f aca="false">VLOOKUP($A5,'[2]Sheet 1'!$A$2:$Q$3504,12,FALSE())</f>
        <v>10.7</v>
      </c>
      <c r="M5" s="0" t="n">
        <f aca="false">VLOOKUP($A5,'[2]Sheet 1'!$A$2:$Q$3504,13,FALSE())</f>
        <v>44</v>
      </c>
      <c r="N5" s="0" t="n">
        <f aca="false">VLOOKUP($A5,'[2]Sheet 1'!$A$2:$Q$3504,14,FALSE())</f>
        <v>0.3</v>
      </c>
      <c r="O5" s="0" t="n">
        <f aca="false">VLOOKUP($A5,'[2]Sheet 1'!$A$2:$Q$3504,15,FALSE())</f>
        <v>0</v>
      </c>
      <c r="P5" s="0" t="n">
        <f aca="false">VLOOKUP($A5,'[2]Sheet 1'!$A$2:$Q$3504,16,FALSE())</f>
        <v>0.7</v>
      </c>
      <c r="Q5" s="0" t="n">
        <f aca="false">VLOOKUP($A5,'[2]Sheet 1'!$A$2:$Q$3504,17,FALSE())</f>
        <v>0</v>
      </c>
      <c r="S5" s="5"/>
    </row>
    <row r="6" customFormat="false" ht="14.25" hidden="false" customHeight="false" outlineLevel="0" collapsed="false">
      <c r="A6" s="5" t="n">
        <v>20</v>
      </c>
      <c r="B6" s="5" t="s">
        <v>50</v>
      </c>
      <c r="C6" s="5" t="n">
        <v>65</v>
      </c>
      <c r="D6" s="0" t="n">
        <f aca="false">VLOOKUP($A6,'[2]Sheet 1'!$A$2:$Q$3504,4,FALSE())</f>
        <v>313</v>
      </c>
      <c r="E6" s="0" t="n">
        <f aca="false">VLOOKUP($A6,'[2]Sheet 1'!$A$2:$Q$3504,5,FALSE())</f>
        <v>12.96</v>
      </c>
      <c r="F6" s="0" t="n">
        <f aca="false">VLOOKUP($A6,'[2]Sheet 1'!$A$2:$Q$3504,6,FALSE())</f>
        <v>4.7</v>
      </c>
      <c r="G6" s="0" t="n">
        <f aca="false">VLOOKUP($A6,'[2]Sheet 1'!$A$2:$Q$3504,7,FALSE())</f>
        <v>1.47</v>
      </c>
      <c r="H6" s="0" t="n">
        <f aca="false">VLOOKUP($A6,'[2]Sheet 1'!$A$2:$Q$3504,8,FALSE())</f>
        <v>4.09</v>
      </c>
      <c r="I6" s="0" t="n">
        <f aca="false">VLOOKUP($A6,'[2]Sheet 1'!$A$2:$Q$3504,9,FALSE())</f>
        <v>165</v>
      </c>
      <c r="J6" s="0" t="n">
        <f aca="false">VLOOKUP($A6,'[2]Sheet 1'!$A$2:$Q$3504,10,FALSE())</f>
        <v>86</v>
      </c>
      <c r="K6" s="0" t="n">
        <f aca="false">VLOOKUP($A6,'[2]Sheet 1'!$A$2:$Q$3504,11,FALSE())</f>
        <v>0.382</v>
      </c>
      <c r="L6" s="0" t="n">
        <f aca="false">VLOOKUP($A6,'[2]Sheet 1'!$A$2:$Q$3504,12,FALSE())</f>
        <v>22.1</v>
      </c>
      <c r="M6" s="0" t="n">
        <f aca="false">VLOOKUP($A6,'[2]Sheet 1'!$A$2:$Q$3504,13,FALSE())</f>
        <v>223</v>
      </c>
      <c r="N6" s="0" t="n">
        <f aca="false">VLOOKUP($A6,'[2]Sheet 1'!$A$2:$Q$3504,14,FALSE())</f>
        <v>0.24</v>
      </c>
      <c r="O6" s="0" t="n">
        <f aca="false">VLOOKUP($A6,'[2]Sheet 1'!$A$2:$Q$3504,15,FALSE())</f>
        <v>0</v>
      </c>
      <c r="P6" s="0" t="n">
        <f aca="false">VLOOKUP($A6,'[2]Sheet 1'!$A$2:$Q$3504,16,FALSE())</f>
        <v>5.7</v>
      </c>
      <c r="Q6" s="0" t="n">
        <f aca="false">VLOOKUP($A6,'[2]Sheet 1'!$A$2:$Q$3504,17,FALSE())</f>
        <v>0</v>
      </c>
      <c r="S6" s="5"/>
    </row>
    <row r="7" customFormat="false" ht="14.25" hidden="false" customHeight="false" outlineLevel="0" collapsed="false">
      <c r="A7" s="5" t="n">
        <v>21</v>
      </c>
      <c r="B7" s="5" t="s">
        <v>54</v>
      </c>
      <c r="C7" s="5" t="n">
        <v>90</v>
      </c>
      <c r="D7" s="0" t="n">
        <f aca="false">VLOOKUP($A7,'[2]Sheet 1'!$A$2:$Q$3504,4,FALSE())</f>
        <v>83</v>
      </c>
      <c r="E7" s="0" t="n">
        <f aca="false">VLOOKUP($A7,'[2]Sheet 1'!$A$2:$Q$3504,5,FALSE())</f>
        <v>3.08</v>
      </c>
      <c r="F7" s="0" t="n">
        <f aca="false">VLOOKUP($A7,'[2]Sheet 1'!$A$2:$Q$3504,6,FALSE())</f>
        <v>4.5</v>
      </c>
      <c r="G7" s="0" t="n">
        <f aca="false">VLOOKUP($A7,'[2]Sheet 1'!$A$2:$Q$3504,7,FALSE())</f>
        <v>0.57</v>
      </c>
      <c r="H7" s="0" t="n">
        <f aca="false">VLOOKUP($A7,'[2]Sheet 1'!$A$2:$Q$3504,8,FALSE())</f>
        <v>0.96</v>
      </c>
      <c r="I7" s="0" t="n">
        <f aca="false">VLOOKUP($A7,'[2]Sheet 1'!$A$2:$Q$3504,9,FALSE())</f>
        <v>10</v>
      </c>
      <c r="J7" s="0" t="n">
        <f aca="false">VLOOKUP($A7,'[2]Sheet 1'!$A$2:$Q$3504,10,FALSE())</f>
        <v>18</v>
      </c>
      <c r="K7" s="0" t="n">
        <f aca="false">VLOOKUP($A7,'[2]Sheet 1'!$A$2:$Q$3504,11,FALSE())</f>
        <v>0.028</v>
      </c>
      <c r="L7" s="0" t="n">
        <f aca="false">VLOOKUP($A7,'[2]Sheet 1'!$A$2:$Q$3504,12,FALSE())</f>
        <v>6.9</v>
      </c>
      <c r="M7" s="0" t="n">
        <f aca="false">VLOOKUP($A7,'[2]Sheet 1'!$A$2:$Q$3504,13,FALSE())</f>
        <v>68</v>
      </c>
      <c r="N7" s="0" t="n">
        <f aca="false">VLOOKUP($A7,'[2]Sheet 1'!$A$2:$Q$3504,14,FALSE())</f>
        <v>0.01</v>
      </c>
      <c r="O7" s="0" t="n">
        <f aca="false">VLOOKUP($A7,'[2]Sheet 1'!$A$2:$Q$3504,15,FALSE())</f>
        <v>0</v>
      </c>
      <c r="P7" s="0" t="n">
        <f aca="false">VLOOKUP($A7,'[2]Sheet 1'!$A$2:$Q$3504,16,FALSE())</f>
        <v>0.5</v>
      </c>
      <c r="Q7" s="0" t="n">
        <f aca="false">VLOOKUP($A7,'[2]Sheet 1'!$A$2:$Q$3504,17,FALSE())</f>
        <v>0</v>
      </c>
      <c r="S7" s="5"/>
    </row>
    <row r="8" customFormat="false" ht="14.25" hidden="false" customHeight="false" outlineLevel="0" collapsed="false">
      <c r="A8" s="5" t="n">
        <v>22</v>
      </c>
      <c r="B8" s="5" t="s">
        <v>56</v>
      </c>
      <c r="C8" s="5" t="n">
        <v>65</v>
      </c>
      <c r="D8" s="0" t="n">
        <f aca="false">VLOOKUP($A8,'[2]Sheet 1'!$A$2:$Q$3504,4,FALSE())</f>
        <v>558</v>
      </c>
      <c r="E8" s="0" t="n">
        <f aca="false">VLOOKUP($A8,'[2]Sheet 1'!$A$2:$Q$3504,5,FALSE())</f>
        <v>7.4</v>
      </c>
      <c r="F8" s="0" t="n">
        <f aca="false">VLOOKUP($A8,'[2]Sheet 1'!$A$2:$Q$3504,6,FALSE())</f>
        <v>1.5</v>
      </c>
      <c r="G8" s="0" t="n">
        <f aca="false">VLOOKUP($A8,'[2]Sheet 1'!$A$2:$Q$3504,7,FALSE())</f>
        <v>0.54</v>
      </c>
      <c r="H8" s="0" t="n">
        <f aca="false">VLOOKUP($A8,'[2]Sheet 1'!$A$2:$Q$3504,8,FALSE())</f>
        <v>2.6</v>
      </c>
      <c r="I8" s="0" t="n">
        <f aca="false">VLOOKUP($A8,'[2]Sheet 1'!$A$2:$Q$3504,9,FALSE())</f>
        <v>10</v>
      </c>
      <c r="J8" s="0" t="n">
        <f aca="false">VLOOKUP($A8,'[2]Sheet 1'!$A$2:$Q$3504,10,FALSE())</f>
        <v>55</v>
      </c>
      <c r="K8" s="0" t="n">
        <f aca="false">VLOOKUP($A8,'[2]Sheet 1'!$A$2:$Q$3504,11,FALSE())</f>
        <v>0.258</v>
      </c>
      <c r="L8" s="0" t="n">
        <f aca="false">VLOOKUP($A8,'[2]Sheet 1'!$A$2:$Q$3504,12,FALSE())</f>
        <v>6.2</v>
      </c>
      <c r="M8" s="0" t="n">
        <f aca="false">VLOOKUP($A8,'[2]Sheet 1'!$A$2:$Q$3504,13,FALSE())</f>
        <v>62</v>
      </c>
      <c r="N8" s="0" t="n">
        <f aca="false">VLOOKUP($A8,'[2]Sheet 1'!$A$2:$Q$3504,14,FALSE())</f>
        <v>0.55</v>
      </c>
      <c r="O8" s="0" t="n">
        <f aca="false">VLOOKUP($A8,'[2]Sheet 1'!$A$2:$Q$3504,15,FALSE())</f>
        <v>0</v>
      </c>
      <c r="P8" s="0" t="n">
        <f aca="false">VLOOKUP($A8,'[2]Sheet 1'!$A$2:$Q$3504,16,FALSE())</f>
        <v>16.3</v>
      </c>
      <c r="Q8" s="0" t="n">
        <f aca="false">VLOOKUP($A8,'[2]Sheet 1'!$A$2:$Q$3504,17,FALSE())</f>
        <v>0</v>
      </c>
      <c r="S8" s="5"/>
    </row>
    <row r="9" customFormat="false" ht="14.25" hidden="false" customHeight="false" outlineLevel="0" collapsed="false">
      <c r="A9" s="6" t="n">
        <v>27</v>
      </c>
      <c r="B9" s="6" t="s">
        <v>60</v>
      </c>
      <c r="C9" s="5" t="n">
        <v>86</v>
      </c>
      <c r="D9" s="0" t="n">
        <f aca="false">VLOOKUP($A9,'[2]Sheet 1'!$A$2:$Q$3504,4,FALSE())</f>
        <v>353.4</v>
      </c>
      <c r="E9" s="0" t="n">
        <f aca="false">VLOOKUP($A9,'[2]Sheet 1'!$A$2:$Q$3504,5,FALSE())</f>
        <v>7.3</v>
      </c>
      <c r="F9" s="0" t="n">
        <f aca="false">VLOOKUP($A9,'[2]Sheet 1'!$A$2:$Q$3504,6,FALSE())</f>
        <v>0.7</v>
      </c>
      <c r="G9" s="0" t="n">
        <f aca="false">VLOOKUP($A9,'[2]Sheet 1'!$A$2:$Q$3504,7,FALSE())</f>
        <v>1.4</v>
      </c>
      <c r="H9" s="0" t="n">
        <f aca="false">VLOOKUP($A9,'[2]Sheet 1'!$A$2:$Q$3504,8,FALSE())</f>
        <v>1.6</v>
      </c>
      <c r="I9" s="0" t="n">
        <f aca="false">VLOOKUP($A9,'[2]Sheet 1'!$A$2:$Q$3504,9,FALSE())</f>
        <v>12</v>
      </c>
      <c r="J9" s="0" t="n">
        <f aca="false">VLOOKUP($A9,'[2]Sheet 1'!$A$2:$Q$3504,10,FALSE())</f>
        <v>20</v>
      </c>
      <c r="K9" s="0" t="n">
        <f aca="false">VLOOKUP($A9,'[2]Sheet 1'!$A$2:$Q$3504,11,FALSE())</f>
        <v>0.05</v>
      </c>
      <c r="L9" s="0" t="n">
        <f aca="false">VLOOKUP($A9,'[2]Sheet 1'!$A$2:$Q$3504,12,FALSE())</f>
        <v>0</v>
      </c>
      <c r="M9" s="0" t="n">
        <f aca="false">VLOOKUP($A9,'[2]Sheet 1'!$A$2:$Q$3504,13,FALSE())</f>
        <v>91.6</v>
      </c>
      <c r="N9" s="0" t="n">
        <f aca="false">VLOOKUP($A9,'[2]Sheet 1'!$A$2:$Q$3504,14,FALSE())</f>
        <v>0.04</v>
      </c>
      <c r="O9" s="0" t="n">
        <f aca="false">VLOOKUP($A9,'[2]Sheet 1'!$A$2:$Q$3504,15,FALSE())</f>
        <v>0</v>
      </c>
      <c r="P9" s="0" t="n">
        <f aca="false">VLOOKUP($A9,'[2]Sheet 1'!$A$2:$Q$3504,16,FALSE())</f>
        <v>0</v>
      </c>
      <c r="Q9" s="0" t="n">
        <f aca="false">VLOOKUP($A9,'[2]Sheet 1'!$A$2:$Q$3504,17,FALSE())</f>
        <v>0</v>
      </c>
      <c r="S9" s="5"/>
    </row>
    <row r="10" customFormat="false" ht="14.25" hidden="false" customHeight="false" outlineLevel="0" collapsed="false">
      <c r="A10" s="5" t="n">
        <v>28</v>
      </c>
      <c r="B10" s="5" t="s">
        <v>62</v>
      </c>
      <c r="C10" s="5" t="n">
        <v>0</v>
      </c>
      <c r="D10" s="0" t="e">
        <f aca="false">VLOOKUP($A10,'[2]Sheet 1'!$A$2:$Q$3504,4,FALSE())</f>
        <v>#N/A</v>
      </c>
      <c r="E10" s="0" t="e">
        <f aca="false">VLOOKUP($A10,'[2]Sheet 1'!$A$2:$Q$3504,5,FALSE())</f>
        <v>#N/A</v>
      </c>
      <c r="F10" s="0" t="e">
        <f aca="false">VLOOKUP($A10,'[2]Sheet 1'!$A$2:$Q$3504,6,FALSE())</f>
        <v>#N/A</v>
      </c>
      <c r="G10" s="0" t="e">
        <f aca="false">VLOOKUP($A10,'[2]Sheet 1'!$A$2:$Q$3504,7,FALSE())</f>
        <v>#N/A</v>
      </c>
      <c r="H10" s="0" t="e">
        <f aca="false">VLOOKUP($A10,'[2]Sheet 1'!$A$2:$Q$3504,8,FALSE())</f>
        <v>#N/A</v>
      </c>
      <c r="I10" s="0" t="e">
        <f aca="false">VLOOKUP($A10,'[2]Sheet 1'!$A$2:$Q$3504,9,FALSE())</f>
        <v>#N/A</v>
      </c>
      <c r="J10" s="0" t="e">
        <f aca="false">VLOOKUP($A10,'[2]Sheet 1'!$A$2:$Q$3504,10,FALSE())</f>
        <v>#N/A</v>
      </c>
      <c r="K10" s="0" t="e">
        <f aca="false">VLOOKUP($A10,'[2]Sheet 1'!$A$2:$Q$3504,11,FALSE())</f>
        <v>#N/A</v>
      </c>
      <c r="L10" s="0" t="e">
        <f aca="false">VLOOKUP($A10,'[2]Sheet 1'!$A$2:$Q$3504,12,FALSE())</f>
        <v>#N/A</v>
      </c>
      <c r="M10" s="0" t="e">
        <f aca="false">VLOOKUP($A10,'[2]Sheet 1'!$A$2:$Q$3504,13,FALSE())</f>
        <v>#N/A</v>
      </c>
      <c r="N10" s="0" t="e">
        <f aca="false">VLOOKUP($A10,'[2]Sheet 1'!$A$2:$Q$3504,14,FALSE())</f>
        <v>#N/A</v>
      </c>
      <c r="O10" s="0" t="e">
        <f aca="false">VLOOKUP($A10,'[2]Sheet 1'!$A$2:$Q$3504,15,FALSE())</f>
        <v>#N/A</v>
      </c>
      <c r="P10" s="0" t="e">
        <f aca="false">VLOOKUP($A10,'[2]Sheet 1'!$A$2:$Q$3504,16,FALSE())</f>
        <v>#N/A</v>
      </c>
      <c r="Q10" s="0" t="e">
        <f aca="false">VLOOKUP($A10,'[2]Sheet 1'!$A$2:$Q$3504,17,FALSE())</f>
        <v>#N/A</v>
      </c>
      <c r="S10" s="5"/>
    </row>
    <row r="11" customFormat="false" ht="14.25" hidden="false" customHeight="false" outlineLevel="0" collapsed="false">
      <c r="A11" s="7" t="n">
        <v>30</v>
      </c>
      <c r="B11" s="7" t="s">
        <v>1215</v>
      </c>
      <c r="C11" s="7" t="n">
        <v>88</v>
      </c>
      <c r="D11" s="0" t="n">
        <f aca="false">VLOOKUP($A11,'[2]Sheet 1'!$A$2:$Q$3504,4,FALSE())</f>
        <v>353.4</v>
      </c>
      <c r="E11" s="0" t="n">
        <f aca="false">VLOOKUP($A11,'[2]Sheet 1'!$A$2:$Q$3504,5,FALSE())</f>
        <v>7.3</v>
      </c>
      <c r="F11" s="0" t="n">
        <f aca="false">VLOOKUP($A11,'[2]Sheet 1'!$A$2:$Q$3504,6,FALSE())</f>
        <v>0.7</v>
      </c>
      <c r="G11" s="0" t="n">
        <f aca="false">VLOOKUP($A11,'[2]Sheet 1'!$A$2:$Q$3504,7,FALSE())</f>
        <v>1.4</v>
      </c>
      <c r="H11" s="0" t="n">
        <f aca="false">VLOOKUP($A11,'[2]Sheet 1'!$A$2:$Q$3504,8,FALSE())</f>
        <v>1.6</v>
      </c>
      <c r="I11" s="0" t="n">
        <f aca="false">VLOOKUP($A11,'[2]Sheet 1'!$A$2:$Q$3504,9,FALSE())</f>
        <v>12</v>
      </c>
      <c r="J11" s="0" t="n">
        <f aca="false">VLOOKUP($A11,'[2]Sheet 1'!$A$2:$Q$3504,10,FALSE())</f>
        <v>20</v>
      </c>
      <c r="K11" s="0" t="n">
        <f aca="false">VLOOKUP($A11,'[2]Sheet 1'!$A$2:$Q$3504,11,FALSE())</f>
        <v>0.05</v>
      </c>
      <c r="L11" s="0" t="n">
        <f aca="false">VLOOKUP($A11,'[2]Sheet 1'!$A$2:$Q$3504,12,FALSE())</f>
        <v>0</v>
      </c>
      <c r="M11" s="0" t="n">
        <f aca="false">VLOOKUP($A11,'[2]Sheet 1'!$A$2:$Q$3504,13,FALSE())</f>
        <v>91.6</v>
      </c>
      <c r="N11" s="0" t="n">
        <f aca="false">VLOOKUP($A11,'[2]Sheet 1'!$A$2:$Q$3504,14,FALSE())</f>
        <v>0.04</v>
      </c>
      <c r="O11" s="0" t="n">
        <f aca="false">VLOOKUP($A11,'[2]Sheet 1'!$A$2:$Q$3504,15,FALSE())</f>
        <v>0</v>
      </c>
      <c r="P11" s="0" t="n">
        <f aca="false">VLOOKUP($A11,'[2]Sheet 1'!$A$2:$Q$3504,16,FALSE())</f>
        <v>0</v>
      </c>
      <c r="Q11" s="0" t="n">
        <f aca="false">VLOOKUP($A11,'[2]Sheet 1'!$A$2:$Q$3504,17,FALSE())</f>
        <v>0</v>
      </c>
      <c r="S11" s="7"/>
    </row>
    <row r="12" customFormat="false" ht="14.25" hidden="false" customHeight="false" outlineLevel="0" collapsed="false">
      <c r="A12" s="5" t="n">
        <v>31</v>
      </c>
      <c r="B12" s="5" t="s">
        <v>65</v>
      </c>
      <c r="C12" s="5" t="n">
        <v>0</v>
      </c>
      <c r="D12" s="0" t="e">
        <f aca="false">VLOOKUP($A12,'[2]Sheet 1'!$A$2:$Q$3504,4,FALSE())</f>
        <v>#N/A</v>
      </c>
      <c r="E12" s="0" t="e">
        <f aca="false">VLOOKUP($A12,'[2]Sheet 1'!$A$2:$Q$3504,5,FALSE())</f>
        <v>#N/A</v>
      </c>
      <c r="F12" s="0" t="e">
        <f aca="false">VLOOKUP($A12,'[2]Sheet 1'!$A$2:$Q$3504,6,FALSE())</f>
        <v>#N/A</v>
      </c>
      <c r="G12" s="0" t="e">
        <f aca="false">VLOOKUP($A12,'[2]Sheet 1'!$A$2:$Q$3504,7,FALSE())</f>
        <v>#N/A</v>
      </c>
      <c r="H12" s="0" t="e">
        <f aca="false">VLOOKUP($A12,'[2]Sheet 1'!$A$2:$Q$3504,8,FALSE())</f>
        <v>#N/A</v>
      </c>
      <c r="I12" s="0" t="e">
        <f aca="false">VLOOKUP($A12,'[2]Sheet 1'!$A$2:$Q$3504,9,FALSE())</f>
        <v>#N/A</v>
      </c>
      <c r="J12" s="0" t="e">
        <f aca="false">VLOOKUP($A12,'[2]Sheet 1'!$A$2:$Q$3504,10,FALSE())</f>
        <v>#N/A</v>
      </c>
      <c r="K12" s="0" t="e">
        <f aca="false">VLOOKUP($A12,'[2]Sheet 1'!$A$2:$Q$3504,11,FALSE())</f>
        <v>#N/A</v>
      </c>
      <c r="L12" s="0" t="e">
        <f aca="false">VLOOKUP($A12,'[2]Sheet 1'!$A$2:$Q$3504,12,FALSE())</f>
        <v>#N/A</v>
      </c>
      <c r="M12" s="0" t="e">
        <f aca="false">VLOOKUP($A12,'[2]Sheet 1'!$A$2:$Q$3504,13,FALSE())</f>
        <v>#N/A</v>
      </c>
      <c r="N12" s="0" t="e">
        <f aca="false">VLOOKUP($A12,'[2]Sheet 1'!$A$2:$Q$3504,14,FALSE())</f>
        <v>#N/A</v>
      </c>
      <c r="O12" s="0" t="e">
        <f aca="false">VLOOKUP($A12,'[2]Sheet 1'!$A$2:$Q$3504,15,FALSE())</f>
        <v>#N/A</v>
      </c>
      <c r="P12" s="0" t="e">
        <f aca="false">VLOOKUP($A12,'[2]Sheet 1'!$A$2:$Q$3504,16,FALSE())</f>
        <v>#N/A</v>
      </c>
      <c r="Q12" s="0" t="e">
        <f aca="false">VLOOKUP($A12,'[2]Sheet 1'!$A$2:$Q$3504,17,FALSE())</f>
        <v>#N/A</v>
      </c>
      <c r="S12" s="5"/>
    </row>
    <row r="13" customFormat="false" ht="14.25" hidden="false" customHeight="false" outlineLevel="0" collapsed="false">
      <c r="A13" s="5" t="n">
        <v>32</v>
      </c>
      <c r="B13" s="5" t="s">
        <v>67</v>
      </c>
      <c r="C13" s="5" t="n">
        <v>0</v>
      </c>
      <c r="D13" s="0" t="e">
        <f aca="false">VLOOKUP($A13,'[2]Sheet 1'!$A$2:$Q$3504,4,FALSE())</f>
        <v>#N/A</v>
      </c>
      <c r="E13" s="0" t="e">
        <f aca="false">VLOOKUP($A13,'[2]Sheet 1'!$A$2:$Q$3504,5,FALSE())</f>
        <v>#N/A</v>
      </c>
      <c r="F13" s="0" t="e">
        <f aca="false">VLOOKUP($A13,'[2]Sheet 1'!$A$2:$Q$3504,6,FALSE())</f>
        <v>#N/A</v>
      </c>
      <c r="G13" s="0" t="e">
        <f aca="false">VLOOKUP($A13,'[2]Sheet 1'!$A$2:$Q$3504,7,FALSE())</f>
        <v>#N/A</v>
      </c>
      <c r="H13" s="0" t="e">
        <f aca="false">VLOOKUP($A13,'[2]Sheet 1'!$A$2:$Q$3504,8,FALSE())</f>
        <v>#N/A</v>
      </c>
      <c r="I13" s="0" t="e">
        <f aca="false">VLOOKUP($A13,'[2]Sheet 1'!$A$2:$Q$3504,9,FALSE())</f>
        <v>#N/A</v>
      </c>
      <c r="J13" s="0" t="e">
        <f aca="false">VLOOKUP($A13,'[2]Sheet 1'!$A$2:$Q$3504,10,FALSE())</f>
        <v>#N/A</v>
      </c>
      <c r="K13" s="0" t="e">
        <f aca="false">VLOOKUP($A13,'[2]Sheet 1'!$A$2:$Q$3504,11,FALSE())</f>
        <v>#N/A</v>
      </c>
      <c r="L13" s="0" t="e">
        <f aca="false">VLOOKUP($A13,'[2]Sheet 1'!$A$2:$Q$3504,12,FALSE())</f>
        <v>#N/A</v>
      </c>
      <c r="M13" s="0" t="e">
        <f aca="false">VLOOKUP($A13,'[2]Sheet 1'!$A$2:$Q$3504,13,FALSE())</f>
        <v>#N/A</v>
      </c>
      <c r="N13" s="0" t="e">
        <f aca="false">VLOOKUP($A13,'[2]Sheet 1'!$A$2:$Q$3504,14,FALSE())</f>
        <v>#N/A</v>
      </c>
      <c r="O13" s="0" t="e">
        <f aca="false">VLOOKUP($A13,'[2]Sheet 1'!$A$2:$Q$3504,15,FALSE())</f>
        <v>#N/A</v>
      </c>
      <c r="P13" s="0" t="e">
        <f aca="false">VLOOKUP($A13,'[2]Sheet 1'!$A$2:$Q$3504,16,FALSE())</f>
        <v>#N/A</v>
      </c>
      <c r="Q13" s="0" t="e">
        <f aca="false">VLOOKUP($A13,'[2]Sheet 1'!$A$2:$Q$3504,17,FALSE())</f>
        <v>#N/A</v>
      </c>
      <c r="S13" s="5"/>
    </row>
    <row r="14" customFormat="false" ht="14.25" hidden="false" customHeight="false" outlineLevel="0" collapsed="false">
      <c r="A14" s="5" t="n">
        <v>36</v>
      </c>
      <c r="B14" s="5" t="s">
        <v>69</v>
      </c>
      <c r="C14" s="5" t="n">
        <v>100</v>
      </c>
      <c r="D14" s="0" t="n">
        <f aca="false">VLOOKUP($A14,'[2]Sheet 1'!$A$2:$Q$3504,4,FALSE())</f>
        <v>900</v>
      </c>
      <c r="E14" s="0" t="n">
        <f aca="false">VLOOKUP($A14,'[2]Sheet 1'!$A$2:$Q$3504,5,FALSE())</f>
        <v>0</v>
      </c>
      <c r="F14" s="0" t="n">
        <f aca="false">VLOOKUP($A14,'[2]Sheet 1'!$A$2:$Q$3504,6,FALSE())</f>
        <v>0</v>
      </c>
      <c r="G14" s="0" t="n">
        <f aca="false">VLOOKUP($A14,'[2]Sheet 1'!$A$2:$Q$3504,7,FALSE())</f>
        <v>0.285</v>
      </c>
      <c r="H14" s="0" t="n">
        <f aca="false">VLOOKUP($A14,'[2]Sheet 1'!$A$2:$Q$3504,8,FALSE())</f>
        <v>0.235</v>
      </c>
      <c r="I14" s="0" t="n">
        <f aca="false">VLOOKUP($A14,'[2]Sheet 1'!$A$2:$Q$3504,9,FALSE())</f>
        <v>1</v>
      </c>
      <c r="J14" s="0" t="n">
        <f aca="false">VLOOKUP($A14,'[2]Sheet 1'!$A$2:$Q$3504,10,FALSE())</f>
        <v>0</v>
      </c>
      <c r="K14" s="0" t="n">
        <f aca="false">VLOOKUP($A14,'[2]Sheet 1'!$A$2:$Q$3504,11,FALSE())</f>
        <v>0</v>
      </c>
      <c r="L14" s="0" t="n">
        <f aca="false">VLOOKUP($A14,'[2]Sheet 1'!$A$2:$Q$3504,12,FALSE())</f>
        <v>0</v>
      </c>
      <c r="M14" s="0" t="n">
        <f aca="false">VLOOKUP($A14,'[2]Sheet 1'!$A$2:$Q$3504,13,FALSE())</f>
        <v>0</v>
      </c>
      <c r="N14" s="0" t="n">
        <f aca="false">VLOOKUP($A14,'[2]Sheet 1'!$A$2:$Q$3504,14,FALSE())</f>
        <v>32.3</v>
      </c>
      <c r="O14" s="0" t="n">
        <f aca="false">VLOOKUP($A14,'[2]Sheet 1'!$A$2:$Q$3504,15,FALSE())</f>
        <v>0</v>
      </c>
      <c r="P14" s="0" t="n">
        <f aca="false">VLOOKUP($A14,'[2]Sheet 1'!$A$2:$Q$3504,16,FALSE())</f>
        <v>24.7</v>
      </c>
      <c r="Q14" s="0" t="n">
        <f aca="false">VLOOKUP($A14,'[2]Sheet 1'!$A$2:$Q$3504,17,FALSE())</f>
        <v>0</v>
      </c>
      <c r="S14" s="5"/>
    </row>
    <row r="15" customFormat="false" ht="14.25" hidden="false" customHeight="false" outlineLevel="0" collapsed="false">
      <c r="A15" s="5" t="n">
        <v>37</v>
      </c>
      <c r="B15" s="5" t="s">
        <v>71</v>
      </c>
      <c r="C15" s="5" t="n">
        <v>90</v>
      </c>
      <c r="D15" s="0" t="n">
        <f aca="false">VLOOKUP($A15,'[2]Sheet 1'!$A$2:$Q$3504,4,FALSE())</f>
        <v>316</v>
      </c>
      <c r="E15" s="0" t="n">
        <f aca="false">VLOOKUP($A15,'[2]Sheet 1'!$A$2:$Q$3504,5,FALSE())</f>
        <v>13.35</v>
      </c>
      <c r="F15" s="0" t="n">
        <f aca="false">VLOOKUP($A15,'[2]Sheet 1'!$A$2:$Q$3504,6,FALSE())</f>
        <v>21</v>
      </c>
      <c r="G15" s="0" t="n">
        <f aca="false">VLOOKUP($A15,'[2]Sheet 1'!$A$2:$Q$3504,7,FALSE())</f>
        <v>6.04</v>
      </c>
      <c r="H15" s="0" t="n">
        <f aca="false">VLOOKUP($A15,'[2]Sheet 1'!$A$2:$Q$3504,8,FALSE())</f>
        <v>18.54</v>
      </c>
      <c r="I15" s="0" t="n">
        <f aca="false">VLOOKUP($A15,'[2]Sheet 1'!$A$2:$Q$3504,9,FALSE())</f>
        <v>57</v>
      </c>
      <c r="J15" s="0" t="n">
        <f aca="false">VLOOKUP($A15,'[2]Sheet 1'!$A$2:$Q$3504,10,FALSE())</f>
        <v>63</v>
      </c>
      <c r="K15" s="0" t="n">
        <f aca="false">VLOOKUP($A15,'[2]Sheet 1'!$A$2:$Q$3504,11,FALSE())</f>
        <v>0.284</v>
      </c>
      <c r="L15" s="0" t="n">
        <f aca="false">VLOOKUP($A15,'[2]Sheet 1'!$A$2:$Q$3504,12,FALSE())</f>
        <v>32.2</v>
      </c>
      <c r="M15" s="0" t="n">
        <f aca="false">VLOOKUP($A15,'[2]Sheet 1'!$A$2:$Q$3504,13,FALSE())</f>
        <v>1485</v>
      </c>
      <c r="N15" s="0" t="n">
        <f aca="false">VLOOKUP($A15,'[2]Sheet 1'!$A$2:$Q$3504,14,FALSE())</f>
        <v>4.92</v>
      </c>
      <c r="O15" s="0" t="n">
        <f aca="false">VLOOKUP($A15,'[2]Sheet 1'!$A$2:$Q$3504,15,FALSE())</f>
        <v>0</v>
      </c>
      <c r="P15" s="0" t="n">
        <f aca="false">VLOOKUP($A15,'[2]Sheet 1'!$A$2:$Q$3504,16,FALSE())</f>
        <v>1.9</v>
      </c>
      <c r="Q15" s="0" t="n">
        <f aca="false">VLOOKUP($A15,'[2]Sheet 1'!$A$2:$Q$3504,17,FALSE())</f>
        <v>0</v>
      </c>
      <c r="S15" s="5"/>
    </row>
    <row r="16" customFormat="false" ht="14.25" hidden="false" customHeight="false" outlineLevel="0" collapsed="false">
      <c r="A16" s="5" t="n">
        <v>38</v>
      </c>
      <c r="B16" s="5" t="s">
        <v>73</v>
      </c>
      <c r="C16" s="5" t="n">
        <v>88</v>
      </c>
      <c r="D16" s="0" t="e">
        <f aca="false">VLOOKUP($A16,'[2]Sheet 1'!$A$2:$Q$3504,4,FALSE())</f>
        <v>#N/A</v>
      </c>
      <c r="E16" s="0" t="e">
        <f aca="false">VLOOKUP($A16,'[2]Sheet 1'!$A$2:$Q$3504,5,FALSE())</f>
        <v>#N/A</v>
      </c>
      <c r="F16" s="0" t="e">
        <f aca="false">VLOOKUP($A16,'[2]Sheet 1'!$A$2:$Q$3504,6,FALSE())</f>
        <v>#N/A</v>
      </c>
      <c r="G16" s="0" t="e">
        <f aca="false">VLOOKUP($A16,'[2]Sheet 1'!$A$2:$Q$3504,7,FALSE())</f>
        <v>#N/A</v>
      </c>
      <c r="H16" s="0" t="e">
        <f aca="false">VLOOKUP($A16,'[2]Sheet 1'!$A$2:$Q$3504,8,FALSE())</f>
        <v>#N/A</v>
      </c>
      <c r="I16" s="0" t="e">
        <f aca="false">VLOOKUP($A16,'[2]Sheet 1'!$A$2:$Q$3504,9,FALSE())</f>
        <v>#N/A</v>
      </c>
      <c r="J16" s="0" t="e">
        <f aca="false">VLOOKUP($A16,'[2]Sheet 1'!$A$2:$Q$3504,10,FALSE())</f>
        <v>#N/A</v>
      </c>
      <c r="K16" s="0" t="e">
        <f aca="false">VLOOKUP($A16,'[2]Sheet 1'!$A$2:$Q$3504,11,FALSE())</f>
        <v>#N/A</v>
      </c>
      <c r="L16" s="0" t="e">
        <f aca="false">VLOOKUP($A16,'[2]Sheet 1'!$A$2:$Q$3504,12,FALSE())</f>
        <v>#N/A</v>
      </c>
      <c r="M16" s="0" t="e">
        <f aca="false">VLOOKUP($A16,'[2]Sheet 1'!$A$2:$Q$3504,13,FALSE())</f>
        <v>#N/A</v>
      </c>
      <c r="N16" s="0" t="e">
        <f aca="false">VLOOKUP($A16,'[2]Sheet 1'!$A$2:$Q$3504,14,FALSE())</f>
        <v>#N/A</v>
      </c>
      <c r="O16" s="0" t="e">
        <f aca="false">VLOOKUP($A16,'[2]Sheet 1'!$A$2:$Q$3504,15,FALSE())</f>
        <v>#N/A</v>
      </c>
      <c r="P16" s="0" t="e">
        <f aca="false">VLOOKUP($A16,'[2]Sheet 1'!$A$2:$Q$3504,16,FALSE())</f>
        <v>#N/A</v>
      </c>
      <c r="Q16" s="0" t="e">
        <f aca="false">VLOOKUP($A16,'[2]Sheet 1'!$A$2:$Q$3504,17,FALSE())</f>
        <v>#N/A</v>
      </c>
      <c r="S16" s="5"/>
    </row>
    <row r="17" customFormat="false" ht="14.25" hidden="false" customHeight="false" outlineLevel="0" collapsed="false">
      <c r="A17" s="5" t="n">
        <v>39</v>
      </c>
      <c r="B17" s="5" t="s">
        <v>76</v>
      </c>
      <c r="C17" s="5" t="n">
        <v>10</v>
      </c>
      <c r="D17" s="0" t="n">
        <f aca="false">VLOOKUP($A17,'[2]Sheet 1'!$A$2:$Q$3504,4,FALSE())</f>
        <v>47</v>
      </c>
      <c r="E17" s="0" t="n">
        <f aca="false">VLOOKUP($A17,'[2]Sheet 1'!$A$2:$Q$3504,5,FALSE())</f>
        <v>0.28</v>
      </c>
      <c r="F17" s="0" t="n">
        <f aca="false">VLOOKUP($A17,'[2]Sheet 1'!$A$2:$Q$3504,6,FALSE())</f>
        <v>0.3</v>
      </c>
      <c r="G17" s="0" t="n">
        <f aca="false">VLOOKUP($A17,'[2]Sheet 1'!$A$2:$Q$3504,7,FALSE())</f>
        <v>0.13</v>
      </c>
      <c r="H17" s="0" t="n">
        <f aca="false">VLOOKUP($A17,'[2]Sheet 1'!$A$2:$Q$3504,8,FALSE())</f>
        <v>0.2</v>
      </c>
      <c r="I17" s="0" t="n">
        <f aca="false">VLOOKUP($A17,'[2]Sheet 1'!$A$2:$Q$3504,9,FALSE())</f>
        <v>118</v>
      </c>
      <c r="J17" s="0" t="n">
        <f aca="false">VLOOKUP($A17,'[2]Sheet 1'!$A$2:$Q$3504,10,FALSE())</f>
        <v>2</v>
      </c>
      <c r="K17" s="0" t="n">
        <f aca="false">VLOOKUP($A17,'[2]Sheet 1'!$A$2:$Q$3504,11,FALSE())</f>
        <v>0.142</v>
      </c>
      <c r="L17" s="0" t="n">
        <f aca="false">VLOOKUP($A17,'[2]Sheet 1'!$A$2:$Q$3504,12,FALSE())</f>
        <v>2.1</v>
      </c>
      <c r="M17" s="0" t="n">
        <f aca="false">VLOOKUP($A17,'[2]Sheet 1'!$A$2:$Q$3504,13,FALSE())</f>
        <v>27</v>
      </c>
      <c r="N17" s="0" t="n">
        <f aca="false">VLOOKUP($A17,'[2]Sheet 1'!$A$2:$Q$3504,14,FALSE())</f>
        <v>0.47</v>
      </c>
      <c r="O17" s="0" t="n">
        <f aca="false">VLOOKUP($A17,'[2]Sheet 1'!$A$2:$Q$3504,15,FALSE())</f>
        <v>0.63</v>
      </c>
      <c r="P17" s="0" t="n">
        <f aca="false">VLOOKUP($A17,'[2]Sheet 1'!$A$2:$Q$3504,16,FALSE())</f>
        <v>0.2</v>
      </c>
      <c r="Q17" s="0" t="n">
        <f aca="false">VLOOKUP($A17,'[2]Sheet 1'!$A$2:$Q$3504,17,FALSE())</f>
        <v>63</v>
      </c>
      <c r="S17" s="5"/>
    </row>
    <row r="18" customFormat="false" ht="14.25" hidden="false" customHeight="false" outlineLevel="0" collapsed="false">
      <c r="A18" s="5" t="n">
        <v>41</v>
      </c>
      <c r="B18" s="5" t="s">
        <v>78</v>
      </c>
      <c r="C18" s="5" t="n">
        <v>96.5</v>
      </c>
      <c r="D18" s="0" t="n">
        <f aca="false">VLOOKUP($A18,'[2]Sheet 1'!$A$2:$Q$3504,4,FALSE())</f>
        <v>62</v>
      </c>
      <c r="E18" s="0" t="n">
        <f aca="false">VLOOKUP($A18,'[2]Sheet 1'!$A$2:$Q$3504,5,FALSE())</f>
        <v>2</v>
      </c>
      <c r="F18" s="0" t="n">
        <f aca="false">VLOOKUP($A18,'[2]Sheet 1'!$A$2:$Q$3504,6,FALSE())</f>
        <v>1.6</v>
      </c>
      <c r="G18" s="0" t="n">
        <f aca="false">VLOOKUP($A18,'[2]Sheet 1'!$A$2:$Q$3504,7,FALSE())</f>
        <v>0.48</v>
      </c>
      <c r="H18" s="0" t="n">
        <f aca="false">VLOOKUP($A18,'[2]Sheet 1'!$A$2:$Q$3504,8,FALSE())</f>
        <v>0.62</v>
      </c>
      <c r="I18" s="0" t="n">
        <f aca="false">VLOOKUP($A18,'[2]Sheet 1'!$A$2:$Q$3504,9,FALSE())</f>
        <v>7</v>
      </c>
      <c r="J18" s="0" t="n">
        <f aca="false">VLOOKUP($A18,'[2]Sheet 1'!$A$2:$Q$3504,10,FALSE())</f>
        <v>14</v>
      </c>
      <c r="K18" s="0" t="n">
        <f aca="false">VLOOKUP($A18,'[2]Sheet 1'!$A$2:$Q$3504,11,FALSE())</f>
        <v>0.05</v>
      </c>
      <c r="L18" s="0" t="n">
        <f aca="false">VLOOKUP($A18,'[2]Sheet 1'!$A$2:$Q$3504,12,FALSE())</f>
        <v>4.2</v>
      </c>
      <c r="M18" s="0" t="n">
        <f aca="false">VLOOKUP($A18,'[2]Sheet 1'!$A$2:$Q$3504,13,FALSE())</f>
        <v>71</v>
      </c>
      <c r="N18" s="0" t="n">
        <f aca="false">VLOOKUP($A18,'[2]Sheet 1'!$A$2:$Q$3504,14,FALSE())</f>
        <v>0.24</v>
      </c>
      <c r="O18" s="0" t="n">
        <f aca="false">VLOOKUP($A18,'[2]Sheet 1'!$A$2:$Q$3504,15,FALSE())</f>
        <v>0</v>
      </c>
      <c r="P18" s="0" t="n">
        <f aca="false">VLOOKUP($A18,'[2]Sheet 1'!$A$2:$Q$3504,16,FALSE())</f>
        <v>0.4</v>
      </c>
      <c r="Q18" s="0" t="n">
        <f aca="false">VLOOKUP($A18,'[2]Sheet 1'!$A$2:$Q$3504,17,FALSE())</f>
        <v>0</v>
      </c>
      <c r="S18" s="5"/>
    </row>
    <row r="19" customFormat="false" ht="14.25" hidden="false" customHeight="false" outlineLevel="0" collapsed="false">
      <c r="A19" s="5" t="n">
        <v>44</v>
      </c>
      <c r="B19" s="5" t="s">
        <v>81</v>
      </c>
      <c r="C19" s="5" t="n">
        <v>86</v>
      </c>
      <c r="D19" s="0" t="n">
        <f aca="false">VLOOKUP($A19,'[2]Sheet 1'!$A$2:$Q$3504,4,FALSE())</f>
        <v>342</v>
      </c>
      <c r="E19" s="0" t="n">
        <f aca="false">VLOOKUP($A19,'[2]Sheet 1'!$A$2:$Q$3504,5,FALSE())</f>
        <v>9.85</v>
      </c>
      <c r="F19" s="0" t="n">
        <f aca="false">VLOOKUP($A19,'[2]Sheet 1'!$A$2:$Q$3504,6,FALSE())</f>
        <v>5.2</v>
      </c>
      <c r="G19" s="0" t="n">
        <f aca="false">VLOOKUP($A19,'[2]Sheet 1'!$A$2:$Q$3504,7,FALSE())</f>
        <v>2.38</v>
      </c>
      <c r="H19" s="0" t="n">
        <f aca="false">VLOOKUP($A19,'[2]Sheet 1'!$A$2:$Q$3504,8,FALSE())</f>
        <v>4.5</v>
      </c>
      <c r="I19" s="0" t="n">
        <f aca="false">VLOOKUP($A19,'[2]Sheet 1'!$A$2:$Q$3504,9,FALSE())</f>
        <v>54.5</v>
      </c>
      <c r="J19" s="0" t="n">
        <f aca="false">VLOOKUP($A19,'[2]Sheet 1'!$A$2:$Q$3504,10,FALSE())</f>
        <v>21</v>
      </c>
      <c r="K19" s="0" t="n">
        <f aca="false">VLOOKUP($A19,'[2]Sheet 1'!$A$2:$Q$3504,11,FALSE())</f>
        <v>0.114</v>
      </c>
      <c r="L19" s="0" t="n">
        <f aca="false">VLOOKUP($A19,'[2]Sheet 1'!$A$2:$Q$3504,12,FALSE())</f>
        <v>37.8</v>
      </c>
      <c r="M19" s="0" t="n">
        <f aca="false">VLOOKUP($A19,'[2]Sheet 1'!$A$2:$Q$3504,13,FALSE())</f>
        <v>220</v>
      </c>
      <c r="N19" s="0" t="n">
        <f aca="false">VLOOKUP($A19,'[2]Sheet 1'!$A$2:$Q$3504,14,FALSE())</f>
        <v>0.57</v>
      </c>
      <c r="O19" s="0" t="n">
        <f aca="false">VLOOKUP($A19,'[2]Sheet 1'!$A$2:$Q$3504,15,FALSE())</f>
        <v>0</v>
      </c>
      <c r="P19" s="0" t="n">
        <f aca="false">VLOOKUP($A19,'[2]Sheet 1'!$A$2:$Q$3504,16,FALSE())</f>
        <v>2.2</v>
      </c>
      <c r="Q19" s="0" t="n">
        <f aca="false">VLOOKUP($A19,'[2]Sheet 1'!$A$2:$Q$3504,17,FALSE())</f>
        <v>0</v>
      </c>
      <c r="S19" s="5"/>
    </row>
    <row r="20" customFormat="false" ht="14.25" hidden="false" customHeight="false" outlineLevel="0" collapsed="false">
      <c r="A20" s="5" t="n">
        <v>46</v>
      </c>
      <c r="B20" s="5" t="s">
        <v>84</v>
      </c>
      <c r="C20" s="5" t="n">
        <v>88</v>
      </c>
      <c r="D20" s="0" t="n">
        <f aca="false">VLOOKUP($A20,'[2]Sheet 1'!$A$2:$Q$3504,4,FALSE())</f>
        <v>123</v>
      </c>
      <c r="E20" s="0" t="n">
        <f aca="false">VLOOKUP($A20,'[2]Sheet 1'!$A$2:$Q$3504,5,FALSE())</f>
        <v>2.26</v>
      </c>
      <c r="F20" s="0" t="n">
        <f aca="false">VLOOKUP($A20,'[2]Sheet 1'!$A$2:$Q$3504,6,FALSE())</f>
        <v>3.8</v>
      </c>
      <c r="G20" s="0" t="n">
        <f aca="false">VLOOKUP($A20,'[2]Sheet 1'!$A$2:$Q$3504,7,FALSE())</f>
        <v>0.82</v>
      </c>
      <c r="H20" s="0" t="n">
        <f aca="false">VLOOKUP($A20,'[2]Sheet 1'!$A$2:$Q$3504,8,FALSE())</f>
        <v>1.33</v>
      </c>
      <c r="I20" s="0" t="n">
        <f aca="false">VLOOKUP($A20,'[2]Sheet 1'!$A$2:$Q$3504,9,FALSE())</f>
        <v>11</v>
      </c>
      <c r="J20" s="0" t="n">
        <f aca="false">VLOOKUP($A20,'[2]Sheet 1'!$A$2:$Q$3504,10,FALSE())</f>
        <v>16</v>
      </c>
      <c r="K20" s="0" t="n">
        <f aca="false">VLOOKUP($A20,'[2]Sheet 1'!$A$2:$Q$3504,11,FALSE())</f>
        <v>0.062</v>
      </c>
      <c r="L20" s="0" t="n">
        <f aca="false">VLOOKUP($A20,'[2]Sheet 1'!$A$2:$Q$3504,12,FALSE())</f>
        <v>13.4</v>
      </c>
      <c r="M20" s="0" t="n">
        <f aca="false">VLOOKUP($A20,'[2]Sheet 1'!$A$2:$Q$3504,13,FALSE())</f>
        <v>93</v>
      </c>
      <c r="N20" s="0" t="n">
        <f aca="false">VLOOKUP($A20,'[2]Sheet 1'!$A$2:$Q$3504,14,FALSE())</f>
        <v>0.01</v>
      </c>
      <c r="O20" s="0" t="n">
        <f aca="false">VLOOKUP($A20,'[2]Sheet 1'!$A$2:$Q$3504,15,FALSE())</f>
        <v>0</v>
      </c>
      <c r="P20" s="0" t="n">
        <f aca="false">VLOOKUP($A20,'[2]Sheet 1'!$A$2:$Q$3504,16,FALSE())</f>
        <v>0.8</v>
      </c>
      <c r="Q20" s="0" t="n">
        <f aca="false">VLOOKUP($A20,'[2]Sheet 1'!$A$2:$Q$3504,17,FALSE())</f>
        <v>0</v>
      </c>
      <c r="S20" s="5"/>
    </row>
    <row r="21" customFormat="false" ht="14.25" hidden="false" customHeight="false" outlineLevel="0" collapsed="false">
      <c r="A21" s="5" t="n">
        <v>49</v>
      </c>
      <c r="B21" s="5" t="s">
        <v>87</v>
      </c>
      <c r="C21" s="5" t="n">
        <v>95</v>
      </c>
      <c r="D21" s="0" t="n">
        <f aca="false">VLOOKUP($A21,'[2]Sheet 1'!$A$2:$Q$3504,4,FALSE())</f>
        <v>361</v>
      </c>
      <c r="E21" s="0" t="n">
        <f aca="false">VLOOKUP($A21,'[2]Sheet 1'!$A$2:$Q$3504,5,FALSE())</f>
        <v>10.28</v>
      </c>
      <c r="F21" s="0" t="n">
        <f aca="false">VLOOKUP($A21,'[2]Sheet 1'!$A$2:$Q$3504,6,FALSE())</f>
        <v>7.1</v>
      </c>
      <c r="G21" s="0" t="n">
        <f aca="false">VLOOKUP($A21,'[2]Sheet 1'!$A$2:$Q$3504,7,FALSE())</f>
        <v>2.06</v>
      </c>
      <c r="H21" s="0" t="n">
        <f aca="false">VLOOKUP($A21,'[2]Sheet 1'!$A$2:$Q$3504,8,FALSE())</f>
        <v>4.71</v>
      </c>
      <c r="I21" s="0" t="n">
        <f aca="false">VLOOKUP($A21,'[2]Sheet 1'!$A$2:$Q$3504,9,FALSE())</f>
        <v>37</v>
      </c>
      <c r="J21" s="0" t="n">
        <f aca="false">VLOOKUP($A21,'[2]Sheet 1'!$A$2:$Q$3504,10,FALSE())</f>
        <v>38</v>
      </c>
      <c r="K21" s="0" t="n">
        <f aca="false">VLOOKUP($A21,'[2]Sheet 1'!$A$2:$Q$3504,11,FALSE())</f>
        <v>0.308</v>
      </c>
      <c r="L21" s="0" t="n">
        <f aca="false">VLOOKUP($A21,'[2]Sheet 1'!$A$2:$Q$3504,12,FALSE())</f>
        <v>0</v>
      </c>
      <c r="M21" s="0" t="n">
        <f aca="false">VLOOKUP($A21,'[2]Sheet 1'!$A$2:$Q$3504,13,FALSE())</f>
        <v>224</v>
      </c>
      <c r="N21" s="0" t="n">
        <f aca="false">VLOOKUP($A21,'[2]Sheet 1'!$A$2:$Q$3504,14,FALSE())</f>
        <v>0.57</v>
      </c>
      <c r="O21" s="0" t="n">
        <f aca="false">VLOOKUP($A21,'[2]Sheet 1'!$A$2:$Q$3504,15,FALSE())</f>
        <v>0</v>
      </c>
      <c r="P21" s="0" t="n">
        <f aca="false">VLOOKUP($A21,'[2]Sheet 1'!$A$2:$Q$3504,16,FALSE())</f>
        <v>2.2</v>
      </c>
      <c r="Q21" s="0" t="n">
        <f aca="false">VLOOKUP($A21,'[2]Sheet 1'!$A$2:$Q$3504,17,FALSE())</f>
        <v>1</v>
      </c>
      <c r="S21" s="5"/>
    </row>
    <row r="22" customFormat="false" ht="14.25" hidden="false" customHeight="false" outlineLevel="0" collapsed="false">
      <c r="A22" s="5" t="n">
        <v>51</v>
      </c>
      <c r="B22" s="5" t="s">
        <v>90</v>
      </c>
      <c r="C22" s="5" t="n">
        <v>10</v>
      </c>
      <c r="D22" s="0" t="n">
        <f aca="false">VLOOKUP($A22,'[2]Sheet 1'!$A$2:$Q$3504,4,FALSE())</f>
        <v>33.5</v>
      </c>
      <c r="E22" s="0" t="n">
        <f aca="false">VLOOKUP($A22,'[2]Sheet 1'!$A$2:$Q$3504,5,FALSE())</f>
        <v>0.35</v>
      </c>
      <c r="F22" s="0" t="n">
        <f aca="false">VLOOKUP($A22,'[2]Sheet 1'!$A$2:$Q$3504,6,FALSE())</f>
        <v>0</v>
      </c>
      <c r="G22" s="0" t="n">
        <f aca="false">VLOOKUP($A22,'[2]Sheet 1'!$A$2:$Q$3504,7,FALSE())</f>
        <v>0.01</v>
      </c>
      <c r="H22" s="0" t="n">
        <f aca="false">VLOOKUP($A22,'[2]Sheet 1'!$A$2:$Q$3504,8,FALSE())</f>
        <v>0.1</v>
      </c>
      <c r="I22" s="0" t="n">
        <f aca="false">VLOOKUP($A22,'[2]Sheet 1'!$A$2:$Q$3504,9,FALSE())</f>
        <v>4</v>
      </c>
      <c r="J22" s="0" t="n">
        <f aca="false">VLOOKUP($A22,'[2]Sheet 1'!$A$2:$Q$3504,10,FALSE())</f>
        <v>5.5</v>
      </c>
      <c r="K22" s="0" t="n">
        <f aca="false">VLOOKUP($A22,'[2]Sheet 1'!$A$2:$Q$3504,11,FALSE())</f>
        <v>0.03</v>
      </c>
      <c r="L22" s="0" t="n">
        <f aca="false">VLOOKUP($A22,'[2]Sheet 1'!$A$2:$Q$3504,12,FALSE())</f>
        <v>10.1</v>
      </c>
      <c r="M22" s="0" t="n">
        <f aca="false">VLOOKUP($A22,'[2]Sheet 1'!$A$2:$Q$3504,13,FALSE())</f>
        <v>27.95</v>
      </c>
      <c r="N22" s="0" t="n">
        <f aca="false">VLOOKUP($A22,'[2]Sheet 1'!$A$2:$Q$3504,14,FALSE())</f>
        <v>0</v>
      </c>
      <c r="O22" s="0" t="n">
        <f aca="false">VLOOKUP($A22,'[2]Sheet 1'!$A$2:$Q$3504,15,FALSE())</f>
        <v>0.01</v>
      </c>
      <c r="P22" s="0" t="n">
        <f aca="false">VLOOKUP($A22,'[2]Sheet 1'!$A$2:$Q$3504,16,FALSE())</f>
        <v>0</v>
      </c>
      <c r="Q22" s="0" t="n">
        <f aca="false">VLOOKUP($A22,'[2]Sheet 1'!$A$2:$Q$3504,17,FALSE())</f>
        <v>0</v>
      </c>
      <c r="S22" s="5"/>
    </row>
    <row r="23" customFormat="false" ht="14.25" hidden="false" customHeight="false" outlineLevel="0" collapsed="false">
      <c r="A23" s="5" t="n">
        <v>56</v>
      </c>
      <c r="B23" s="5" t="s">
        <v>92</v>
      </c>
      <c r="C23" s="5" t="n">
        <v>86</v>
      </c>
      <c r="D23" s="0" t="n">
        <f aca="false">VLOOKUP($A23,'[2]Sheet 1'!$A$2:$Q$3504,4,FALSE())</f>
        <v>353.65</v>
      </c>
      <c r="E23" s="0" t="n">
        <f aca="false">VLOOKUP($A23,'[2]Sheet 1'!$A$2:$Q$3504,5,FALSE())</f>
        <v>8.6</v>
      </c>
      <c r="F23" s="0" t="n">
        <f aca="false">VLOOKUP($A23,'[2]Sheet 1'!$A$2:$Q$3504,6,FALSE())</f>
        <v>3</v>
      </c>
      <c r="G23" s="0" t="n">
        <f aca="false">VLOOKUP($A23,'[2]Sheet 1'!$A$2:$Q$3504,7,FALSE())</f>
        <v>1.7</v>
      </c>
      <c r="H23" s="0" t="n">
        <f aca="false">VLOOKUP($A23,'[2]Sheet 1'!$A$2:$Q$3504,8,FALSE())</f>
        <v>2.755</v>
      </c>
      <c r="I23" s="0" t="n">
        <f aca="false">VLOOKUP($A23,'[2]Sheet 1'!$A$2:$Q$3504,9,FALSE())</f>
        <v>10</v>
      </c>
      <c r="J23" s="0" t="n">
        <f aca="false">VLOOKUP($A23,'[2]Sheet 1'!$A$2:$Q$3504,10,FALSE())</f>
        <v>25.41175807</v>
      </c>
      <c r="K23" s="0" t="n">
        <f aca="false">VLOOKUP($A23,'[2]Sheet 1'!$A$2:$Q$3504,11,FALSE())</f>
        <v>0.12</v>
      </c>
      <c r="L23" s="0" t="n">
        <f aca="false">VLOOKUP($A23,'[2]Sheet 1'!$A$2:$Q$3504,12,FALSE())</f>
        <v>0</v>
      </c>
      <c r="M23" s="0" t="n">
        <f aca="false">VLOOKUP($A23,'[2]Sheet 1'!$A$2:$Q$3504,13,FALSE())</f>
        <v>287</v>
      </c>
      <c r="N23" s="0" t="n">
        <f aca="false">VLOOKUP($A23,'[2]Sheet 1'!$A$2:$Q$3504,14,FALSE())</f>
        <v>0.49</v>
      </c>
      <c r="O23" s="0" t="n">
        <f aca="false">VLOOKUP($A23,'[2]Sheet 1'!$A$2:$Q$3504,15,FALSE())</f>
        <v>0</v>
      </c>
      <c r="P23" s="0" t="n">
        <f aca="false">VLOOKUP($A23,'[2]Sheet 1'!$A$2:$Q$3504,16,FALSE())</f>
        <v>0.3</v>
      </c>
      <c r="Q23" s="0" t="n">
        <f aca="false">VLOOKUP($A23,'[2]Sheet 1'!$A$2:$Q$3504,17,FALSE())</f>
        <v>1.3333333335</v>
      </c>
      <c r="S23" s="5"/>
    </row>
    <row r="24" customFormat="false" ht="14.25" hidden="false" customHeight="false" outlineLevel="0" collapsed="false">
      <c r="A24" s="5" t="n">
        <v>57</v>
      </c>
      <c r="B24" s="5" t="s">
        <v>95</v>
      </c>
      <c r="C24" s="5" t="n">
        <v>96</v>
      </c>
      <c r="D24" s="0" t="n">
        <f aca="false">VLOOKUP($A24,'[2]Sheet 1'!$A$2:$Q$3504,4,FALSE())</f>
        <v>381</v>
      </c>
      <c r="E24" s="0" t="n">
        <f aca="false">VLOOKUP($A24,'[2]Sheet 1'!$A$2:$Q$3504,5,FALSE())</f>
        <v>0.26</v>
      </c>
      <c r="F24" s="0" t="n">
        <f aca="false">VLOOKUP($A24,'[2]Sheet 1'!$A$2:$Q$3504,6,FALSE())</f>
        <v>0.9</v>
      </c>
      <c r="G24" s="0" t="n">
        <f aca="false">VLOOKUP($A24,'[2]Sheet 1'!$A$2:$Q$3504,7,FALSE())</f>
        <v>0.06</v>
      </c>
      <c r="H24" s="0" t="n">
        <f aca="false">VLOOKUP($A24,'[2]Sheet 1'!$A$2:$Q$3504,8,FALSE())</f>
        <v>0.47</v>
      </c>
      <c r="I24" s="0" t="n">
        <f aca="false">VLOOKUP($A24,'[2]Sheet 1'!$A$2:$Q$3504,9,FALSE())</f>
        <v>2</v>
      </c>
      <c r="J24" s="0" t="n">
        <f aca="false">VLOOKUP($A24,'[2]Sheet 1'!$A$2:$Q$3504,10,FALSE())</f>
        <v>0</v>
      </c>
      <c r="K24" s="0" t="n">
        <f aca="false">VLOOKUP($A24,'[2]Sheet 1'!$A$2:$Q$3504,11,FALSE())</f>
        <v>0</v>
      </c>
      <c r="L24" s="0" t="n">
        <f aca="false">VLOOKUP($A24,'[2]Sheet 1'!$A$2:$Q$3504,12,FALSE())</f>
        <v>0.4</v>
      </c>
      <c r="M24" s="0" t="n">
        <f aca="false">VLOOKUP($A24,'[2]Sheet 1'!$A$2:$Q$3504,13,FALSE())</f>
        <v>3</v>
      </c>
      <c r="N24" s="0" t="n">
        <f aca="false">VLOOKUP($A24,'[2]Sheet 1'!$A$2:$Q$3504,14,FALSE())</f>
        <v>0</v>
      </c>
      <c r="O24" s="0" t="n">
        <f aca="false">VLOOKUP($A24,'[2]Sheet 1'!$A$2:$Q$3504,15,FALSE())</f>
        <v>0</v>
      </c>
      <c r="P24" s="0" t="n">
        <f aca="false">VLOOKUP($A24,'[2]Sheet 1'!$A$2:$Q$3504,16,FALSE())</f>
        <v>0</v>
      </c>
      <c r="Q24" s="0" t="n">
        <f aca="false">VLOOKUP($A24,'[2]Sheet 1'!$A$2:$Q$3504,17,FALSE())</f>
        <v>0</v>
      </c>
      <c r="S24" s="5"/>
    </row>
    <row r="25" customFormat="false" ht="14.25" hidden="false" customHeight="false" outlineLevel="0" collapsed="false">
      <c r="A25" s="5" t="n">
        <v>58</v>
      </c>
      <c r="B25" s="5" t="s">
        <v>97</v>
      </c>
      <c r="C25" s="5" t="n">
        <v>88</v>
      </c>
      <c r="D25" s="0" t="n">
        <f aca="false">VLOOKUP($A25,'[2]Sheet 1'!$A$2:$Q$3504,4,FALSE())</f>
        <v>353</v>
      </c>
      <c r="E25" s="0" t="n">
        <f aca="false">VLOOKUP($A25,'[2]Sheet 1'!$A$2:$Q$3504,5,FALSE())</f>
        <v>8.7</v>
      </c>
      <c r="F25" s="0" t="n">
        <f aca="false">VLOOKUP($A25,'[2]Sheet 1'!$A$2:$Q$3504,6,FALSE())</f>
        <v>3.4</v>
      </c>
      <c r="G25" s="0" t="n">
        <f aca="false">VLOOKUP($A25,'[2]Sheet 1'!$A$2:$Q$3504,7,FALSE())</f>
        <v>1.475</v>
      </c>
      <c r="H25" s="0" t="n">
        <f aca="false">VLOOKUP($A25,'[2]Sheet 1'!$A$2:$Q$3504,8,FALSE())</f>
        <v>2.9</v>
      </c>
      <c r="I25" s="0" t="n">
        <f aca="false">VLOOKUP($A25,'[2]Sheet 1'!$A$2:$Q$3504,9,FALSE())</f>
        <v>17.5</v>
      </c>
      <c r="J25" s="0" t="n">
        <f aca="false">VLOOKUP($A25,'[2]Sheet 1'!$A$2:$Q$3504,10,FALSE())</f>
        <v>10</v>
      </c>
      <c r="K25" s="0" t="n">
        <f aca="false">VLOOKUP($A25,'[2]Sheet 1'!$A$2:$Q$3504,11,FALSE())</f>
        <v>0.095</v>
      </c>
      <c r="L25" s="0" t="n">
        <f aca="false">VLOOKUP($A25,'[2]Sheet 1'!$A$2:$Q$3504,12,FALSE())</f>
        <v>0</v>
      </c>
      <c r="M25" s="0" t="n">
        <f aca="false">VLOOKUP($A25,'[2]Sheet 1'!$A$2:$Q$3504,13,FALSE())</f>
        <v>180</v>
      </c>
      <c r="N25" s="0" t="n">
        <f aca="false">VLOOKUP($A25,'[2]Sheet 1'!$A$2:$Q$3504,14,FALSE())</f>
        <v>0.42</v>
      </c>
      <c r="O25" s="0" t="n">
        <f aca="false">VLOOKUP($A25,'[2]Sheet 1'!$A$2:$Q$3504,15,FALSE())</f>
        <v>0</v>
      </c>
      <c r="P25" s="0" t="n">
        <f aca="false">VLOOKUP($A25,'[2]Sheet 1'!$A$2:$Q$3504,16,FALSE())</f>
        <v>0.3</v>
      </c>
      <c r="Q25" s="0" t="n">
        <f aca="false">VLOOKUP($A25,'[2]Sheet 1'!$A$2:$Q$3504,17,FALSE())</f>
        <v>0.0416666665</v>
      </c>
      <c r="S25" s="5"/>
    </row>
    <row r="26" customFormat="false" ht="14.25" hidden="false" customHeight="false" outlineLevel="0" collapsed="false">
      <c r="A26" s="5" t="n">
        <v>59</v>
      </c>
      <c r="B26" s="5" t="s">
        <v>100</v>
      </c>
      <c r="C26" s="5" t="n">
        <v>88</v>
      </c>
      <c r="D26" s="0" t="n">
        <f aca="false">VLOOKUP($A26,'[2]Sheet 1'!$A$2:$Q$3504,4,FALSE())</f>
        <v>224</v>
      </c>
      <c r="E26" s="0" t="n">
        <f aca="false">VLOOKUP($A26,'[2]Sheet 1'!$A$2:$Q$3504,5,FALSE())</f>
        <v>8.36</v>
      </c>
      <c r="F26" s="0" t="n">
        <f aca="false">VLOOKUP($A26,'[2]Sheet 1'!$A$2:$Q$3504,6,FALSE())</f>
        <v>79</v>
      </c>
      <c r="G26" s="0" t="n">
        <f aca="false">VLOOKUP($A26,'[2]Sheet 1'!$A$2:$Q$3504,7,FALSE())</f>
        <v>1.56</v>
      </c>
      <c r="H26" s="0" t="n">
        <f aca="false">VLOOKUP($A26,'[2]Sheet 1'!$A$2:$Q$3504,8,FALSE())</f>
        <v>2.79</v>
      </c>
      <c r="I26" s="0" t="n">
        <f aca="false">VLOOKUP($A26,'[2]Sheet 1'!$A$2:$Q$3504,9,FALSE())</f>
        <v>42</v>
      </c>
      <c r="J26" s="0" t="n">
        <f aca="false">VLOOKUP($A26,'[2]Sheet 1'!$A$2:$Q$3504,10,FALSE())</f>
        <v>4</v>
      </c>
      <c r="K26" s="0" t="n">
        <f aca="false">VLOOKUP($A26,'[2]Sheet 1'!$A$2:$Q$3504,11,FALSE())</f>
        <v>0.1</v>
      </c>
      <c r="L26" s="0" t="n">
        <f aca="false">VLOOKUP($A26,'[2]Sheet 1'!$A$2:$Q$3504,12,FALSE())</f>
        <v>18.1</v>
      </c>
      <c r="M26" s="0" t="n">
        <f aca="false">VLOOKUP($A26,'[2]Sheet 1'!$A$2:$Q$3504,13,FALSE())</f>
        <v>44</v>
      </c>
      <c r="N26" s="0" t="n">
        <f aca="false">VLOOKUP($A26,'[2]Sheet 1'!$A$2:$Q$3504,14,FALSE())</f>
        <v>0.42</v>
      </c>
      <c r="O26" s="0" t="n">
        <f aca="false">VLOOKUP($A26,'[2]Sheet 1'!$A$2:$Q$3504,15,FALSE())</f>
        <v>0</v>
      </c>
      <c r="P26" s="0" t="n">
        <f aca="false">VLOOKUP($A26,'[2]Sheet 1'!$A$2:$Q$3504,16,FALSE())</f>
        <v>0.3</v>
      </c>
      <c r="Q26" s="0" t="n">
        <f aca="false">VLOOKUP($A26,'[2]Sheet 1'!$A$2:$Q$3504,17,FALSE())</f>
        <v>4</v>
      </c>
      <c r="S26" s="5"/>
    </row>
    <row r="27" customFormat="false" ht="14.25" hidden="false" customHeight="false" outlineLevel="0" collapsed="false">
      <c r="A27" s="5" t="n">
        <v>60</v>
      </c>
      <c r="B27" s="5" t="s">
        <v>102</v>
      </c>
      <c r="C27" s="5" t="n">
        <v>100</v>
      </c>
      <c r="D27" s="0" t="n">
        <f aca="false">VLOOKUP($A27,'[2]Sheet 1'!$A$2:$Q$3504,4,FALSE())</f>
        <v>900</v>
      </c>
      <c r="E27" s="0" t="n">
        <f aca="false">VLOOKUP($A27,'[2]Sheet 1'!$A$2:$Q$3504,5,FALSE())</f>
        <v>0</v>
      </c>
      <c r="F27" s="0" t="n">
        <f aca="false">VLOOKUP($A27,'[2]Sheet 1'!$A$2:$Q$3504,6,FALSE())</f>
        <v>0</v>
      </c>
      <c r="G27" s="0" t="n">
        <f aca="false">VLOOKUP($A27,'[2]Sheet 1'!$A$2:$Q$3504,7,FALSE())</f>
        <v>0</v>
      </c>
      <c r="H27" s="0" t="n">
        <f aca="false">VLOOKUP($A27,'[2]Sheet 1'!$A$2:$Q$3504,8,FALSE())</f>
        <v>0</v>
      </c>
      <c r="I27" s="0" t="n">
        <f aca="false">VLOOKUP($A27,'[2]Sheet 1'!$A$2:$Q$3504,9,FALSE())</f>
        <v>0</v>
      </c>
      <c r="J27" s="0" t="n">
        <f aca="false">VLOOKUP($A27,'[2]Sheet 1'!$A$2:$Q$3504,10,FALSE())</f>
        <v>0</v>
      </c>
      <c r="K27" s="0" t="n">
        <f aca="false">VLOOKUP($A27,'[2]Sheet 1'!$A$2:$Q$3504,11,FALSE())</f>
        <v>0</v>
      </c>
      <c r="L27" s="0" t="n">
        <f aca="false">VLOOKUP($A27,'[2]Sheet 1'!$A$2:$Q$3504,12,FALSE())</f>
        <v>0.2</v>
      </c>
      <c r="M27" s="0" t="n">
        <f aca="false">VLOOKUP($A27,'[2]Sheet 1'!$A$2:$Q$3504,13,FALSE())</f>
        <v>0</v>
      </c>
      <c r="N27" s="0" t="n">
        <f aca="false">VLOOKUP($A27,'[2]Sheet 1'!$A$2:$Q$3504,14,FALSE())</f>
        <v>14.3</v>
      </c>
      <c r="O27" s="0" t="n">
        <f aca="false">VLOOKUP($A27,'[2]Sheet 1'!$A$2:$Q$3504,15,FALSE())</f>
        <v>0</v>
      </c>
      <c r="P27" s="0" t="n">
        <f aca="false">VLOOKUP($A27,'[2]Sheet 1'!$A$2:$Q$3504,16,FALSE())</f>
        <v>1.9</v>
      </c>
      <c r="Q27" s="0" t="n">
        <f aca="false">VLOOKUP($A27,'[2]Sheet 1'!$A$2:$Q$3504,17,FALSE())</f>
        <v>0</v>
      </c>
      <c r="S27" s="5"/>
    </row>
    <row r="28" customFormat="false" ht="14.25" hidden="false" customHeight="false" outlineLevel="0" collapsed="false">
      <c r="A28" s="5" t="n">
        <v>61</v>
      </c>
      <c r="B28" s="5" t="s">
        <v>105</v>
      </c>
      <c r="C28" s="5" t="n">
        <v>88</v>
      </c>
      <c r="D28" s="0" t="n">
        <f aca="false">VLOOKUP($A28,'[2]Sheet 1'!$A$2:$Q$3504,4,FALSE())</f>
        <v>381</v>
      </c>
      <c r="E28" s="0" t="n">
        <f aca="false">VLOOKUP($A28,'[2]Sheet 1'!$A$2:$Q$3504,5,FALSE())</f>
        <v>0.26</v>
      </c>
      <c r="F28" s="0" t="n">
        <f aca="false">VLOOKUP($A28,'[2]Sheet 1'!$A$2:$Q$3504,6,FALSE())</f>
        <v>0.9</v>
      </c>
      <c r="G28" s="0" t="n">
        <f aca="false">VLOOKUP($A28,'[2]Sheet 1'!$A$2:$Q$3504,7,FALSE())</f>
        <v>0.06</v>
      </c>
      <c r="H28" s="0" t="n">
        <f aca="false">VLOOKUP($A28,'[2]Sheet 1'!$A$2:$Q$3504,8,FALSE())</f>
        <v>0.47</v>
      </c>
      <c r="I28" s="0" t="n">
        <f aca="false">VLOOKUP($A28,'[2]Sheet 1'!$A$2:$Q$3504,9,FALSE())</f>
        <v>2</v>
      </c>
      <c r="J28" s="0" t="n">
        <f aca="false">VLOOKUP($A28,'[2]Sheet 1'!$A$2:$Q$3504,10,FALSE())</f>
        <v>0</v>
      </c>
      <c r="K28" s="0" t="n">
        <f aca="false">VLOOKUP($A28,'[2]Sheet 1'!$A$2:$Q$3504,11,FALSE())</f>
        <v>0</v>
      </c>
      <c r="L28" s="0" t="n">
        <f aca="false">VLOOKUP($A28,'[2]Sheet 1'!$A$2:$Q$3504,12,FALSE())</f>
        <v>0.4</v>
      </c>
      <c r="M28" s="0" t="n">
        <f aca="false">VLOOKUP($A28,'[2]Sheet 1'!$A$2:$Q$3504,13,FALSE())</f>
        <v>3</v>
      </c>
      <c r="N28" s="0" t="n">
        <f aca="false">VLOOKUP($A28,'[2]Sheet 1'!$A$2:$Q$3504,14,FALSE())</f>
        <v>0</v>
      </c>
      <c r="O28" s="0" t="n">
        <f aca="false">VLOOKUP($A28,'[2]Sheet 1'!$A$2:$Q$3504,15,FALSE())</f>
        <v>0</v>
      </c>
      <c r="P28" s="0" t="n">
        <f aca="false">VLOOKUP($A28,'[2]Sheet 1'!$A$2:$Q$3504,16,FALSE())</f>
        <v>0</v>
      </c>
      <c r="Q28" s="0" t="n">
        <f aca="false">VLOOKUP($A28,'[2]Sheet 1'!$A$2:$Q$3504,17,FALSE())</f>
        <v>0</v>
      </c>
      <c r="S28" s="5"/>
    </row>
    <row r="29" customFormat="false" ht="14.25" hidden="false" customHeight="false" outlineLevel="0" collapsed="false">
      <c r="A29" s="5" t="n">
        <v>71</v>
      </c>
      <c r="B29" s="5" t="s">
        <v>109</v>
      </c>
      <c r="C29" s="5" t="n">
        <v>86</v>
      </c>
      <c r="D29" s="0" t="n">
        <f aca="false">VLOOKUP($A29,'[2]Sheet 1'!$A$2:$Q$3504,4,FALSE())</f>
        <v>338</v>
      </c>
      <c r="E29" s="0" t="n">
        <f aca="false">VLOOKUP($A29,'[2]Sheet 1'!$A$2:$Q$3504,5,FALSE())</f>
        <v>10.42</v>
      </c>
      <c r="F29" s="0" t="n">
        <f aca="false">VLOOKUP($A29,'[2]Sheet 1'!$A$2:$Q$3504,6,FALSE())</f>
        <v>2</v>
      </c>
      <c r="G29" s="0" t="n">
        <f aca="false">VLOOKUP($A29,'[2]Sheet 1'!$A$2:$Q$3504,7,FALSE())</f>
        <v>2.65</v>
      </c>
      <c r="H29" s="0" t="n">
        <f aca="false">VLOOKUP($A29,'[2]Sheet 1'!$A$2:$Q$3504,8,FALSE())</f>
        <v>2.7</v>
      </c>
      <c r="I29" s="0" t="n">
        <f aca="false">VLOOKUP($A29,'[2]Sheet 1'!$A$2:$Q$3504,9,FALSE())</f>
        <v>27</v>
      </c>
      <c r="J29" s="0" t="n">
        <f aca="false">VLOOKUP($A29,'[2]Sheet 1'!$A$2:$Q$3504,10,FALSE())</f>
        <v>38</v>
      </c>
      <c r="K29" s="0" t="n">
        <f aca="false">VLOOKUP($A29,'[2]Sheet 1'!$A$2:$Q$3504,11,FALSE())</f>
        <v>0.235</v>
      </c>
      <c r="L29" s="0" t="n">
        <f aca="false">VLOOKUP($A29,'[2]Sheet 1'!$A$2:$Q$3504,12,FALSE())</f>
        <v>30.4</v>
      </c>
      <c r="M29" s="0" t="n">
        <f aca="false">VLOOKUP($A29,'[2]Sheet 1'!$A$2:$Q$3504,13,FALSE())</f>
        <v>203</v>
      </c>
      <c r="N29" s="0" t="n">
        <f aca="false">VLOOKUP($A29,'[2]Sheet 1'!$A$2:$Q$3504,14,FALSE())</f>
        <v>0.850000000000001</v>
      </c>
      <c r="O29" s="0" t="n">
        <f aca="false">VLOOKUP($A29,'[2]Sheet 1'!$A$2:$Q$3504,15,FALSE())</f>
        <v>0</v>
      </c>
      <c r="P29" s="0" t="n">
        <f aca="false">VLOOKUP($A29,'[2]Sheet 1'!$A$2:$Q$3504,16,FALSE())</f>
        <v>5.89999999999999</v>
      </c>
      <c r="Q29" s="0" t="n">
        <f aca="false">VLOOKUP($A29,'[2]Sheet 1'!$A$2:$Q$3504,17,FALSE())</f>
        <v>0</v>
      </c>
      <c r="S29" s="5"/>
    </row>
    <row r="30" customFormat="false" ht="14.25" hidden="false" customHeight="false" outlineLevel="0" collapsed="false">
      <c r="A30" s="5" t="n">
        <v>75</v>
      </c>
      <c r="B30" s="5" t="s">
        <v>112</v>
      </c>
      <c r="C30" s="5" t="n">
        <v>86</v>
      </c>
      <c r="D30" s="0" t="n">
        <f aca="false">VLOOKUP($A30,'[2]Sheet 1'!$A$2:$Q$3504,4,FALSE())</f>
        <v>374</v>
      </c>
      <c r="E30" s="0" t="n">
        <f aca="false">VLOOKUP($A30,'[2]Sheet 1'!$A$2:$Q$3504,5,FALSE())</f>
        <v>13.45</v>
      </c>
      <c r="F30" s="0" t="n">
        <f aca="false">VLOOKUP($A30,'[2]Sheet 1'!$A$2:$Q$3504,6,FALSE())</f>
        <v>2.65</v>
      </c>
      <c r="G30" s="0" t="n">
        <f aca="false">VLOOKUP($A30,'[2]Sheet 1'!$A$2:$Q$3504,7,FALSE())</f>
        <v>3.52</v>
      </c>
      <c r="H30" s="0" t="n">
        <f aca="false">VLOOKUP($A30,'[2]Sheet 1'!$A$2:$Q$3504,8,FALSE())</f>
        <v>4.46</v>
      </c>
      <c r="I30" s="0" t="n">
        <f aca="false">VLOOKUP($A30,'[2]Sheet 1'!$A$2:$Q$3504,9,FALSE())</f>
        <v>53</v>
      </c>
      <c r="J30" s="0" t="n">
        <f aca="false">VLOOKUP($A30,'[2]Sheet 1'!$A$2:$Q$3504,10,FALSE())</f>
        <v>45</v>
      </c>
      <c r="K30" s="0" t="n">
        <f aca="false">VLOOKUP($A30,'[2]Sheet 1'!$A$2:$Q$3504,11,FALSE())</f>
        <v>0.1295</v>
      </c>
      <c r="L30" s="0" t="n">
        <f aca="false">VLOOKUP($A30,'[2]Sheet 1'!$A$2:$Q$3504,12,FALSE())</f>
        <v>0</v>
      </c>
      <c r="M30" s="0" t="n">
        <f aca="false">VLOOKUP($A30,'[2]Sheet 1'!$A$2:$Q$3504,13,FALSE())</f>
        <v>410</v>
      </c>
      <c r="N30" s="0" t="n">
        <f aca="false">VLOOKUP($A30,'[2]Sheet 1'!$A$2:$Q$3504,14,FALSE())</f>
        <v>0</v>
      </c>
      <c r="O30" s="0" t="n">
        <f aca="false">VLOOKUP($A30,'[2]Sheet 1'!$A$2:$Q$3504,15,FALSE())</f>
        <v>0</v>
      </c>
      <c r="P30" s="0" t="n">
        <f aca="false">VLOOKUP($A30,'[2]Sheet 1'!$A$2:$Q$3504,16,FALSE())</f>
        <v>0</v>
      </c>
      <c r="Q30" s="0" t="n">
        <f aca="false">VLOOKUP($A30,'[2]Sheet 1'!$A$2:$Q$3504,17,FALSE())</f>
        <v>0</v>
      </c>
      <c r="S30" s="5"/>
    </row>
    <row r="31" customFormat="false" ht="14.25" hidden="false" customHeight="false" outlineLevel="0" collapsed="false">
      <c r="A31" s="5" t="n">
        <v>76</v>
      </c>
      <c r="B31" s="5" t="s">
        <v>115</v>
      </c>
      <c r="C31" s="5" t="n">
        <v>88</v>
      </c>
      <c r="D31" s="0" t="n">
        <f aca="false">VLOOKUP($A31,'[2]Sheet 1'!$A$2:$Q$3504,4,FALSE())</f>
        <v>374</v>
      </c>
      <c r="E31" s="0" t="n">
        <f aca="false">VLOOKUP($A31,'[2]Sheet 1'!$A$2:$Q$3504,5,FALSE())</f>
        <v>13.45</v>
      </c>
      <c r="F31" s="0" t="n">
        <f aca="false">VLOOKUP($A31,'[2]Sheet 1'!$A$2:$Q$3504,6,FALSE())</f>
        <v>2.65</v>
      </c>
      <c r="G31" s="0" t="n">
        <f aca="false">VLOOKUP($A31,'[2]Sheet 1'!$A$2:$Q$3504,7,FALSE())</f>
        <v>3.52</v>
      </c>
      <c r="H31" s="0" t="n">
        <f aca="false">VLOOKUP($A31,'[2]Sheet 1'!$A$2:$Q$3504,8,FALSE())</f>
        <v>4.46</v>
      </c>
      <c r="I31" s="0" t="n">
        <f aca="false">VLOOKUP($A31,'[2]Sheet 1'!$A$2:$Q$3504,9,FALSE())</f>
        <v>53</v>
      </c>
      <c r="J31" s="0" t="n">
        <f aca="false">VLOOKUP($A31,'[2]Sheet 1'!$A$2:$Q$3504,10,FALSE())</f>
        <v>45</v>
      </c>
      <c r="K31" s="0" t="n">
        <f aca="false">VLOOKUP($A31,'[2]Sheet 1'!$A$2:$Q$3504,11,FALSE())</f>
        <v>0.1295</v>
      </c>
      <c r="L31" s="0" t="n">
        <f aca="false">VLOOKUP($A31,'[2]Sheet 1'!$A$2:$Q$3504,12,FALSE())</f>
        <v>0</v>
      </c>
      <c r="M31" s="0" t="n">
        <f aca="false">VLOOKUP($A31,'[2]Sheet 1'!$A$2:$Q$3504,13,FALSE())</f>
        <v>410</v>
      </c>
      <c r="N31" s="0" t="n">
        <f aca="false">VLOOKUP($A31,'[2]Sheet 1'!$A$2:$Q$3504,14,FALSE())</f>
        <v>0</v>
      </c>
      <c r="O31" s="0" t="n">
        <f aca="false">VLOOKUP($A31,'[2]Sheet 1'!$A$2:$Q$3504,15,FALSE())</f>
        <v>0</v>
      </c>
      <c r="P31" s="0" t="n">
        <f aca="false">VLOOKUP($A31,'[2]Sheet 1'!$A$2:$Q$3504,16,FALSE())</f>
        <v>0</v>
      </c>
      <c r="Q31" s="0" t="n">
        <f aca="false">VLOOKUP($A31,'[2]Sheet 1'!$A$2:$Q$3504,17,FALSE())</f>
        <v>0</v>
      </c>
      <c r="S31" s="5"/>
    </row>
    <row r="32" customFormat="false" ht="14.25" hidden="false" customHeight="false" outlineLevel="0" collapsed="false">
      <c r="A32" s="5" t="n">
        <v>79</v>
      </c>
      <c r="B32" s="5" t="s">
        <v>118</v>
      </c>
      <c r="C32" s="5" t="n">
        <v>86</v>
      </c>
      <c r="D32" s="0" t="n">
        <f aca="false">VLOOKUP($A32,'[2]Sheet 1'!$A$2:$Q$3504,4,FALSE())</f>
        <v>341</v>
      </c>
      <c r="E32" s="0" t="n">
        <f aca="false">VLOOKUP($A32,'[2]Sheet 1'!$A$2:$Q$3504,5,FALSE())</f>
        <v>9.6</v>
      </c>
      <c r="F32" s="0" t="n">
        <f aca="false">VLOOKUP($A32,'[2]Sheet 1'!$A$2:$Q$3504,6,FALSE())</f>
        <v>6.15</v>
      </c>
      <c r="G32" s="0" t="n">
        <f aca="false">VLOOKUP($A32,'[2]Sheet 1'!$A$2:$Q$3504,7,FALSE())</f>
        <v>2.07</v>
      </c>
      <c r="H32" s="0" t="n">
        <f aca="false">VLOOKUP($A32,'[2]Sheet 1'!$A$2:$Q$3504,8,FALSE())</f>
        <v>7.5</v>
      </c>
      <c r="I32" s="0" t="n">
        <f aca="false">VLOOKUP($A32,'[2]Sheet 1'!$A$2:$Q$3504,9,FALSE())</f>
        <v>22.5</v>
      </c>
      <c r="J32" s="0" t="n">
        <f aca="false">VLOOKUP($A32,'[2]Sheet 1'!$A$2:$Q$3504,10,FALSE())</f>
        <v>29.2876506</v>
      </c>
      <c r="K32" s="0" t="n">
        <f aca="false">VLOOKUP($A32,'[2]Sheet 1'!$A$2:$Q$3504,11,FALSE())</f>
        <v>0.123579167</v>
      </c>
      <c r="L32" s="0" t="n">
        <f aca="false">VLOOKUP($A32,'[2]Sheet 1'!$A$2:$Q$3504,12,FALSE())</f>
        <v>748</v>
      </c>
      <c r="M32" s="0" t="n">
        <f aca="false">VLOOKUP($A32,'[2]Sheet 1'!$A$2:$Q$3504,13,FALSE())</f>
        <v>250</v>
      </c>
      <c r="N32" s="0" t="n">
        <f aca="false">VLOOKUP($A32,'[2]Sheet 1'!$A$2:$Q$3504,14,FALSE())</f>
        <v>0.02</v>
      </c>
      <c r="O32" s="0" t="n">
        <f aca="false">VLOOKUP($A32,'[2]Sheet 1'!$A$2:$Q$3504,15,FALSE())</f>
        <v>0</v>
      </c>
      <c r="P32" s="0" t="n">
        <f aca="false">VLOOKUP($A32,'[2]Sheet 1'!$A$2:$Q$3504,16,FALSE())</f>
        <v>0.3</v>
      </c>
      <c r="Q32" s="0" t="n">
        <f aca="false">VLOOKUP($A32,'[2]Sheet 1'!$A$2:$Q$3504,17,FALSE())</f>
        <v>0</v>
      </c>
      <c r="S32" s="5"/>
    </row>
    <row r="33" customFormat="false" ht="14.25" hidden="false" customHeight="false" outlineLevel="0" collapsed="false">
      <c r="A33" s="5" t="n">
        <v>81</v>
      </c>
      <c r="B33" s="5" t="s">
        <v>121</v>
      </c>
      <c r="C33" s="5" t="n">
        <v>88.5</v>
      </c>
      <c r="D33" s="0" t="n">
        <f aca="false">VLOOKUP($A33,'[2]Sheet 1'!$A$2:$Q$3504,4,FALSE())</f>
        <v>119</v>
      </c>
      <c r="E33" s="0" t="n">
        <f aca="false">VLOOKUP($A33,'[2]Sheet 1'!$A$2:$Q$3504,5,FALSE())</f>
        <v>3.51</v>
      </c>
      <c r="F33" s="0" t="n">
        <f aca="false">VLOOKUP($A33,'[2]Sheet 1'!$A$2:$Q$3504,6,FALSE())</f>
        <v>1.3</v>
      </c>
      <c r="G33" s="0" t="n">
        <f aca="false">VLOOKUP($A33,'[2]Sheet 1'!$A$2:$Q$3504,7,FALSE())</f>
        <v>0.91</v>
      </c>
      <c r="H33" s="0" t="n">
        <f aca="false">VLOOKUP($A33,'[2]Sheet 1'!$A$2:$Q$3504,8,FALSE())</f>
        <v>0.63</v>
      </c>
      <c r="I33" s="0" t="n">
        <f aca="false">VLOOKUP($A33,'[2]Sheet 1'!$A$2:$Q$3504,9,FALSE())</f>
        <v>3</v>
      </c>
      <c r="J33" s="0" t="n">
        <f aca="false">VLOOKUP($A33,'[2]Sheet 1'!$A$2:$Q$3504,10,FALSE())</f>
        <v>19</v>
      </c>
      <c r="K33" s="0" t="n">
        <f aca="false">VLOOKUP($A33,'[2]Sheet 1'!$A$2:$Q$3504,11,FALSE())</f>
        <v>0.082</v>
      </c>
      <c r="L33" s="0" t="n">
        <f aca="false">VLOOKUP($A33,'[2]Sheet 1'!$A$2:$Q$3504,12,FALSE())</f>
        <v>11.2</v>
      </c>
      <c r="M33" s="0" t="n">
        <f aca="false">VLOOKUP($A33,'[2]Sheet 1'!$A$2:$Q$3504,13,FALSE())</f>
        <v>62</v>
      </c>
      <c r="N33" s="0" t="n">
        <f aca="false">VLOOKUP($A33,'[2]Sheet 1'!$A$2:$Q$3504,14,FALSE())</f>
        <v>0.02</v>
      </c>
      <c r="O33" s="0" t="n">
        <f aca="false">VLOOKUP($A33,'[2]Sheet 1'!$A$2:$Q$3504,15,FALSE())</f>
        <v>0</v>
      </c>
      <c r="P33" s="0" t="n">
        <f aca="false">VLOOKUP($A33,'[2]Sheet 1'!$A$2:$Q$3504,16,FALSE())</f>
        <v>0.3</v>
      </c>
      <c r="Q33" s="0" t="n">
        <f aca="false">VLOOKUP($A33,'[2]Sheet 1'!$A$2:$Q$3504,17,FALSE())</f>
        <v>0</v>
      </c>
      <c r="S33" s="5"/>
    </row>
    <row r="34" customFormat="false" ht="14.25" hidden="false" customHeight="false" outlineLevel="0" collapsed="false">
      <c r="A34" s="5" t="n">
        <v>83</v>
      </c>
      <c r="B34" s="5" t="s">
        <v>123</v>
      </c>
      <c r="C34" s="5" t="n">
        <v>86</v>
      </c>
      <c r="D34" s="0" t="n">
        <f aca="false">VLOOKUP($A34,'[2]Sheet 1'!$A$2:$Q$3504,4,FALSE())</f>
        <v>348.5</v>
      </c>
      <c r="E34" s="0" t="n">
        <f aca="false">VLOOKUP($A34,'[2]Sheet 1'!$A$2:$Q$3504,5,FALSE())</f>
        <v>10.7</v>
      </c>
      <c r="F34" s="0" t="n">
        <f aca="false">VLOOKUP($A34,'[2]Sheet 1'!$A$2:$Q$3504,6,FALSE())</f>
        <v>2</v>
      </c>
      <c r="G34" s="0" t="n">
        <f aca="false">VLOOKUP($A34,'[2]Sheet 1'!$A$2:$Q$3504,7,FALSE())</f>
        <v>1.8785166665</v>
      </c>
      <c r="H34" s="0" t="n">
        <f aca="false">VLOOKUP($A34,'[2]Sheet 1'!$A$2:$Q$3504,8,FALSE())</f>
        <v>4.5</v>
      </c>
      <c r="I34" s="0" t="n">
        <f aca="false">VLOOKUP($A34,'[2]Sheet 1'!$A$2:$Q$3504,9,FALSE())</f>
        <v>23</v>
      </c>
      <c r="J34" s="0" t="n">
        <f aca="false">VLOOKUP($A34,'[2]Sheet 1'!$A$2:$Q$3504,10,FALSE())</f>
        <v>29.28663746</v>
      </c>
      <c r="K34" s="0" t="n">
        <f aca="false">VLOOKUP($A34,'[2]Sheet 1'!$A$2:$Q$3504,11,FALSE())</f>
        <v>0.12</v>
      </c>
      <c r="L34" s="0" t="n">
        <f aca="false">VLOOKUP($A34,'[2]Sheet 1'!$A$2:$Q$3504,12,FALSE())</f>
        <v>0</v>
      </c>
      <c r="M34" s="0" t="n">
        <f aca="false">VLOOKUP($A34,'[2]Sheet 1'!$A$2:$Q$3504,13,FALSE())</f>
        <v>363</v>
      </c>
      <c r="N34" s="0" t="n">
        <f aca="false">VLOOKUP($A34,'[2]Sheet 1'!$A$2:$Q$3504,14,FALSE())</f>
        <v>0.5</v>
      </c>
      <c r="O34" s="0" t="n">
        <f aca="false">VLOOKUP($A34,'[2]Sheet 1'!$A$2:$Q$3504,15,FALSE())</f>
        <v>0</v>
      </c>
      <c r="P34" s="0" t="n">
        <f aca="false">VLOOKUP($A34,'[2]Sheet 1'!$A$2:$Q$3504,16,FALSE())</f>
        <v>0</v>
      </c>
      <c r="Q34" s="0" t="n">
        <f aca="false">VLOOKUP($A34,'[2]Sheet 1'!$A$2:$Q$3504,17,FALSE())</f>
        <v>0.4166666665</v>
      </c>
      <c r="S34" s="5"/>
    </row>
    <row r="35" customFormat="false" ht="14.25" hidden="false" customHeight="false" outlineLevel="0" collapsed="false">
      <c r="A35" s="5" t="n">
        <v>85</v>
      </c>
      <c r="B35" s="5" t="s">
        <v>126</v>
      </c>
      <c r="C35" s="5" t="n">
        <v>88</v>
      </c>
      <c r="D35" s="0" t="n">
        <f aca="false">VLOOKUP($A35,'[2]Sheet 1'!$A$2:$Q$3504,4,FALSE())</f>
        <v>357</v>
      </c>
      <c r="E35" s="0" t="n">
        <f aca="false">VLOOKUP($A35,'[2]Sheet 1'!$A$2:$Q$3504,5,FALSE())</f>
        <v>9.53</v>
      </c>
      <c r="F35" s="0" t="n">
        <f aca="false">VLOOKUP($A35,'[2]Sheet 1'!$A$2:$Q$3504,6,FALSE())</f>
        <v>1.9</v>
      </c>
      <c r="G35" s="0" t="n">
        <f aca="false">VLOOKUP($A35,'[2]Sheet 1'!$A$2:$Q$3504,7,FALSE())</f>
        <v>0.47</v>
      </c>
      <c r="H35" s="0" t="n">
        <f aca="false">VLOOKUP($A35,'[2]Sheet 1'!$A$2:$Q$3504,8,FALSE())</f>
        <v>0.97</v>
      </c>
      <c r="I35" s="0" t="n">
        <f aca="false">VLOOKUP($A35,'[2]Sheet 1'!$A$2:$Q$3504,9,FALSE())</f>
        <v>6</v>
      </c>
      <c r="J35" s="0" t="n">
        <f aca="false">VLOOKUP($A35,'[2]Sheet 1'!$A$2:$Q$3504,10,FALSE())</f>
        <v>0</v>
      </c>
      <c r="K35" s="0" t="n">
        <f aca="false">VLOOKUP($A35,'[2]Sheet 1'!$A$2:$Q$3504,11,FALSE())</f>
        <v>0.005</v>
      </c>
      <c r="L35" s="0" t="n">
        <f aca="false">VLOOKUP($A35,'[2]Sheet 1'!$A$2:$Q$3504,12,FALSE())</f>
        <v>0</v>
      </c>
      <c r="M35" s="0" t="n">
        <f aca="false">VLOOKUP($A35,'[2]Sheet 1'!$A$2:$Q$3504,13,FALSE())</f>
        <v>145</v>
      </c>
      <c r="N35" s="0" t="n">
        <f aca="false">VLOOKUP($A35,'[2]Sheet 1'!$A$2:$Q$3504,14,FALSE())</f>
        <v>0</v>
      </c>
      <c r="O35" s="0" t="n">
        <f aca="false">VLOOKUP($A35,'[2]Sheet 1'!$A$2:$Q$3504,15,FALSE())</f>
        <v>0</v>
      </c>
      <c r="P35" s="0" t="n">
        <f aca="false">VLOOKUP($A35,'[2]Sheet 1'!$A$2:$Q$3504,16,FALSE())</f>
        <v>0</v>
      </c>
      <c r="Q35" s="0" t="n">
        <f aca="false">VLOOKUP($A35,'[2]Sheet 1'!$A$2:$Q$3504,17,FALSE())</f>
        <v>0</v>
      </c>
      <c r="S35" s="5"/>
    </row>
    <row r="36" customFormat="false" ht="14.25" hidden="false" customHeight="false" outlineLevel="0" collapsed="false">
      <c r="A36" s="5" t="n">
        <v>89</v>
      </c>
      <c r="B36" s="5" t="s">
        <v>129</v>
      </c>
      <c r="C36" s="5" t="n">
        <v>86</v>
      </c>
      <c r="D36" s="0" t="n">
        <f aca="false">VLOOKUP($A36,'[2]Sheet 1'!$A$2:$Q$3504,4,FALSE())</f>
        <v>330</v>
      </c>
      <c r="E36" s="0" t="n">
        <f aca="false">VLOOKUP($A36,'[2]Sheet 1'!$A$2:$Q$3504,5,FALSE())</f>
        <v>10</v>
      </c>
      <c r="F36" s="0" t="n">
        <f aca="false">VLOOKUP($A36,'[2]Sheet 1'!$A$2:$Q$3504,6,FALSE())</f>
        <v>9.3</v>
      </c>
      <c r="G36" s="0" t="n">
        <f aca="false">VLOOKUP($A36,'[2]Sheet 1'!$A$2:$Q$3504,7,FALSE())</f>
        <v>2.4</v>
      </c>
      <c r="H36" s="0" t="n">
        <f aca="false">VLOOKUP($A36,'[2]Sheet 1'!$A$2:$Q$3504,8,FALSE())</f>
        <v>5.3</v>
      </c>
      <c r="I36" s="0" t="n">
        <f aca="false">VLOOKUP($A36,'[2]Sheet 1'!$A$2:$Q$3504,9,FALSE())</f>
        <v>43</v>
      </c>
      <c r="J36" s="0" t="n">
        <f aca="false">VLOOKUP($A36,'[2]Sheet 1'!$A$2:$Q$3504,10,FALSE())</f>
        <v>30</v>
      </c>
      <c r="K36" s="0" t="n">
        <f aca="false">VLOOKUP($A36,'[2]Sheet 1'!$A$2:$Q$3504,11,FALSE())</f>
        <v>0.275</v>
      </c>
      <c r="L36" s="0" t="n">
        <f aca="false">VLOOKUP($A36,'[2]Sheet 1'!$A$2:$Q$3504,12,FALSE())</f>
        <v>0</v>
      </c>
      <c r="M36" s="0" t="n">
        <f aca="false">VLOOKUP($A36,'[2]Sheet 1'!$A$2:$Q$3504,13,FALSE())</f>
        <v>411</v>
      </c>
      <c r="N36" s="0" t="n">
        <f aca="false">VLOOKUP($A36,'[2]Sheet 1'!$A$2:$Q$3504,14,FALSE())</f>
        <v>0</v>
      </c>
      <c r="O36" s="0" t="n">
        <f aca="false">VLOOKUP($A36,'[2]Sheet 1'!$A$2:$Q$3504,15,FALSE())</f>
        <v>0</v>
      </c>
      <c r="P36" s="0" t="n">
        <f aca="false">VLOOKUP($A36,'[2]Sheet 1'!$A$2:$Q$3504,16,FALSE())</f>
        <v>0</v>
      </c>
      <c r="Q36" s="0" t="n">
        <f aca="false">VLOOKUP($A36,'[2]Sheet 1'!$A$2:$Q$3504,17,FALSE())</f>
        <v>1.5</v>
      </c>
      <c r="S36" s="5"/>
    </row>
    <row r="37" customFormat="false" ht="14.25" hidden="false" customHeight="false" outlineLevel="0" collapsed="false">
      <c r="A37" s="5" t="n">
        <v>91</v>
      </c>
      <c r="B37" s="5" t="s">
        <v>131</v>
      </c>
      <c r="C37" s="5" t="n">
        <v>88.5</v>
      </c>
      <c r="D37" s="0" t="n">
        <f aca="false">VLOOKUP($A37,'[2]Sheet 1'!$A$2:$Q$3504,4,FALSE())</f>
        <v>343</v>
      </c>
      <c r="E37" s="0" t="n">
        <f aca="false">VLOOKUP($A37,'[2]Sheet 1'!$A$2:$Q$3504,5,FALSE())</f>
        <v>13.25</v>
      </c>
      <c r="F37" s="0" t="n">
        <f aca="false">VLOOKUP($A37,'[2]Sheet 1'!$A$2:$Q$3504,6,FALSE())</f>
        <v>10</v>
      </c>
      <c r="G37" s="0" t="n">
        <f aca="false">VLOOKUP($A37,'[2]Sheet 1'!$A$2:$Q$3504,7,FALSE())</f>
        <v>2.4</v>
      </c>
      <c r="H37" s="0" t="n">
        <f aca="false">VLOOKUP($A37,'[2]Sheet 1'!$A$2:$Q$3504,8,FALSE())</f>
        <v>2.2</v>
      </c>
      <c r="I37" s="0" t="n">
        <f aca="false">VLOOKUP($A37,'[2]Sheet 1'!$A$2:$Q$3504,9,FALSE())</f>
        <v>18</v>
      </c>
      <c r="J37" s="0" t="n">
        <f aca="false">VLOOKUP($A37,'[2]Sheet 1'!$A$2:$Q$3504,10,FALSE())</f>
        <v>30</v>
      </c>
      <c r="K37" s="0" t="n">
        <f aca="false">VLOOKUP($A37,'[2]Sheet 1'!$A$2:$Q$3504,11,FALSE())</f>
        <v>0.425</v>
      </c>
      <c r="L37" s="0" t="n">
        <f aca="false">VLOOKUP($A37,'[2]Sheet 1'!$A$2:$Q$3504,12,FALSE())</f>
        <v>0</v>
      </c>
      <c r="M37" s="0" t="n">
        <f aca="false">VLOOKUP($A37,'[2]Sheet 1'!$A$2:$Q$3504,13,FALSE())</f>
        <v>460</v>
      </c>
      <c r="N37" s="0" t="n">
        <f aca="false">VLOOKUP($A37,'[2]Sheet 1'!$A$2:$Q$3504,14,FALSE())</f>
        <v>0</v>
      </c>
      <c r="O37" s="0" t="n">
        <f aca="false">VLOOKUP($A37,'[2]Sheet 1'!$A$2:$Q$3504,15,FALSE())</f>
        <v>0</v>
      </c>
      <c r="P37" s="0" t="n">
        <f aca="false">VLOOKUP($A37,'[2]Sheet 1'!$A$2:$Q$3504,16,FALSE())</f>
        <v>0</v>
      </c>
      <c r="Q37" s="0" t="n">
        <f aca="false">VLOOKUP($A37,'[2]Sheet 1'!$A$2:$Q$3504,17,FALSE())</f>
        <v>0</v>
      </c>
      <c r="S37" s="5"/>
    </row>
    <row r="38" customFormat="false" ht="14.25" hidden="false" customHeight="false" outlineLevel="0" collapsed="false">
      <c r="A38" s="5" t="n">
        <v>92</v>
      </c>
      <c r="B38" s="5" t="s">
        <v>132</v>
      </c>
      <c r="C38" s="5" t="n">
        <v>86</v>
      </c>
      <c r="D38" s="0" t="e">
        <f aca="false">VLOOKUP($A38,'[2]Sheet 1'!$A$2:$Q$3504,4,FALSE())</f>
        <v>#N/A</v>
      </c>
      <c r="E38" s="0" t="e">
        <f aca="false">VLOOKUP($A38,'[2]Sheet 1'!$A$2:$Q$3504,5,FALSE())</f>
        <v>#N/A</v>
      </c>
      <c r="F38" s="0" t="e">
        <f aca="false">VLOOKUP($A38,'[2]Sheet 1'!$A$2:$Q$3504,6,FALSE())</f>
        <v>#N/A</v>
      </c>
      <c r="G38" s="0" t="e">
        <f aca="false">VLOOKUP($A38,'[2]Sheet 1'!$A$2:$Q$3504,7,FALSE())</f>
        <v>#N/A</v>
      </c>
      <c r="H38" s="0" t="e">
        <f aca="false">VLOOKUP($A38,'[2]Sheet 1'!$A$2:$Q$3504,8,FALSE())</f>
        <v>#N/A</v>
      </c>
      <c r="I38" s="0" t="e">
        <f aca="false">VLOOKUP($A38,'[2]Sheet 1'!$A$2:$Q$3504,9,FALSE())</f>
        <v>#N/A</v>
      </c>
      <c r="J38" s="0" t="e">
        <f aca="false">VLOOKUP($A38,'[2]Sheet 1'!$A$2:$Q$3504,10,FALSE())</f>
        <v>#N/A</v>
      </c>
      <c r="K38" s="0" t="e">
        <f aca="false">VLOOKUP($A38,'[2]Sheet 1'!$A$2:$Q$3504,11,FALSE())</f>
        <v>#N/A</v>
      </c>
      <c r="L38" s="0" t="e">
        <f aca="false">VLOOKUP($A38,'[2]Sheet 1'!$A$2:$Q$3504,12,FALSE())</f>
        <v>#N/A</v>
      </c>
      <c r="M38" s="0" t="e">
        <f aca="false">VLOOKUP($A38,'[2]Sheet 1'!$A$2:$Q$3504,13,FALSE())</f>
        <v>#N/A</v>
      </c>
      <c r="N38" s="0" t="e">
        <f aca="false">VLOOKUP($A38,'[2]Sheet 1'!$A$2:$Q$3504,14,FALSE())</f>
        <v>#N/A</v>
      </c>
      <c r="O38" s="0" t="e">
        <f aca="false">VLOOKUP($A38,'[2]Sheet 1'!$A$2:$Q$3504,15,FALSE())</f>
        <v>#N/A</v>
      </c>
      <c r="P38" s="0" t="e">
        <f aca="false">VLOOKUP($A38,'[2]Sheet 1'!$A$2:$Q$3504,16,FALSE())</f>
        <v>#N/A</v>
      </c>
      <c r="Q38" s="0" t="e">
        <f aca="false">VLOOKUP($A38,'[2]Sheet 1'!$A$2:$Q$3504,17,FALSE())</f>
        <v>#N/A</v>
      </c>
      <c r="S38" s="5"/>
    </row>
    <row r="39" customFormat="false" ht="14.25" hidden="false" customHeight="false" outlineLevel="0" collapsed="false">
      <c r="A39" s="5" t="n">
        <v>94</v>
      </c>
      <c r="B39" s="5" t="s">
        <v>134</v>
      </c>
      <c r="C39" s="5" t="n">
        <v>86</v>
      </c>
      <c r="D39" s="0" t="n">
        <f aca="false">VLOOKUP($A39,'[2]Sheet 1'!$A$2:$Q$3504,4,FALSE())</f>
        <v>348</v>
      </c>
      <c r="E39" s="0" t="n">
        <f aca="false">VLOOKUP($A39,'[2]Sheet 1'!$A$2:$Q$3504,5,FALSE())</f>
        <v>7.4</v>
      </c>
      <c r="F39" s="0" t="n">
        <f aca="false">VLOOKUP($A39,'[2]Sheet 1'!$A$2:$Q$3504,6,FALSE())</f>
        <v>2.240451736</v>
      </c>
      <c r="G39" s="0" t="n">
        <f aca="false">VLOOKUP($A39,'[2]Sheet 1'!$A$2:$Q$3504,7,FALSE())</f>
        <v>2.017767206</v>
      </c>
      <c r="H39" s="0" t="n">
        <f aca="false">VLOOKUP($A39,'[2]Sheet 1'!$A$2:$Q$3504,8,FALSE())</f>
        <v>8.5</v>
      </c>
      <c r="I39" s="0" t="n">
        <f aca="false">VLOOKUP($A39,'[2]Sheet 1'!$A$2:$Q$3504,9,FALSE())</f>
        <v>40</v>
      </c>
      <c r="J39" s="0" t="n">
        <f aca="false">VLOOKUP($A39,'[2]Sheet 1'!$A$2:$Q$3504,10,FALSE())</f>
        <v>29</v>
      </c>
      <c r="K39" s="0" t="n">
        <f aca="false">VLOOKUP($A39,'[2]Sheet 1'!$A$2:$Q$3504,11,FALSE())</f>
        <v>0.1</v>
      </c>
      <c r="L39" s="0" t="n">
        <f aca="false">VLOOKUP($A39,'[2]Sheet 1'!$A$2:$Q$3504,12,FALSE())</f>
        <v>0</v>
      </c>
      <c r="M39" s="0" t="n">
        <f aca="false">VLOOKUP($A39,'[2]Sheet 1'!$A$2:$Q$3504,13,FALSE())</f>
        <v>336.9676707</v>
      </c>
      <c r="N39" s="0" t="n">
        <f aca="false">VLOOKUP($A39,'[2]Sheet 1'!$A$2:$Q$3504,14,FALSE())</f>
        <v>0.02</v>
      </c>
      <c r="O39" s="0" t="n">
        <f aca="false">VLOOKUP($A39,'[2]Sheet 1'!$A$2:$Q$3504,15,FALSE())</f>
        <v>0</v>
      </c>
      <c r="P39" s="0" t="n">
        <f aca="false">VLOOKUP($A39,'[2]Sheet 1'!$A$2:$Q$3504,16,FALSE())</f>
        <v>0.3</v>
      </c>
      <c r="Q39" s="0" t="n">
        <f aca="false">VLOOKUP($A39,'[2]Sheet 1'!$A$2:$Q$3504,17,FALSE())</f>
        <v>0</v>
      </c>
      <c r="S39" s="5"/>
    </row>
    <row r="40" customFormat="false" ht="14.25" hidden="false" customHeight="false" outlineLevel="0" collapsed="false">
      <c r="A40" s="5" t="n">
        <v>97</v>
      </c>
      <c r="B40" s="5" t="s">
        <v>138</v>
      </c>
      <c r="C40" s="5" t="n">
        <v>86</v>
      </c>
      <c r="D40" s="0" t="n">
        <f aca="false">VLOOKUP($A40,'[2]Sheet 1'!$A$2:$Q$3504,4,FALSE())</f>
        <v>336</v>
      </c>
      <c r="E40" s="0" t="n">
        <f aca="false">VLOOKUP($A40,'[2]Sheet 1'!$A$2:$Q$3504,5,FALSE())</f>
        <v>13.05</v>
      </c>
      <c r="F40" s="0" t="n">
        <f aca="false">VLOOKUP($A40,'[2]Sheet 1'!$A$2:$Q$3504,6,FALSE())</f>
        <v>0</v>
      </c>
      <c r="G40" s="0" t="n">
        <f aca="false">VLOOKUP($A40,'[2]Sheet 1'!$A$2:$Q$3504,7,FALSE())</f>
        <v>3.45</v>
      </c>
      <c r="H40" s="0" t="n">
        <f aca="false">VLOOKUP($A40,'[2]Sheet 1'!$A$2:$Q$3504,8,FALSE())</f>
        <v>2.57</v>
      </c>
      <c r="I40" s="0" t="n">
        <f aca="false">VLOOKUP($A40,'[2]Sheet 1'!$A$2:$Q$3504,9,FALSE())</f>
        <v>37</v>
      </c>
      <c r="J40" s="0" t="n">
        <f aca="false">VLOOKUP($A40,'[2]Sheet 1'!$A$2:$Q$3504,10,FALSE())</f>
        <v>73</v>
      </c>
      <c r="K40" s="0" t="n">
        <f aca="false">VLOOKUP($A40,'[2]Sheet 1'!$A$2:$Q$3504,11,FALSE())</f>
        <v>0.134</v>
      </c>
      <c r="L40" s="0" t="n">
        <f aca="false">VLOOKUP($A40,'[2]Sheet 1'!$A$2:$Q$3504,12,FALSE())</f>
        <v>0</v>
      </c>
      <c r="M40" s="0" t="n">
        <f aca="false">VLOOKUP($A40,'[2]Sheet 1'!$A$2:$Q$3504,13,FALSE())</f>
        <v>332</v>
      </c>
      <c r="N40" s="0" t="n">
        <f aca="false">VLOOKUP($A40,'[2]Sheet 1'!$A$2:$Q$3504,14,FALSE())</f>
        <v>0.9</v>
      </c>
      <c r="O40" s="0" t="n">
        <f aca="false">VLOOKUP($A40,'[2]Sheet 1'!$A$2:$Q$3504,15,FALSE())</f>
        <v>0</v>
      </c>
      <c r="P40" s="0" t="n">
        <f aca="false">VLOOKUP($A40,'[2]Sheet 1'!$A$2:$Q$3504,16,FALSE())</f>
        <v>0</v>
      </c>
      <c r="Q40" s="0" t="n">
        <f aca="false">VLOOKUP($A40,'[2]Sheet 1'!$A$2:$Q$3504,17,FALSE())</f>
        <v>0</v>
      </c>
      <c r="S40" s="5"/>
    </row>
    <row r="41" customFormat="false" ht="14.25" hidden="false" customHeight="false" outlineLevel="0" collapsed="false">
      <c r="A41" s="5" t="n">
        <v>101</v>
      </c>
      <c r="B41" s="5" t="s">
        <v>140</v>
      </c>
      <c r="C41" s="5" t="n">
        <v>86</v>
      </c>
      <c r="D41" s="0" t="n">
        <f aca="false">VLOOKUP($A41,'[2]Sheet 1'!$A$2:$Q$3504,4,FALSE())</f>
        <v>368.75</v>
      </c>
      <c r="E41" s="0" t="n">
        <f aca="false">VLOOKUP($A41,'[2]Sheet 1'!$A$2:$Q$3504,5,FALSE())</f>
        <v>11.75</v>
      </c>
      <c r="F41" s="0" t="n">
        <f aca="false">VLOOKUP($A41,'[2]Sheet 1'!$A$2:$Q$3504,6,FALSE())</f>
        <v>7</v>
      </c>
      <c r="G41" s="0" t="n">
        <f aca="false">VLOOKUP($A41,'[2]Sheet 1'!$A$2:$Q$3504,7,FALSE())</f>
        <v>3.1</v>
      </c>
      <c r="H41" s="0" t="n">
        <f aca="false">VLOOKUP($A41,'[2]Sheet 1'!$A$2:$Q$3504,8,FALSE())</f>
        <v>5.2</v>
      </c>
      <c r="I41" s="0" t="n">
        <f aca="false">VLOOKUP($A41,'[2]Sheet 1'!$A$2:$Q$3504,9,FALSE())</f>
        <v>78</v>
      </c>
      <c r="J41" s="0" t="n">
        <f aca="false">VLOOKUP($A41,'[2]Sheet 1'!$A$2:$Q$3504,10,FALSE())</f>
        <v>184</v>
      </c>
      <c r="K41" s="0" t="n">
        <f aca="false">VLOOKUP($A41,'[2]Sheet 1'!$A$2:$Q$3504,11,FALSE())</f>
        <v>0.24</v>
      </c>
      <c r="L41" s="0" t="n">
        <f aca="false">VLOOKUP($A41,'[2]Sheet 1'!$A$2:$Q$3504,12,FALSE())</f>
        <v>70.2</v>
      </c>
      <c r="M41" s="0" t="n">
        <f aca="false">VLOOKUP($A41,'[2]Sheet 1'!$A$2:$Q$3504,13,FALSE())</f>
        <v>478.5</v>
      </c>
      <c r="N41" s="0" t="n">
        <f aca="false">VLOOKUP($A41,'[2]Sheet 1'!$A$2:$Q$3504,14,FALSE())</f>
        <v>0.63</v>
      </c>
      <c r="O41" s="0" t="n">
        <f aca="false">VLOOKUP($A41,'[2]Sheet 1'!$A$2:$Q$3504,15,FALSE())</f>
        <v>0</v>
      </c>
      <c r="P41" s="0" t="n">
        <f aca="false">VLOOKUP($A41,'[2]Sheet 1'!$A$2:$Q$3504,16,FALSE())</f>
        <v>0</v>
      </c>
      <c r="Q41" s="0" t="n">
        <f aca="false">VLOOKUP($A41,'[2]Sheet 1'!$A$2:$Q$3504,17,FALSE())</f>
        <v>0</v>
      </c>
      <c r="S41" s="5"/>
    </row>
    <row r="42" customFormat="false" ht="14.25" hidden="false" customHeight="false" outlineLevel="0" collapsed="false">
      <c r="A42" s="5" t="n">
        <v>103</v>
      </c>
      <c r="B42" s="5" t="s">
        <v>142</v>
      </c>
      <c r="C42" s="5" t="n">
        <v>86</v>
      </c>
      <c r="D42" s="0" t="n">
        <f aca="false">VLOOKUP($A42,'[2]Sheet 1'!$A$2:$Q$3504,4,FALSE())</f>
        <v>342</v>
      </c>
      <c r="E42" s="0" t="n">
        <f aca="false">VLOOKUP($A42,'[2]Sheet 1'!$A$2:$Q$3504,5,FALSE())</f>
        <v>11.02</v>
      </c>
      <c r="F42" s="0" t="n">
        <f aca="false">VLOOKUP($A42,'[2]Sheet 1'!$A$2:$Q$3504,6,FALSE())</f>
        <v>12.2</v>
      </c>
      <c r="G42" s="0" t="n">
        <f aca="false">VLOOKUP($A42,'[2]Sheet 1'!$A$2:$Q$3504,7,FALSE())</f>
        <v>2.65</v>
      </c>
      <c r="H42" s="0" t="n">
        <f aca="false">VLOOKUP($A42,'[2]Sheet 1'!$A$2:$Q$3504,8,FALSE())</f>
        <v>3.21</v>
      </c>
      <c r="I42" s="0" t="n">
        <f aca="false">VLOOKUP($A42,'[2]Sheet 1'!$A$2:$Q$3504,9,FALSE())</f>
        <v>27</v>
      </c>
      <c r="J42" s="0" t="n">
        <f aca="false">VLOOKUP($A42,'[2]Sheet 1'!$A$2:$Q$3504,10,FALSE())</f>
        <v>38</v>
      </c>
      <c r="K42" s="0" t="n">
        <f aca="false">VLOOKUP($A42,'[2]Sheet 1'!$A$2:$Q$3504,11,FALSE())</f>
        <v>0.115</v>
      </c>
      <c r="L42" s="0" t="n">
        <f aca="false">VLOOKUP($A42,'[2]Sheet 1'!$A$2:$Q$3504,12,FALSE())</f>
        <v>31.2</v>
      </c>
      <c r="M42" s="0" t="n">
        <f aca="false">VLOOKUP($A42,'[2]Sheet 1'!$A$2:$Q$3504,13,FALSE())</f>
        <v>363</v>
      </c>
      <c r="N42" s="0" t="n">
        <f aca="false">VLOOKUP($A42,'[2]Sheet 1'!$A$2:$Q$3504,14,FALSE())</f>
        <v>0</v>
      </c>
      <c r="O42" s="0" t="n">
        <f aca="false">VLOOKUP($A42,'[2]Sheet 1'!$A$2:$Q$3504,15,FALSE())</f>
        <v>0</v>
      </c>
      <c r="P42" s="0" t="n">
        <f aca="false">VLOOKUP($A42,'[2]Sheet 1'!$A$2:$Q$3504,16,FALSE())</f>
        <v>0</v>
      </c>
      <c r="Q42" s="0" t="n">
        <f aca="false">VLOOKUP($A42,'[2]Sheet 1'!$A$2:$Q$3504,17,FALSE())</f>
        <v>0</v>
      </c>
      <c r="S42" s="5"/>
    </row>
    <row r="43" customFormat="false" ht="14.25" hidden="false" customHeight="false" outlineLevel="0" collapsed="false">
      <c r="A43" s="5" t="n">
        <v>104</v>
      </c>
      <c r="B43" s="5" t="s">
        <v>144</v>
      </c>
      <c r="C43" s="5" t="n">
        <v>88</v>
      </c>
      <c r="D43" s="0" t="n">
        <f aca="false">VLOOKUP($A43,'[2]Sheet 1'!$A$2:$Q$3504,4,FALSE())</f>
        <v>340</v>
      </c>
      <c r="E43" s="0" t="n">
        <f aca="false">VLOOKUP($A43,'[2]Sheet 1'!$A$2:$Q$3504,5,FALSE())</f>
        <v>13.21</v>
      </c>
      <c r="F43" s="0" t="n">
        <f aca="false">VLOOKUP($A43,'[2]Sheet 1'!$A$2:$Q$3504,6,FALSE())</f>
        <v>10.7</v>
      </c>
      <c r="G43" s="0" t="n">
        <f aca="false">VLOOKUP($A43,'[2]Sheet 1'!$A$2:$Q$3504,7,FALSE())</f>
        <v>2.6</v>
      </c>
      <c r="H43" s="0" t="n">
        <f aca="false">VLOOKUP($A43,'[2]Sheet 1'!$A$2:$Q$3504,8,FALSE())</f>
        <v>3.6</v>
      </c>
      <c r="I43" s="0" t="n">
        <f aca="false">VLOOKUP($A43,'[2]Sheet 1'!$A$2:$Q$3504,9,FALSE())</f>
        <v>34</v>
      </c>
      <c r="J43" s="0" t="n">
        <f aca="false">VLOOKUP($A43,'[2]Sheet 1'!$A$2:$Q$3504,10,FALSE())</f>
        <v>44</v>
      </c>
      <c r="K43" s="0" t="n">
        <f aca="false">VLOOKUP($A43,'[2]Sheet 1'!$A$2:$Q$3504,11,FALSE())</f>
        <v>0.165</v>
      </c>
      <c r="L43" s="0" t="n">
        <f aca="false">VLOOKUP($A43,'[2]Sheet 1'!$A$2:$Q$3504,12,FALSE())</f>
        <v>31.2</v>
      </c>
      <c r="M43" s="0" t="n">
        <f aca="false">VLOOKUP($A43,'[2]Sheet 1'!$A$2:$Q$3504,13,FALSE())</f>
        <v>363</v>
      </c>
      <c r="N43" s="0" t="n">
        <f aca="false">VLOOKUP($A43,'[2]Sheet 1'!$A$2:$Q$3504,14,FALSE())</f>
        <v>0.71</v>
      </c>
      <c r="O43" s="0" t="n">
        <f aca="false">VLOOKUP($A43,'[2]Sheet 1'!$A$2:$Q$3504,15,FALSE())</f>
        <v>0</v>
      </c>
      <c r="P43" s="0" t="n">
        <f aca="false">VLOOKUP($A43,'[2]Sheet 1'!$A$2:$Q$3504,16,FALSE())</f>
        <v>1.9</v>
      </c>
      <c r="Q43" s="0" t="n">
        <f aca="false">VLOOKUP($A43,'[2]Sheet 1'!$A$2:$Q$3504,17,FALSE())</f>
        <v>0</v>
      </c>
      <c r="S43" s="5"/>
    </row>
    <row r="44" customFormat="false" ht="14.25" hidden="false" customHeight="false" outlineLevel="0" collapsed="false">
      <c r="A44" s="8" t="n">
        <v>108</v>
      </c>
      <c r="B44" s="8" t="s">
        <v>1216</v>
      </c>
      <c r="C44" s="5" t="n">
        <v>86</v>
      </c>
      <c r="D44" s="0" t="n">
        <f aca="false">VLOOKUP($A44,'[2]Sheet 1'!$A$2:$Q$3504,4,FALSE())</f>
        <v>344.5</v>
      </c>
      <c r="E44" s="0" t="n">
        <f aca="false">VLOOKUP($A44,'[2]Sheet 1'!$A$2:$Q$3504,5,FALSE())</f>
        <v>13.8</v>
      </c>
      <c r="F44" s="0" t="n">
        <f aca="false">VLOOKUP($A44,'[2]Sheet 1'!$A$2:$Q$3504,6,FALSE())</f>
        <v>2.6</v>
      </c>
      <c r="G44" s="0" t="n">
        <f aca="false">VLOOKUP($A44,'[2]Sheet 1'!$A$2:$Q$3504,7,FALSE())</f>
        <v>3.9</v>
      </c>
      <c r="H44" s="0" t="n">
        <f aca="false">VLOOKUP($A44,'[2]Sheet 1'!$A$2:$Q$3504,8,FALSE())</f>
        <v>13</v>
      </c>
      <c r="I44" s="0" t="n">
        <f aca="false">VLOOKUP($A44,'[2]Sheet 1'!$A$2:$Q$3504,9,FALSE())</f>
        <v>141</v>
      </c>
      <c r="J44" s="0" t="n">
        <f aca="false">VLOOKUP($A44,'[2]Sheet 1'!$A$2:$Q$3504,10,FALSE())</f>
        <v>0</v>
      </c>
      <c r="K44" s="0" t="n">
        <f aca="false">VLOOKUP($A44,'[2]Sheet 1'!$A$2:$Q$3504,11,FALSE())</f>
        <v>0.15</v>
      </c>
      <c r="L44" s="0" t="n">
        <f aca="false">VLOOKUP($A44,'[2]Sheet 1'!$A$2:$Q$3504,12,FALSE())</f>
        <v>13.1</v>
      </c>
      <c r="M44" s="0" t="n">
        <f aca="false">VLOOKUP($A44,'[2]Sheet 1'!$A$2:$Q$3504,13,FALSE())</f>
        <v>427</v>
      </c>
      <c r="N44" s="0" t="n">
        <f aca="false">VLOOKUP($A44,'[2]Sheet 1'!$A$2:$Q$3504,14,FALSE())</f>
        <v>0.82</v>
      </c>
      <c r="O44" s="0" t="n">
        <f aca="false">VLOOKUP($A44,'[2]Sheet 1'!$A$2:$Q$3504,15,FALSE())</f>
        <v>0</v>
      </c>
      <c r="P44" s="0" t="n">
        <f aca="false">VLOOKUP($A44,'[2]Sheet 1'!$A$2:$Q$3504,16,FALSE())</f>
        <v>1.9</v>
      </c>
      <c r="Q44" s="0" t="n">
        <f aca="false">VLOOKUP($A44,'[2]Sheet 1'!$A$2:$Q$3504,17,FALSE())</f>
        <v>0</v>
      </c>
      <c r="S44" s="5"/>
    </row>
    <row r="45" customFormat="false" ht="14.25" hidden="false" customHeight="false" outlineLevel="0" collapsed="false">
      <c r="A45" s="5" t="n">
        <v>109</v>
      </c>
      <c r="B45" s="5" t="s">
        <v>147</v>
      </c>
      <c r="C45" s="5" t="n">
        <v>50</v>
      </c>
      <c r="D45" s="0" t="e">
        <f aca="false">VLOOKUP($A45,'[2]Sheet 1'!$A$2:$Q$3504,4,FALSE())</f>
        <v>#N/A</v>
      </c>
      <c r="E45" s="0" t="e">
        <f aca="false">VLOOKUP($A45,'[2]Sheet 1'!$A$2:$Q$3504,5,FALSE())</f>
        <v>#N/A</v>
      </c>
      <c r="F45" s="0" t="e">
        <f aca="false">VLOOKUP($A45,'[2]Sheet 1'!$A$2:$Q$3504,6,FALSE())</f>
        <v>#N/A</v>
      </c>
      <c r="G45" s="0" t="e">
        <f aca="false">VLOOKUP($A45,'[2]Sheet 1'!$A$2:$Q$3504,7,FALSE())</f>
        <v>#N/A</v>
      </c>
      <c r="H45" s="0" t="e">
        <f aca="false">VLOOKUP($A45,'[2]Sheet 1'!$A$2:$Q$3504,8,FALSE())</f>
        <v>#N/A</v>
      </c>
      <c r="I45" s="0" t="e">
        <f aca="false">VLOOKUP($A45,'[2]Sheet 1'!$A$2:$Q$3504,9,FALSE())</f>
        <v>#N/A</v>
      </c>
      <c r="J45" s="0" t="e">
        <f aca="false">VLOOKUP($A45,'[2]Sheet 1'!$A$2:$Q$3504,10,FALSE())</f>
        <v>#N/A</v>
      </c>
      <c r="K45" s="0" t="e">
        <f aca="false">VLOOKUP($A45,'[2]Sheet 1'!$A$2:$Q$3504,11,FALSE())</f>
        <v>#N/A</v>
      </c>
      <c r="L45" s="0" t="e">
        <f aca="false">VLOOKUP($A45,'[2]Sheet 1'!$A$2:$Q$3504,12,FALSE())</f>
        <v>#N/A</v>
      </c>
      <c r="M45" s="0" t="e">
        <f aca="false">VLOOKUP($A45,'[2]Sheet 1'!$A$2:$Q$3504,13,FALSE())</f>
        <v>#N/A</v>
      </c>
      <c r="N45" s="0" t="e">
        <f aca="false">VLOOKUP($A45,'[2]Sheet 1'!$A$2:$Q$3504,14,FALSE())</f>
        <v>#N/A</v>
      </c>
      <c r="O45" s="0" t="e">
        <f aca="false">VLOOKUP($A45,'[2]Sheet 1'!$A$2:$Q$3504,15,FALSE())</f>
        <v>#N/A</v>
      </c>
      <c r="P45" s="0" t="e">
        <f aca="false">VLOOKUP($A45,'[2]Sheet 1'!$A$2:$Q$3504,16,FALSE())</f>
        <v>#N/A</v>
      </c>
      <c r="Q45" s="0" t="e">
        <f aca="false">VLOOKUP($A45,'[2]Sheet 1'!$A$2:$Q$3504,17,FALSE())</f>
        <v>#N/A</v>
      </c>
      <c r="S45" s="5"/>
    </row>
    <row r="46" customFormat="false" ht="14.25" hidden="false" customHeight="false" outlineLevel="0" collapsed="false">
      <c r="A46" s="5" t="n">
        <v>110</v>
      </c>
      <c r="B46" s="5" t="s">
        <v>149</v>
      </c>
      <c r="C46" s="5" t="n">
        <v>90</v>
      </c>
      <c r="D46" s="0" t="n">
        <f aca="false">VLOOKUP($A46,'[2]Sheet 1'!$A$2:$Q$3504,4,FALSE())</f>
        <v>208</v>
      </c>
      <c r="E46" s="0" t="n">
        <f aca="false">VLOOKUP($A46,'[2]Sheet 1'!$A$2:$Q$3504,5,FALSE())</f>
        <v>8.5</v>
      </c>
      <c r="F46" s="0" t="n">
        <f aca="false">VLOOKUP($A46,'[2]Sheet 1'!$A$2:$Q$3504,6,FALSE())</f>
        <v>2.8</v>
      </c>
      <c r="G46" s="0" t="n">
        <f aca="false">VLOOKUP($A46,'[2]Sheet 1'!$A$2:$Q$3504,7,FALSE())</f>
        <v>1.04</v>
      </c>
      <c r="H46" s="0" t="n">
        <f aca="false">VLOOKUP($A46,'[2]Sheet 1'!$A$2:$Q$3504,8,FALSE())</f>
        <v>3.11</v>
      </c>
      <c r="I46" s="0" t="n">
        <f aca="false">VLOOKUP($A46,'[2]Sheet 1'!$A$2:$Q$3504,9,FALSE())</f>
        <v>250</v>
      </c>
      <c r="J46" s="0" t="n">
        <f aca="false">VLOOKUP($A46,'[2]Sheet 1'!$A$2:$Q$3504,10,FALSE())</f>
        <v>29</v>
      </c>
      <c r="K46" s="0" t="n">
        <f aca="false">VLOOKUP($A46,'[2]Sheet 1'!$A$2:$Q$3504,11,FALSE())</f>
        <v>0.529</v>
      </c>
      <c r="L46" s="0" t="n">
        <f aca="false">VLOOKUP($A46,'[2]Sheet 1'!$A$2:$Q$3504,12,FALSE())</f>
        <v>0</v>
      </c>
      <c r="M46" s="0" t="n">
        <f aca="false">VLOOKUP($A46,'[2]Sheet 1'!$A$2:$Q$3504,13,FALSE())</f>
        <v>279</v>
      </c>
      <c r="N46" s="0" t="n">
        <f aca="false">VLOOKUP($A46,'[2]Sheet 1'!$A$2:$Q$3504,14,FALSE())</f>
        <v>0</v>
      </c>
      <c r="O46" s="0" t="n">
        <f aca="false">VLOOKUP($A46,'[2]Sheet 1'!$A$2:$Q$3504,15,FALSE())</f>
        <v>0.29</v>
      </c>
      <c r="P46" s="0" t="n">
        <f aca="false">VLOOKUP($A46,'[2]Sheet 1'!$A$2:$Q$3504,16,FALSE())</f>
        <v>0</v>
      </c>
      <c r="Q46" s="0" t="n">
        <f aca="false">VLOOKUP($A46,'[2]Sheet 1'!$A$2:$Q$3504,17,FALSE())</f>
        <v>64</v>
      </c>
      <c r="S46" s="5"/>
    </row>
    <row r="47" customFormat="false" ht="14.25" hidden="false" customHeight="false" outlineLevel="0" collapsed="false">
      <c r="A47" s="5" t="n">
        <v>111</v>
      </c>
      <c r="B47" s="5" t="s">
        <v>151</v>
      </c>
      <c r="C47" s="5" t="n">
        <v>88</v>
      </c>
      <c r="D47" s="0" t="n">
        <f aca="false">VLOOKUP($A47,'[2]Sheet 1'!$A$2:$Q$3504,4,FALSE())</f>
        <v>348</v>
      </c>
      <c r="E47" s="0" t="n">
        <f aca="false">VLOOKUP($A47,'[2]Sheet 1'!$A$2:$Q$3504,5,FALSE())</f>
        <v>11.4</v>
      </c>
      <c r="F47" s="0" t="n">
        <f aca="false">VLOOKUP($A47,'[2]Sheet 1'!$A$2:$Q$3504,6,FALSE())</f>
        <v>0.4</v>
      </c>
      <c r="G47" s="0" t="n">
        <f aca="false">VLOOKUP($A47,'[2]Sheet 1'!$A$2:$Q$3504,7,FALSE())</f>
        <v>1.1</v>
      </c>
      <c r="H47" s="0" t="n">
        <f aca="false">VLOOKUP($A47,'[2]Sheet 1'!$A$2:$Q$3504,8,FALSE())</f>
        <v>2.2</v>
      </c>
      <c r="I47" s="0" t="n">
        <f aca="false">VLOOKUP($A47,'[2]Sheet 1'!$A$2:$Q$3504,9,FALSE())</f>
        <v>29.5</v>
      </c>
      <c r="J47" s="0" t="n">
        <f aca="false">VLOOKUP($A47,'[2]Sheet 1'!$A$2:$Q$3504,10,FALSE())</f>
        <v>25</v>
      </c>
      <c r="K47" s="0" t="n">
        <f aca="false">VLOOKUP($A47,'[2]Sheet 1'!$A$2:$Q$3504,11,FALSE())</f>
        <v>0.103333333</v>
      </c>
      <c r="L47" s="0" t="n">
        <f aca="false">VLOOKUP($A47,'[2]Sheet 1'!$A$2:$Q$3504,12,FALSE())</f>
        <v>10.4</v>
      </c>
      <c r="M47" s="0" t="n">
        <f aca="false">VLOOKUP($A47,'[2]Sheet 1'!$A$2:$Q$3504,13,FALSE())</f>
        <v>132.5</v>
      </c>
      <c r="N47" s="0" t="n">
        <f aca="false">VLOOKUP($A47,'[2]Sheet 1'!$A$2:$Q$3504,14,FALSE())</f>
        <v>0.71</v>
      </c>
      <c r="O47" s="0" t="n">
        <f aca="false">VLOOKUP($A47,'[2]Sheet 1'!$A$2:$Q$3504,15,FALSE())</f>
        <v>0</v>
      </c>
      <c r="P47" s="0" t="n">
        <f aca="false">VLOOKUP($A47,'[2]Sheet 1'!$A$2:$Q$3504,16,FALSE())</f>
        <v>1.9</v>
      </c>
      <c r="Q47" s="0" t="n">
        <f aca="false">VLOOKUP($A47,'[2]Sheet 1'!$A$2:$Q$3504,17,FALSE())</f>
        <v>0</v>
      </c>
      <c r="S47" s="5"/>
    </row>
    <row r="48" customFormat="false" ht="14.25" hidden="false" customHeight="false" outlineLevel="0" collapsed="false">
      <c r="A48" s="5" t="n">
        <v>113</v>
      </c>
      <c r="B48" s="5" t="s">
        <v>1217</v>
      </c>
      <c r="C48" s="5" t="n">
        <v>88</v>
      </c>
      <c r="D48" s="0" t="n">
        <f aca="false">VLOOKUP($A48,'[2]Sheet 1'!$A$2:$Q$3504,4,FALSE())</f>
        <v>62</v>
      </c>
      <c r="E48" s="0" t="n">
        <f aca="false">VLOOKUP($A48,'[2]Sheet 1'!$A$2:$Q$3504,5,FALSE())</f>
        <v>2</v>
      </c>
      <c r="F48" s="0" t="n">
        <f aca="false">VLOOKUP($A48,'[2]Sheet 1'!$A$2:$Q$3504,6,FALSE())</f>
        <v>1.6</v>
      </c>
      <c r="G48" s="0" t="n">
        <f aca="false">VLOOKUP($A48,'[2]Sheet 1'!$A$2:$Q$3504,7,FALSE())</f>
        <v>0.48</v>
      </c>
      <c r="H48" s="0" t="n">
        <f aca="false">VLOOKUP($A48,'[2]Sheet 1'!$A$2:$Q$3504,8,FALSE())</f>
        <v>0.62</v>
      </c>
      <c r="I48" s="0" t="n">
        <f aca="false">VLOOKUP($A48,'[2]Sheet 1'!$A$2:$Q$3504,9,FALSE())</f>
        <v>7</v>
      </c>
      <c r="J48" s="0" t="n">
        <f aca="false">VLOOKUP($A48,'[2]Sheet 1'!$A$2:$Q$3504,10,FALSE())</f>
        <v>14</v>
      </c>
      <c r="K48" s="0" t="n">
        <f aca="false">VLOOKUP($A48,'[2]Sheet 1'!$A$2:$Q$3504,11,FALSE())</f>
        <v>0.05</v>
      </c>
      <c r="L48" s="0" t="n">
        <f aca="false">VLOOKUP($A48,'[2]Sheet 1'!$A$2:$Q$3504,12,FALSE())</f>
        <v>4.2</v>
      </c>
      <c r="M48" s="0" t="n">
        <f aca="false">VLOOKUP($A48,'[2]Sheet 1'!$A$2:$Q$3504,13,FALSE())</f>
        <v>71</v>
      </c>
      <c r="N48" s="0" t="n">
        <f aca="false">VLOOKUP($A48,'[2]Sheet 1'!$A$2:$Q$3504,14,FALSE())</f>
        <v>0.24</v>
      </c>
      <c r="O48" s="0" t="n">
        <f aca="false">VLOOKUP($A48,'[2]Sheet 1'!$A$2:$Q$3504,15,FALSE())</f>
        <v>0</v>
      </c>
      <c r="P48" s="0" t="n">
        <f aca="false">VLOOKUP($A48,'[2]Sheet 1'!$A$2:$Q$3504,16,FALSE())</f>
        <v>0.4</v>
      </c>
      <c r="Q48" s="0" t="n">
        <f aca="false">VLOOKUP($A48,'[2]Sheet 1'!$A$2:$Q$3504,17,FALSE())</f>
        <v>0</v>
      </c>
      <c r="S48" s="5"/>
    </row>
    <row r="49" customFormat="false" ht="14.25" hidden="false" customHeight="false" outlineLevel="0" collapsed="false">
      <c r="A49" s="5" t="n">
        <v>114</v>
      </c>
      <c r="B49" s="5" t="s">
        <v>155</v>
      </c>
      <c r="C49" s="5" t="n">
        <v>80</v>
      </c>
      <c r="D49" s="0" t="n">
        <f aca="false">VLOOKUP($A49,'[2]Sheet 1'!$A$2:$Q$3504,4,FALSE())</f>
        <v>361</v>
      </c>
      <c r="E49" s="0" t="n">
        <f aca="false">VLOOKUP($A49,'[2]Sheet 1'!$A$2:$Q$3504,5,FALSE())</f>
        <v>11.98</v>
      </c>
      <c r="F49" s="0" t="n">
        <f aca="false">VLOOKUP($A49,'[2]Sheet 1'!$A$2:$Q$3504,6,FALSE())</f>
        <v>2.4</v>
      </c>
      <c r="G49" s="0" t="n">
        <f aca="false">VLOOKUP($A49,'[2]Sheet 1'!$A$2:$Q$3504,7,FALSE())</f>
        <v>0.85</v>
      </c>
      <c r="H49" s="0" t="n">
        <f aca="false">VLOOKUP($A49,'[2]Sheet 1'!$A$2:$Q$3504,8,FALSE())</f>
        <v>4.41</v>
      </c>
      <c r="I49" s="0" t="n">
        <f aca="false">VLOOKUP($A49,'[2]Sheet 1'!$A$2:$Q$3504,9,FALSE())</f>
        <v>15</v>
      </c>
      <c r="J49" s="0" t="n">
        <f aca="false">VLOOKUP($A49,'[2]Sheet 1'!$A$2:$Q$3504,10,FALSE())</f>
        <v>183</v>
      </c>
      <c r="K49" s="0" t="n">
        <f aca="false">VLOOKUP($A49,'[2]Sheet 1'!$A$2:$Q$3504,11,FALSE())</f>
        <v>0.512</v>
      </c>
      <c r="L49" s="0" t="n">
        <f aca="false">VLOOKUP($A49,'[2]Sheet 1'!$A$2:$Q$3504,12,FALSE())</f>
        <v>10.4</v>
      </c>
      <c r="M49" s="0" t="n">
        <f aca="false">VLOOKUP($A49,'[2]Sheet 1'!$A$2:$Q$3504,13,FALSE())</f>
        <v>100</v>
      </c>
      <c r="N49" s="0" t="n">
        <f aca="false">VLOOKUP($A49,'[2]Sheet 1'!$A$2:$Q$3504,14,FALSE())</f>
        <v>0.4</v>
      </c>
      <c r="O49" s="0" t="n">
        <f aca="false">VLOOKUP($A49,'[2]Sheet 1'!$A$2:$Q$3504,15,FALSE())</f>
        <v>0</v>
      </c>
      <c r="P49" s="0" t="n">
        <f aca="false">VLOOKUP($A49,'[2]Sheet 1'!$A$2:$Q$3504,16,FALSE())</f>
        <v>0.3</v>
      </c>
      <c r="Q49" s="0" t="n">
        <f aca="false">VLOOKUP($A49,'[2]Sheet 1'!$A$2:$Q$3504,17,FALSE())</f>
        <v>0</v>
      </c>
      <c r="S49" s="5"/>
    </row>
    <row r="50" customFormat="false" ht="14.25" hidden="false" customHeight="false" outlineLevel="0" collapsed="false">
      <c r="A50" s="5" t="n">
        <v>115</v>
      </c>
      <c r="B50" s="5" t="s">
        <v>157</v>
      </c>
      <c r="C50" s="5" t="n">
        <v>88</v>
      </c>
      <c r="D50" s="0" t="n">
        <f aca="false">VLOOKUP($A50,'[2]Sheet 1'!$A$2:$Q$3504,4,FALSE())</f>
        <v>124</v>
      </c>
      <c r="E50" s="0" t="n">
        <f aca="false">VLOOKUP($A50,'[2]Sheet 1'!$A$2:$Q$3504,5,FALSE())</f>
        <v>4.37</v>
      </c>
      <c r="F50" s="0" t="n">
        <f aca="false">VLOOKUP($A50,'[2]Sheet 1'!$A$2:$Q$3504,6,FALSE())</f>
        <v>0</v>
      </c>
      <c r="G50" s="0" t="n">
        <f aca="false">VLOOKUP($A50,'[2]Sheet 1'!$A$2:$Q$3504,7,FALSE())</f>
        <v>0.37</v>
      </c>
      <c r="H50" s="0" t="n">
        <f aca="false">VLOOKUP($A50,'[2]Sheet 1'!$A$2:$Q$3504,8,FALSE())</f>
        <v>1.13</v>
      </c>
      <c r="I50" s="0" t="n">
        <f aca="false">VLOOKUP($A50,'[2]Sheet 1'!$A$2:$Q$3504,9,FALSE())</f>
        <v>6</v>
      </c>
      <c r="J50" s="0" t="n">
        <f aca="false">VLOOKUP($A50,'[2]Sheet 1'!$A$2:$Q$3504,10,FALSE())</f>
        <v>43</v>
      </c>
      <c r="K50" s="0" t="n">
        <f aca="false">VLOOKUP($A50,'[2]Sheet 1'!$A$2:$Q$3504,11,FALSE())</f>
        <v>0.148</v>
      </c>
      <c r="L50" s="0" t="n">
        <f aca="false">VLOOKUP($A50,'[2]Sheet 1'!$A$2:$Q$3504,12,FALSE())</f>
        <v>0</v>
      </c>
      <c r="M50" s="0" t="n">
        <f aca="false">VLOOKUP($A50,'[2]Sheet 1'!$A$2:$Q$3504,13,FALSE())</f>
        <v>19</v>
      </c>
      <c r="N50" s="0" t="n">
        <f aca="false">VLOOKUP($A50,'[2]Sheet 1'!$A$2:$Q$3504,14,FALSE())</f>
        <v>0</v>
      </c>
      <c r="O50" s="0" t="n">
        <f aca="false">VLOOKUP($A50,'[2]Sheet 1'!$A$2:$Q$3504,15,FALSE())</f>
        <v>0</v>
      </c>
      <c r="P50" s="0" t="n">
        <f aca="false">VLOOKUP($A50,'[2]Sheet 1'!$A$2:$Q$3504,16,FALSE())</f>
        <v>0</v>
      </c>
      <c r="Q50" s="0" t="n">
        <f aca="false">VLOOKUP($A50,'[2]Sheet 1'!$A$2:$Q$3504,17,FALSE())</f>
        <v>0</v>
      </c>
      <c r="S50" s="5"/>
    </row>
    <row r="51" customFormat="false" ht="14.25" hidden="false" customHeight="false" outlineLevel="0" collapsed="false">
      <c r="A51" s="5" t="n">
        <v>116</v>
      </c>
      <c r="B51" s="5" t="s">
        <v>159</v>
      </c>
      <c r="C51" s="5" t="n">
        <v>22</v>
      </c>
      <c r="D51" s="0" t="n">
        <f aca="false">VLOOKUP($A51,'[2]Sheet 1'!$A$2:$Q$3504,4,FALSE())</f>
        <v>79.5</v>
      </c>
      <c r="E51" s="0" t="n">
        <f aca="false">VLOOKUP($A51,'[2]Sheet 1'!$A$2:$Q$3504,5,FALSE())</f>
        <v>2</v>
      </c>
      <c r="F51" s="0" t="n">
        <f aca="false">VLOOKUP($A51,'[2]Sheet 1'!$A$2:$Q$3504,6,FALSE())</f>
        <v>1.6</v>
      </c>
      <c r="G51" s="0" t="n">
        <f aca="false">VLOOKUP($A51,'[2]Sheet 1'!$A$2:$Q$3504,7,FALSE())</f>
        <v>0.3375</v>
      </c>
      <c r="H51" s="0" t="n">
        <f aca="false">VLOOKUP($A51,'[2]Sheet 1'!$A$2:$Q$3504,8,FALSE())</f>
        <v>1</v>
      </c>
      <c r="I51" s="0" t="n">
        <f aca="false">VLOOKUP($A51,'[2]Sheet 1'!$A$2:$Q$3504,9,FALSE())</f>
        <v>8</v>
      </c>
      <c r="J51" s="0" t="n">
        <f aca="false">VLOOKUP($A51,'[2]Sheet 1'!$A$2:$Q$3504,10,FALSE())</f>
        <v>17.5</v>
      </c>
      <c r="K51" s="0" t="n">
        <f aca="false">VLOOKUP($A51,'[2]Sheet 1'!$A$2:$Q$3504,11,FALSE())</f>
        <v>0.06</v>
      </c>
      <c r="L51" s="0" t="n">
        <f aca="false">VLOOKUP($A51,'[2]Sheet 1'!$A$2:$Q$3504,12,FALSE())</f>
        <v>14.5</v>
      </c>
      <c r="M51" s="0" t="n">
        <f aca="false">VLOOKUP($A51,'[2]Sheet 1'!$A$2:$Q$3504,13,FALSE())</f>
        <v>412</v>
      </c>
      <c r="N51" s="0" t="n">
        <f aca="false">VLOOKUP($A51,'[2]Sheet 1'!$A$2:$Q$3504,14,FALSE())</f>
        <v>0.00844451291968602</v>
      </c>
      <c r="O51" s="0" t="n">
        <f aca="false">VLOOKUP($A51,'[2]Sheet 1'!$A$2:$Q$3504,15,FALSE())</f>
        <v>0</v>
      </c>
      <c r="P51" s="0" t="n">
        <f aca="false">VLOOKUP($A51,'[2]Sheet 1'!$A$2:$Q$3504,16,FALSE())</f>
        <v>0</v>
      </c>
      <c r="Q51" s="0" t="n">
        <f aca="false">VLOOKUP($A51,'[2]Sheet 1'!$A$2:$Q$3504,17,FALSE())</f>
        <v>0</v>
      </c>
      <c r="S51" s="5"/>
    </row>
    <row r="52" customFormat="false" ht="14.25" hidden="false" customHeight="false" outlineLevel="0" collapsed="false">
      <c r="A52" s="5" t="n">
        <v>117</v>
      </c>
      <c r="B52" s="5" t="s">
        <v>162</v>
      </c>
      <c r="C52" s="5" t="n">
        <v>92.4</v>
      </c>
      <c r="D52" s="0" t="n">
        <f aca="false">VLOOKUP($A52,'[2]Sheet 1'!$A$2:$Q$3504,4,FALSE())</f>
        <v>357</v>
      </c>
      <c r="E52" s="0" t="n">
        <f aca="false">VLOOKUP($A52,'[2]Sheet 1'!$A$2:$Q$3504,5,FALSE())</f>
        <v>6.9</v>
      </c>
      <c r="F52" s="0" t="n">
        <f aca="false">VLOOKUP($A52,'[2]Sheet 1'!$A$2:$Q$3504,6,FALSE())</f>
        <v>5.9</v>
      </c>
      <c r="G52" s="0" t="n">
        <f aca="false">VLOOKUP($A52,'[2]Sheet 1'!$A$2:$Q$3504,7,FALSE())</f>
        <v>0.54</v>
      </c>
      <c r="H52" s="0" t="n">
        <f aca="false">VLOOKUP($A52,'[2]Sheet 1'!$A$2:$Q$3504,8,FALSE())</f>
        <v>1.38</v>
      </c>
      <c r="I52" s="0" t="n">
        <f aca="false">VLOOKUP($A52,'[2]Sheet 1'!$A$2:$Q$3504,9,FALSE())</f>
        <v>65</v>
      </c>
      <c r="J52" s="0" t="n">
        <f aca="false">VLOOKUP($A52,'[2]Sheet 1'!$A$2:$Q$3504,10,FALSE())</f>
        <v>25</v>
      </c>
      <c r="K52" s="0" t="n">
        <f aca="false">VLOOKUP($A52,'[2]Sheet 1'!$A$2:$Q$3504,11,FALSE())</f>
        <v>0.051</v>
      </c>
      <c r="L52" s="0" t="n">
        <f aca="false">VLOOKUP($A52,'[2]Sheet 1'!$A$2:$Q$3504,12,FALSE())</f>
        <v>39.5</v>
      </c>
      <c r="M52" s="0" t="n">
        <f aca="false">VLOOKUP($A52,'[2]Sheet 1'!$A$2:$Q$3504,13,FALSE())</f>
        <v>1001</v>
      </c>
      <c r="N52" s="0" t="n">
        <f aca="false">VLOOKUP($A52,'[2]Sheet 1'!$A$2:$Q$3504,14,FALSE())</f>
        <v>0.25</v>
      </c>
      <c r="O52" s="0" t="n">
        <f aca="false">VLOOKUP($A52,'[2]Sheet 1'!$A$2:$Q$3504,15,FALSE())</f>
        <v>0</v>
      </c>
      <c r="P52" s="0" t="n">
        <f aca="false">VLOOKUP($A52,'[2]Sheet 1'!$A$2:$Q$3504,16,FALSE())</f>
        <v>0</v>
      </c>
      <c r="Q52" s="0" t="n">
        <f aca="false">VLOOKUP($A52,'[2]Sheet 1'!$A$2:$Q$3504,17,FALSE())</f>
        <v>0</v>
      </c>
      <c r="S52" s="5"/>
    </row>
    <row r="53" customFormat="false" ht="14.25" hidden="false" customHeight="false" outlineLevel="0" collapsed="false">
      <c r="A53" s="5" t="n">
        <v>118</v>
      </c>
      <c r="B53" s="5" t="s">
        <v>165</v>
      </c>
      <c r="C53" s="5" t="n">
        <v>30</v>
      </c>
      <c r="D53" s="0" t="n">
        <f aca="false">VLOOKUP($A53,'[2]Sheet 1'!$A$2:$Q$3504,4,FALSE())</f>
        <v>79.5</v>
      </c>
      <c r="E53" s="0" t="n">
        <f aca="false">VLOOKUP($A53,'[2]Sheet 1'!$A$2:$Q$3504,5,FALSE())</f>
        <v>2</v>
      </c>
      <c r="F53" s="0" t="n">
        <f aca="false">VLOOKUP($A53,'[2]Sheet 1'!$A$2:$Q$3504,6,FALSE())</f>
        <v>1.6</v>
      </c>
      <c r="G53" s="0" t="n">
        <f aca="false">VLOOKUP($A53,'[2]Sheet 1'!$A$2:$Q$3504,7,FALSE())</f>
        <v>0.3375</v>
      </c>
      <c r="H53" s="0" t="n">
        <f aca="false">VLOOKUP($A53,'[2]Sheet 1'!$A$2:$Q$3504,8,FALSE())</f>
        <v>1</v>
      </c>
      <c r="I53" s="0" t="n">
        <f aca="false">VLOOKUP($A53,'[2]Sheet 1'!$A$2:$Q$3504,9,FALSE())</f>
        <v>8</v>
      </c>
      <c r="J53" s="0" t="n">
        <f aca="false">VLOOKUP($A53,'[2]Sheet 1'!$A$2:$Q$3504,10,FALSE())</f>
        <v>17.5</v>
      </c>
      <c r="K53" s="0" t="n">
        <f aca="false">VLOOKUP($A53,'[2]Sheet 1'!$A$2:$Q$3504,11,FALSE())</f>
        <v>0.06</v>
      </c>
      <c r="L53" s="0" t="n">
        <f aca="false">VLOOKUP($A53,'[2]Sheet 1'!$A$2:$Q$3504,12,FALSE())</f>
        <v>14.5</v>
      </c>
      <c r="M53" s="0" t="n">
        <f aca="false">VLOOKUP($A53,'[2]Sheet 1'!$A$2:$Q$3504,13,FALSE())</f>
        <v>412</v>
      </c>
      <c r="N53" s="0" t="n">
        <f aca="false">VLOOKUP($A53,'[2]Sheet 1'!$A$2:$Q$3504,14,FALSE())</f>
        <v>0.00844451291968602</v>
      </c>
      <c r="O53" s="0" t="n">
        <f aca="false">VLOOKUP($A53,'[2]Sheet 1'!$A$2:$Q$3504,15,FALSE())</f>
        <v>0</v>
      </c>
      <c r="P53" s="0" t="n">
        <f aca="false">VLOOKUP($A53,'[2]Sheet 1'!$A$2:$Q$3504,16,FALSE())</f>
        <v>0</v>
      </c>
      <c r="Q53" s="0" t="n">
        <f aca="false">VLOOKUP($A53,'[2]Sheet 1'!$A$2:$Q$3504,17,FALSE())</f>
        <v>0</v>
      </c>
      <c r="S53" s="5"/>
    </row>
    <row r="54" customFormat="false" ht="14.25" hidden="false" customHeight="false" outlineLevel="0" collapsed="false">
      <c r="A54" s="5" t="n">
        <v>120</v>
      </c>
      <c r="B54" s="5" t="s">
        <v>167</v>
      </c>
      <c r="C54" s="5" t="n">
        <v>22</v>
      </c>
      <c r="D54" s="0" t="n">
        <f aca="false">VLOOKUP($A54,'[2]Sheet 1'!$A$2:$Q$3504,4,FALSE())</f>
        <v>79.5</v>
      </c>
      <c r="E54" s="0" t="n">
        <f aca="false">VLOOKUP($A54,'[2]Sheet 1'!$A$2:$Q$3504,5,FALSE())</f>
        <v>2</v>
      </c>
      <c r="F54" s="0" t="n">
        <f aca="false">VLOOKUP($A54,'[2]Sheet 1'!$A$2:$Q$3504,6,FALSE())</f>
        <v>1.6</v>
      </c>
      <c r="G54" s="0" t="n">
        <f aca="false">VLOOKUP($A54,'[2]Sheet 1'!$A$2:$Q$3504,7,FALSE())</f>
        <v>0.3375</v>
      </c>
      <c r="H54" s="0" t="n">
        <f aca="false">VLOOKUP($A54,'[2]Sheet 1'!$A$2:$Q$3504,8,FALSE())</f>
        <v>1</v>
      </c>
      <c r="I54" s="0" t="n">
        <f aca="false">VLOOKUP($A54,'[2]Sheet 1'!$A$2:$Q$3504,9,FALSE())</f>
        <v>8</v>
      </c>
      <c r="J54" s="0" t="n">
        <f aca="false">VLOOKUP($A54,'[2]Sheet 1'!$A$2:$Q$3504,10,FALSE())</f>
        <v>17.5</v>
      </c>
      <c r="K54" s="0" t="n">
        <f aca="false">VLOOKUP($A54,'[2]Sheet 1'!$A$2:$Q$3504,11,FALSE())</f>
        <v>0.06</v>
      </c>
      <c r="L54" s="0" t="n">
        <f aca="false">VLOOKUP($A54,'[2]Sheet 1'!$A$2:$Q$3504,12,FALSE())</f>
        <v>14.5</v>
      </c>
      <c r="M54" s="0" t="n">
        <f aca="false">VLOOKUP($A54,'[2]Sheet 1'!$A$2:$Q$3504,13,FALSE())</f>
        <v>412</v>
      </c>
      <c r="N54" s="0" t="n">
        <f aca="false">VLOOKUP($A54,'[2]Sheet 1'!$A$2:$Q$3504,14,FALSE())</f>
        <v>0.00844451291968602</v>
      </c>
      <c r="O54" s="0" t="n">
        <f aca="false">VLOOKUP($A54,'[2]Sheet 1'!$A$2:$Q$3504,15,FALSE())</f>
        <v>0</v>
      </c>
      <c r="P54" s="0" t="n">
        <f aca="false">VLOOKUP($A54,'[2]Sheet 1'!$A$2:$Q$3504,16,FALSE())</f>
        <v>0</v>
      </c>
      <c r="Q54" s="0" t="n">
        <f aca="false">VLOOKUP($A54,'[2]Sheet 1'!$A$2:$Q$3504,17,FALSE())</f>
        <v>0</v>
      </c>
      <c r="S54" s="5"/>
    </row>
    <row r="55" customFormat="false" ht="14.25" hidden="false" customHeight="false" outlineLevel="0" collapsed="false">
      <c r="A55" s="5" t="n">
        <v>122</v>
      </c>
      <c r="B55" s="5" t="s">
        <v>169</v>
      </c>
      <c r="C55" s="5" t="n">
        <v>30</v>
      </c>
      <c r="D55" s="0" t="n">
        <f aca="false">VLOOKUP($A55,'[2]Sheet 1'!$A$2:$Q$3504,4,FALSE())</f>
        <v>112</v>
      </c>
      <c r="E55" s="0" t="n">
        <f aca="false">VLOOKUP($A55,'[2]Sheet 1'!$A$2:$Q$3504,5,FALSE())</f>
        <v>1.425000002</v>
      </c>
      <c r="F55" s="0" t="n">
        <f aca="false">VLOOKUP($A55,'[2]Sheet 1'!$A$2:$Q$3504,6,FALSE())</f>
        <v>2.7</v>
      </c>
      <c r="G55" s="0" t="n">
        <f aca="false">VLOOKUP($A55,'[2]Sheet 1'!$A$2:$Q$3504,7,FALSE())</f>
        <v>0.25</v>
      </c>
      <c r="H55" s="0" t="n">
        <f aca="false">VLOOKUP($A55,'[2]Sheet 1'!$A$2:$Q$3504,8,FALSE())</f>
        <v>1.1</v>
      </c>
      <c r="I55" s="0" t="n">
        <f aca="false">VLOOKUP($A55,'[2]Sheet 1'!$A$2:$Q$3504,9,FALSE())</f>
        <v>33</v>
      </c>
      <c r="J55" s="0" t="n">
        <f aca="false">VLOOKUP($A55,'[2]Sheet 1'!$A$2:$Q$3504,10,FALSE())</f>
        <v>52</v>
      </c>
      <c r="K55" s="0" t="n">
        <f aca="false">VLOOKUP($A55,'[2]Sheet 1'!$A$2:$Q$3504,11,FALSE())</f>
        <v>0.04</v>
      </c>
      <c r="L55" s="0" t="n">
        <f aca="false">VLOOKUP($A55,'[2]Sheet 1'!$A$2:$Q$3504,12,FALSE())</f>
        <v>12.3</v>
      </c>
      <c r="M55" s="0" t="n">
        <f aca="false">VLOOKUP($A55,'[2]Sheet 1'!$A$2:$Q$3504,13,FALSE())</f>
        <v>330</v>
      </c>
      <c r="N55" s="0" t="n">
        <f aca="false">VLOOKUP($A55,'[2]Sheet 1'!$A$2:$Q$3504,14,FALSE())</f>
        <v>0.71</v>
      </c>
      <c r="O55" s="0" t="n">
        <f aca="false">VLOOKUP($A55,'[2]Sheet 1'!$A$2:$Q$3504,15,FALSE())</f>
        <v>0</v>
      </c>
      <c r="P55" s="0" t="n">
        <f aca="false">VLOOKUP($A55,'[2]Sheet 1'!$A$2:$Q$3504,16,FALSE())</f>
        <v>2.3</v>
      </c>
      <c r="Q55" s="0" t="n">
        <f aca="false">VLOOKUP($A55,'[2]Sheet 1'!$A$2:$Q$3504,17,FALSE())</f>
        <v>95.29166665</v>
      </c>
      <c r="S55" s="5"/>
    </row>
    <row r="56" customFormat="false" ht="14.25" hidden="false" customHeight="false" outlineLevel="0" collapsed="false">
      <c r="A56" s="5" t="n">
        <v>125</v>
      </c>
      <c r="B56" s="5" t="s">
        <v>171</v>
      </c>
      <c r="C56" s="5" t="n">
        <v>30</v>
      </c>
      <c r="D56" s="0" t="n">
        <f aca="false">VLOOKUP($A56,'[2]Sheet 1'!$A$2:$Q$3504,4,FALSE())</f>
        <v>147.5</v>
      </c>
      <c r="E56" s="0" t="n">
        <f aca="false">VLOOKUP($A56,'[2]Sheet 1'!$A$2:$Q$3504,5,FALSE())</f>
        <v>1.150000007</v>
      </c>
      <c r="F56" s="0" t="n">
        <f aca="false">VLOOKUP($A56,'[2]Sheet 1'!$A$2:$Q$3504,6,FALSE())</f>
        <v>1.7</v>
      </c>
      <c r="G56" s="0" t="n">
        <f aca="false">VLOOKUP($A56,'[2]Sheet 1'!$A$2:$Q$3504,7,FALSE())</f>
        <v>0.34</v>
      </c>
      <c r="H56" s="0" t="n">
        <f aca="false">VLOOKUP($A56,'[2]Sheet 1'!$A$2:$Q$3504,8,FALSE())</f>
        <v>1</v>
      </c>
      <c r="I56" s="0" t="n">
        <f aca="false">VLOOKUP($A56,'[2]Sheet 1'!$A$2:$Q$3504,9,FALSE())</f>
        <v>33.5</v>
      </c>
      <c r="J56" s="0" t="n">
        <f aca="false">VLOOKUP($A56,'[2]Sheet 1'!$A$2:$Q$3504,10,FALSE())</f>
        <v>25.5</v>
      </c>
      <c r="K56" s="0" t="n">
        <f aca="false">VLOOKUP($A56,'[2]Sheet 1'!$A$2:$Q$3504,11,FALSE())</f>
        <v>0.049</v>
      </c>
      <c r="L56" s="0" t="n">
        <f aca="false">VLOOKUP($A56,'[2]Sheet 1'!$A$2:$Q$3504,12,FALSE())</f>
        <v>23.7</v>
      </c>
      <c r="M56" s="0" t="n">
        <f aca="false">VLOOKUP($A56,'[2]Sheet 1'!$A$2:$Q$3504,13,FALSE())</f>
        <v>271</v>
      </c>
      <c r="N56" s="0" t="n">
        <f aca="false">VLOOKUP($A56,'[2]Sheet 1'!$A$2:$Q$3504,14,FALSE())</f>
        <v>0.19</v>
      </c>
      <c r="O56" s="0" t="n">
        <f aca="false">VLOOKUP($A56,'[2]Sheet 1'!$A$2:$Q$3504,15,FALSE())</f>
        <v>0</v>
      </c>
      <c r="P56" s="0" t="n">
        <f aca="false">VLOOKUP($A56,'[2]Sheet 1'!$A$2:$Q$3504,16,FALSE())</f>
        <v>1.9</v>
      </c>
      <c r="Q56" s="0" t="n">
        <f aca="false">VLOOKUP($A56,'[2]Sheet 1'!$A$2:$Q$3504,17,FALSE())</f>
        <v>6</v>
      </c>
      <c r="S56" s="5"/>
    </row>
    <row r="57" customFormat="false" ht="14.25" hidden="false" customHeight="false" outlineLevel="0" collapsed="false">
      <c r="A57" s="5" t="n">
        <v>126</v>
      </c>
      <c r="B57" s="5" t="s">
        <v>173</v>
      </c>
      <c r="C57" s="5" t="n">
        <v>88</v>
      </c>
      <c r="D57" s="0" t="e">
        <f aca="false">VLOOKUP($A57,'[2]Sheet 1'!$A$2:$Q$3504,4,FALSE())</f>
        <v>#N/A</v>
      </c>
      <c r="E57" s="0" t="e">
        <f aca="false">VLOOKUP($A57,'[2]Sheet 1'!$A$2:$Q$3504,5,FALSE())</f>
        <v>#N/A</v>
      </c>
      <c r="F57" s="0" t="e">
        <f aca="false">VLOOKUP($A57,'[2]Sheet 1'!$A$2:$Q$3504,6,FALSE())</f>
        <v>#N/A</v>
      </c>
      <c r="G57" s="0" t="e">
        <f aca="false">VLOOKUP($A57,'[2]Sheet 1'!$A$2:$Q$3504,7,FALSE())</f>
        <v>#N/A</v>
      </c>
      <c r="H57" s="0" t="e">
        <f aca="false">VLOOKUP($A57,'[2]Sheet 1'!$A$2:$Q$3504,8,FALSE())</f>
        <v>#N/A</v>
      </c>
      <c r="I57" s="0" t="e">
        <f aca="false">VLOOKUP($A57,'[2]Sheet 1'!$A$2:$Q$3504,9,FALSE())</f>
        <v>#N/A</v>
      </c>
      <c r="J57" s="0" t="e">
        <f aca="false">VLOOKUP($A57,'[2]Sheet 1'!$A$2:$Q$3504,10,FALSE())</f>
        <v>#N/A</v>
      </c>
      <c r="K57" s="0" t="e">
        <f aca="false">VLOOKUP($A57,'[2]Sheet 1'!$A$2:$Q$3504,11,FALSE())</f>
        <v>#N/A</v>
      </c>
      <c r="L57" s="0" t="e">
        <f aca="false">VLOOKUP($A57,'[2]Sheet 1'!$A$2:$Q$3504,12,FALSE())</f>
        <v>#N/A</v>
      </c>
      <c r="M57" s="0" t="e">
        <f aca="false">VLOOKUP($A57,'[2]Sheet 1'!$A$2:$Q$3504,13,FALSE())</f>
        <v>#N/A</v>
      </c>
      <c r="N57" s="0" t="e">
        <f aca="false">VLOOKUP($A57,'[2]Sheet 1'!$A$2:$Q$3504,14,FALSE())</f>
        <v>#N/A</v>
      </c>
      <c r="O57" s="0" t="e">
        <f aca="false">VLOOKUP($A57,'[2]Sheet 1'!$A$2:$Q$3504,15,FALSE())</f>
        <v>#N/A</v>
      </c>
      <c r="P57" s="0" t="e">
        <f aca="false">VLOOKUP($A57,'[2]Sheet 1'!$A$2:$Q$3504,16,FALSE())</f>
        <v>#N/A</v>
      </c>
      <c r="Q57" s="0" t="e">
        <f aca="false">VLOOKUP($A57,'[2]Sheet 1'!$A$2:$Q$3504,17,FALSE())</f>
        <v>#N/A</v>
      </c>
      <c r="S57" s="5"/>
    </row>
    <row r="58" customFormat="false" ht="14.25" hidden="false" customHeight="false" outlineLevel="0" collapsed="false">
      <c r="A58" s="5" t="n">
        <v>128</v>
      </c>
      <c r="B58" s="5" t="s">
        <v>175</v>
      </c>
      <c r="C58" s="5" t="n">
        <v>90</v>
      </c>
      <c r="D58" s="0" t="n">
        <f aca="false">VLOOKUP($A58,'[2]Sheet 1'!$A$2:$Q$3504,4,FALSE())</f>
        <v>147.5</v>
      </c>
      <c r="E58" s="0" t="n">
        <f aca="false">VLOOKUP($A58,'[2]Sheet 1'!$A$2:$Q$3504,5,FALSE())</f>
        <v>1.150000007</v>
      </c>
      <c r="F58" s="0" t="n">
        <f aca="false">VLOOKUP($A58,'[2]Sheet 1'!$A$2:$Q$3504,6,FALSE())</f>
        <v>1.7</v>
      </c>
      <c r="G58" s="0" t="n">
        <f aca="false">VLOOKUP($A58,'[2]Sheet 1'!$A$2:$Q$3504,7,FALSE())</f>
        <v>0.34</v>
      </c>
      <c r="H58" s="0" t="n">
        <f aca="false">VLOOKUP($A58,'[2]Sheet 1'!$A$2:$Q$3504,8,FALSE())</f>
        <v>1</v>
      </c>
      <c r="I58" s="0" t="n">
        <f aca="false">VLOOKUP($A58,'[2]Sheet 1'!$A$2:$Q$3504,9,FALSE())</f>
        <v>33.5</v>
      </c>
      <c r="J58" s="0" t="n">
        <f aca="false">VLOOKUP($A58,'[2]Sheet 1'!$A$2:$Q$3504,10,FALSE())</f>
        <v>25.5</v>
      </c>
      <c r="K58" s="0" t="n">
        <f aca="false">VLOOKUP($A58,'[2]Sheet 1'!$A$2:$Q$3504,11,FALSE())</f>
        <v>0.049</v>
      </c>
      <c r="L58" s="0" t="n">
        <f aca="false">VLOOKUP($A58,'[2]Sheet 1'!$A$2:$Q$3504,12,FALSE())</f>
        <v>23.7</v>
      </c>
      <c r="M58" s="0" t="n">
        <f aca="false">VLOOKUP($A58,'[2]Sheet 1'!$A$2:$Q$3504,13,FALSE())</f>
        <v>271</v>
      </c>
      <c r="N58" s="0" t="n">
        <f aca="false">VLOOKUP($A58,'[2]Sheet 1'!$A$2:$Q$3504,14,FALSE())</f>
        <v>0.19</v>
      </c>
      <c r="O58" s="0" t="n">
        <f aca="false">VLOOKUP($A58,'[2]Sheet 1'!$A$2:$Q$3504,15,FALSE())</f>
        <v>0</v>
      </c>
      <c r="P58" s="0" t="n">
        <f aca="false">VLOOKUP($A58,'[2]Sheet 1'!$A$2:$Q$3504,16,FALSE())</f>
        <v>1.9</v>
      </c>
      <c r="Q58" s="0" t="n">
        <f aca="false">VLOOKUP($A58,'[2]Sheet 1'!$A$2:$Q$3504,17,FALSE())</f>
        <v>6</v>
      </c>
      <c r="S58" s="5"/>
    </row>
    <row r="59" customFormat="false" ht="14.25" hidden="false" customHeight="false" outlineLevel="0" collapsed="false">
      <c r="A59" s="5" t="n">
        <v>129</v>
      </c>
      <c r="B59" s="5" t="s">
        <v>177</v>
      </c>
      <c r="C59" s="5" t="n">
        <v>90</v>
      </c>
      <c r="D59" s="0" t="n">
        <f aca="false">VLOOKUP($A59,'[2]Sheet 1'!$A$2:$Q$3504,4,FALSE())</f>
        <v>147.5</v>
      </c>
      <c r="E59" s="0" t="n">
        <f aca="false">VLOOKUP($A59,'[2]Sheet 1'!$A$2:$Q$3504,5,FALSE())</f>
        <v>1.150000007</v>
      </c>
      <c r="F59" s="0" t="n">
        <f aca="false">VLOOKUP($A59,'[2]Sheet 1'!$A$2:$Q$3504,6,FALSE())</f>
        <v>1.7</v>
      </c>
      <c r="G59" s="0" t="n">
        <f aca="false">VLOOKUP($A59,'[2]Sheet 1'!$A$2:$Q$3504,7,FALSE())</f>
        <v>0.34</v>
      </c>
      <c r="H59" s="0" t="n">
        <f aca="false">VLOOKUP($A59,'[2]Sheet 1'!$A$2:$Q$3504,8,FALSE())</f>
        <v>1</v>
      </c>
      <c r="I59" s="0" t="n">
        <f aca="false">VLOOKUP($A59,'[2]Sheet 1'!$A$2:$Q$3504,9,FALSE())</f>
        <v>33.5</v>
      </c>
      <c r="J59" s="0" t="n">
        <f aca="false">VLOOKUP($A59,'[2]Sheet 1'!$A$2:$Q$3504,10,FALSE())</f>
        <v>25.5</v>
      </c>
      <c r="K59" s="0" t="n">
        <f aca="false">VLOOKUP($A59,'[2]Sheet 1'!$A$2:$Q$3504,11,FALSE())</f>
        <v>0.049</v>
      </c>
      <c r="L59" s="0" t="n">
        <f aca="false">VLOOKUP($A59,'[2]Sheet 1'!$A$2:$Q$3504,12,FALSE())</f>
        <v>23.7</v>
      </c>
      <c r="M59" s="0" t="n">
        <f aca="false">VLOOKUP($A59,'[2]Sheet 1'!$A$2:$Q$3504,13,FALSE())</f>
        <v>271</v>
      </c>
      <c r="N59" s="0" t="n">
        <f aca="false">VLOOKUP($A59,'[2]Sheet 1'!$A$2:$Q$3504,14,FALSE())</f>
        <v>0.19</v>
      </c>
      <c r="O59" s="0" t="n">
        <f aca="false">VLOOKUP($A59,'[2]Sheet 1'!$A$2:$Q$3504,15,FALSE())</f>
        <v>0</v>
      </c>
      <c r="P59" s="0" t="n">
        <f aca="false">VLOOKUP($A59,'[2]Sheet 1'!$A$2:$Q$3504,16,FALSE())</f>
        <v>1.9</v>
      </c>
      <c r="Q59" s="0" t="n">
        <f aca="false">VLOOKUP($A59,'[2]Sheet 1'!$A$2:$Q$3504,17,FALSE())</f>
        <v>6</v>
      </c>
      <c r="S59" s="5"/>
    </row>
    <row r="60" customFormat="false" ht="14.25" hidden="false" customHeight="false" outlineLevel="0" collapsed="false">
      <c r="A60" s="9" t="n">
        <v>135</v>
      </c>
      <c r="B60" s="9" t="s">
        <v>179</v>
      </c>
      <c r="C60" s="9" t="n">
        <v>50</v>
      </c>
      <c r="D60" s="0" t="e">
        <f aca="false">VLOOKUP($A60,'[2]Sheet 1'!$A$2:$Q$3504,4,FALSE())</f>
        <v>#N/A</v>
      </c>
      <c r="E60" s="0" t="e">
        <f aca="false">VLOOKUP($A60,'[2]Sheet 1'!$A$2:$Q$3504,5,FALSE())</f>
        <v>#N/A</v>
      </c>
      <c r="F60" s="0" t="e">
        <f aca="false">VLOOKUP($A60,'[2]Sheet 1'!$A$2:$Q$3504,6,FALSE())</f>
        <v>#N/A</v>
      </c>
      <c r="G60" s="0" t="e">
        <f aca="false">VLOOKUP($A60,'[2]Sheet 1'!$A$2:$Q$3504,7,FALSE())</f>
        <v>#N/A</v>
      </c>
      <c r="H60" s="0" t="e">
        <f aca="false">VLOOKUP($A60,'[2]Sheet 1'!$A$2:$Q$3504,8,FALSE())</f>
        <v>#N/A</v>
      </c>
      <c r="I60" s="0" t="e">
        <f aca="false">VLOOKUP($A60,'[2]Sheet 1'!$A$2:$Q$3504,9,FALSE())</f>
        <v>#N/A</v>
      </c>
      <c r="J60" s="0" t="e">
        <f aca="false">VLOOKUP($A60,'[2]Sheet 1'!$A$2:$Q$3504,10,FALSE())</f>
        <v>#N/A</v>
      </c>
      <c r="K60" s="0" t="e">
        <f aca="false">VLOOKUP($A60,'[2]Sheet 1'!$A$2:$Q$3504,11,FALSE())</f>
        <v>#N/A</v>
      </c>
      <c r="L60" s="0" t="e">
        <f aca="false">VLOOKUP($A60,'[2]Sheet 1'!$A$2:$Q$3504,12,FALSE())</f>
        <v>#N/A</v>
      </c>
      <c r="M60" s="0" t="e">
        <f aca="false">VLOOKUP($A60,'[2]Sheet 1'!$A$2:$Q$3504,13,FALSE())</f>
        <v>#N/A</v>
      </c>
      <c r="N60" s="0" t="e">
        <f aca="false">VLOOKUP($A60,'[2]Sheet 1'!$A$2:$Q$3504,14,FALSE())</f>
        <v>#N/A</v>
      </c>
      <c r="O60" s="0" t="e">
        <f aca="false">VLOOKUP($A60,'[2]Sheet 1'!$A$2:$Q$3504,15,FALSE())</f>
        <v>#N/A</v>
      </c>
      <c r="P60" s="0" t="e">
        <f aca="false">VLOOKUP($A60,'[2]Sheet 1'!$A$2:$Q$3504,16,FALSE())</f>
        <v>#N/A</v>
      </c>
      <c r="Q60" s="0" t="e">
        <f aca="false">VLOOKUP($A60,'[2]Sheet 1'!$A$2:$Q$3504,17,FALSE())</f>
        <v>#N/A</v>
      </c>
      <c r="S60" s="9"/>
    </row>
    <row r="61" customFormat="false" ht="14.25" hidden="false" customHeight="false" outlineLevel="0" collapsed="false">
      <c r="A61" s="9" t="n">
        <v>136</v>
      </c>
      <c r="B61" s="9" t="s">
        <v>181</v>
      </c>
      <c r="C61" s="9" t="n">
        <v>50</v>
      </c>
      <c r="D61" s="0" t="e">
        <f aca="false">VLOOKUP($A61,'[2]Sheet 1'!$A$2:$Q$3504,4,FALSE())</f>
        <v>#N/A</v>
      </c>
      <c r="E61" s="0" t="e">
        <f aca="false">VLOOKUP($A61,'[2]Sheet 1'!$A$2:$Q$3504,5,FALSE())</f>
        <v>#N/A</v>
      </c>
      <c r="F61" s="0" t="e">
        <f aca="false">VLOOKUP($A61,'[2]Sheet 1'!$A$2:$Q$3504,6,FALSE())</f>
        <v>#N/A</v>
      </c>
      <c r="G61" s="0" t="e">
        <f aca="false">VLOOKUP($A61,'[2]Sheet 1'!$A$2:$Q$3504,7,FALSE())</f>
        <v>#N/A</v>
      </c>
      <c r="H61" s="0" t="e">
        <f aca="false">VLOOKUP($A61,'[2]Sheet 1'!$A$2:$Q$3504,8,FALSE())</f>
        <v>#N/A</v>
      </c>
      <c r="I61" s="0" t="e">
        <f aca="false">VLOOKUP($A61,'[2]Sheet 1'!$A$2:$Q$3504,9,FALSE())</f>
        <v>#N/A</v>
      </c>
      <c r="J61" s="0" t="e">
        <f aca="false">VLOOKUP($A61,'[2]Sheet 1'!$A$2:$Q$3504,10,FALSE())</f>
        <v>#N/A</v>
      </c>
      <c r="K61" s="0" t="e">
        <f aca="false">VLOOKUP($A61,'[2]Sheet 1'!$A$2:$Q$3504,11,FALSE())</f>
        <v>#N/A</v>
      </c>
      <c r="L61" s="0" t="e">
        <f aca="false">VLOOKUP($A61,'[2]Sheet 1'!$A$2:$Q$3504,12,FALSE())</f>
        <v>#N/A</v>
      </c>
      <c r="M61" s="0" t="e">
        <f aca="false">VLOOKUP($A61,'[2]Sheet 1'!$A$2:$Q$3504,13,FALSE())</f>
        <v>#N/A</v>
      </c>
      <c r="N61" s="0" t="e">
        <f aca="false">VLOOKUP($A61,'[2]Sheet 1'!$A$2:$Q$3504,14,FALSE())</f>
        <v>#N/A</v>
      </c>
      <c r="O61" s="0" t="e">
        <f aca="false">VLOOKUP($A61,'[2]Sheet 1'!$A$2:$Q$3504,15,FALSE())</f>
        <v>#N/A</v>
      </c>
      <c r="P61" s="0" t="e">
        <f aca="false">VLOOKUP($A61,'[2]Sheet 1'!$A$2:$Q$3504,16,FALSE())</f>
        <v>#N/A</v>
      </c>
      <c r="Q61" s="0" t="e">
        <f aca="false">VLOOKUP($A61,'[2]Sheet 1'!$A$2:$Q$3504,17,FALSE())</f>
        <v>#N/A</v>
      </c>
      <c r="S61" s="9"/>
    </row>
    <row r="62" customFormat="false" ht="14.25" hidden="false" customHeight="false" outlineLevel="0" collapsed="false">
      <c r="A62" s="9" t="n">
        <v>137</v>
      </c>
      <c r="B62" s="9" t="s">
        <v>183</v>
      </c>
      <c r="C62" s="9" t="n">
        <v>26</v>
      </c>
      <c r="D62" s="0" t="n">
        <f aca="false">VLOOKUP($A62,'[2]Sheet 1'!$A$2:$Q$3504,4,FALSE())</f>
        <v>112</v>
      </c>
      <c r="E62" s="0" t="n">
        <f aca="false">VLOOKUP($A62,'[2]Sheet 1'!$A$2:$Q$3504,5,FALSE())</f>
        <v>1.9</v>
      </c>
      <c r="F62" s="0" t="n">
        <f aca="false">VLOOKUP($A62,'[2]Sheet 1'!$A$2:$Q$3504,6,FALSE())</f>
        <v>1</v>
      </c>
      <c r="G62" s="0" t="n">
        <f aca="false">VLOOKUP($A62,'[2]Sheet 1'!$A$2:$Q$3504,7,FALSE())</f>
        <v>0.325</v>
      </c>
      <c r="H62" s="0" t="n">
        <f aca="false">VLOOKUP($A62,'[2]Sheet 1'!$A$2:$Q$3504,8,FALSE())</f>
        <v>0.8</v>
      </c>
      <c r="I62" s="0" t="n">
        <f aca="false">VLOOKUP($A62,'[2]Sheet 1'!$A$2:$Q$3504,9,FALSE())</f>
        <v>26.903834375</v>
      </c>
      <c r="J62" s="0" t="n">
        <f aca="false">VLOOKUP($A62,'[2]Sheet 1'!$A$2:$Q$3504,10,FALSE())</f>
        <v>26</v>
      </c>
      <c r="K62" s="0" t="n">
        <f aca="false">VLOOKUP($A62,'[2]Sheet 1'!$A$2:$Q$3504,11,FALSE())</f>
        <v>0.03</v>
      </c>
      <c r="L62" s="0" t="n">
        <f aca="false">VLOOKUP($A62,'[2]Sheet 1'!$A$2:$Q$3504,12,FALSE())</f>
        <v>16.5</v>
      </c>
      <c r="M62" s="0" t="n">
        <f aca="false">VLOOKUP($A62,'[2]Sheet 1'!$A$2:$Q$3504,13,FALSE())</f>
        <v>816</v>
      </c>
      <c r="N62" s="0" t="n">
        <f aca="false">VLOOKUP($A62,'[2]Sheet 1'!$A$2:$Q$3504,14,FALSE())</f>
        <v>0.34</v>
      </c>
      <c r="O62" s="0" t="n">
        <f aca="false">VLOOKUP($A62,'[2]Sheet 1'!$A$2:$Q$3504,15,FALSE())</f>
        <v>0</v>
      </c>
      <c r="P62" s="0" t="n">
        <f aca="false">VLOOKUP($A62,'[2]Sheet 1'!$A$2:$Q$3504,16,FALSE())</f>
        <v>2.3</v>
      </c>
      <c r="Q62" s="0" t="n">
        <f aca="false">VLOOKUP($A62,'[2]Sheet 1'!$A$2:$Q$3504,17,FALSE())</f>
        <v>0.833333333</v>
      </c>
      <c r="S62" s="9"/>
    </row>
    <row r="63" customFormat="false" ht="14.25" hidden="false" customHeight="false" outlineLevel="0" collapsed="false">
      <c r="A63" s="9" t="n">
        <v>149</v>
      </c>
      <c r="B63" s="9" t="s">
        <v>1218</v>
      </c>
      <c r="C63" s="9" t="n">
        <v>25</v>
      </c>
      <c r="D63" s="0" t="n">
        <f aca="false">VLOOKUP($A63,'[2]Sheet 1'!$A$2:$Q$3504,4,FALSE())</f>
        <v>95</v>
      </c>
      <c r="E63" s="0" t="n">
        <f aca="false">VLOOKUP($A63,'[2]Sheet 1'!$A$2:$Q$3504,5,FALSE())</f>
        <v>1.5</v>
      </c>
      <c r="F63" s="0" t="n">
        <f aca="false">VLOOKUP($A63,'[2]Sheet 1'!$A$2:$Q$3504,6,FALSE())</f>
        <v>1.2</v>
      </c>
      <c r="G63" s="0" t="n">
        <f aca="false">VLOOKUP($A63,'[2]Sheet 1'!$A$2:$Q$3504,7,FALSE())</f>
        <v>0.28</v>
      </c>
      <c r="H63" s="0" t="n">
        <f aca="false">VLOOKUP($A63,'[2]Sheet 1'!$A$2:$Q$3504,8,FALSE())</f>
        <v>1.25</v>
      </c>
      <c r="I63" s="0" t="n">
        <f aca="false">VLOOKUP($A63,'[2]Sheet 1'!$A$2:$Q$3504,9,FALSE())</f>
        <v>23</v>
      </c>
      <c r="J63" s="0" t="n">
        <f aca="false">VLOOKUP($A63,'[2]Sheet 1'!$A$2:$Q$3504,10,FALSE())</f>
        <v>14</v>
      </c>
      <c r="K63" s="0" t="n">
        <f aca="false">VLOOKUP($A63,'[2]Sheet 1'!$A$2:$Q$3504,11,FALSE())</f>
        <v>0.0595</v>
      </c>
      <c r="L63" s="0" t="n">
        <f aca="false">VLOOKUP($A63,'[2]Sheet 1'!$A$2:$Q$3504,12,FALSE())</f>
        <v>21.8</v>
      </c>
      <c r="M63" s="0" t="n">
        <f aca="false">VLOOKUP($A63,'[2]Sheet 1'!$A$2:$Q$3504,13,FALSE())</f>
        <v>423.5</v>
      </c>
      <c r="N63" s="0" t="n">
        <f aca="false">VLOOKUP($A63,'[2]Sheet 1'!$A$2:$Q$3504,14,FALSE())</f>
        <v>0.71</v>
      </c>
      <c r="O63" s="0" t="n">
        <f aca="false">VLOOKUP($A63,'[2]Sheet 1'!$A$2:$Q$3504,15,FALSE())</f>
        <v>0</v>
      </c>
      <c r="P63" s="0" t="n">
        <f aca="false">VLOOKUP($A63,'[2]Sheet 1'!$A$2:$Q$3504,16,FALSE())</f>
        <v>2.3</v>
      </c>
      <c r="Q63" s="0" t="n">
        <f aca="false">VLOOKUP($A63,'[2]Sheet 1'!$A$2:$Q$3504,17,FALSE())</f>
        <v>2</v>
      </c>
      <c r="S63" s="9"/>
    </row>
    <row r="64" customFormat="false" ht="14.25" hidden="false" customHeight="false" outlineLevel="0" collapsed="false">
      <c r="A64" s="9" t="n">
        <v>150</v>
      </c>
      <c r="B64" s="9" t="s">
        <v>187</v>
      </c>
      <c r="C64" s="9" t="n">
        <v>90</v>
      </c>
      <c r="D64" s="0" t="n">
        <f aca="false">VLOOKUP($A64,'[2]Sheet 1'!$A$2:$Q$3504,4,FALSE())</f>
        <v>347</v>
      </c>
      <c r="E64" s="0" t="n">
        <f aca="false">VLOOKUP($A64,'[2]Sheet 1'!$A$2:$Q$3504,5,FALSE())</f>
        <v>1.05</v>
      </c>
      <c r="F64" s="0" t="n">
        <f aca="false">VLOOKUP($A64,'[2]Sheet 1'!$A$2:$Q$3504,6,FALSE())</f>
        <v>1.6</v>
      </c>
      <c r="G64" s="0" t="n">
        <f aca="false">VLOOKUP($A64,'[2]Sheet 1'!$A$2:$Q$3504,7,FALSE())</f>
        <v>0.18</v>
      </c>
      <c r="H64" s="0" t="n">
        <f aca="false">VLOOKUP($A64,'[2]Sheet 1'!$A$2:$Q$3504,8,FALSE())</f>
        <v>1.75</v>
      </c>
      <c r="I64" s="0" t="n">
        <f aca="false">VLOOKUP($A64,'[2]Sheet 1'!$A$2:$Q$3504,9,FALSE())</f>
        <v>34.5</v>
      </c>
      <c r="J64" s="0" t="n">
        <f aca="false">VLOOKUP($A64,'[2]Sheet 1'!$A$2:$Q$3504,10,FALSE())</f>
        <v>25</v>
      </c>
      <c r="K64" s="0" t="n">
        <f aca="false">VLOOKUP($A64,'[2]Sheet 1'!$A$2:$Q$3504,11,FALSE())</f>
        <v>0.065499999</v>
      </c>
      <c r="L64" s="0" t="n">
        <f aca="false">VLOOKUP($A64,'[2]Sheet 1'!$A$2:$Q$3504,12,FALSE())</f>
        <v>39.5</v>
      </c>
      <c r="M64" s="0" t="n">
        <f aca="false">VLOOKUP($A64,'[2]Sheet 1'!$A$2:$Q$3504,13,FALSE())</f>
        <v>20</v>
      </c>
      <c r="N64" s="0" t="n">
        <f aca="false">VLOOKUP($A64,'[2]Sheet 1'!$A$2:$Q$3504,14,FALSE())</f>
        <v>0.25</v>
      </c>
      <c r="O64" s="0" t="n">
        <f aca="false">VLOOKUP($A64,'[2]Sheet 1'!$A$2:$Q$3504,15,FALSE())</f>
        <v>0</v>
      </c>
      <c r="P64" s="0" t="n">
        <f aca="false">VLOOKUP($A64,'[2]Sheet 1'!$A$2:$Q$3504,16,FALSE())</f>
        <v>0</v>
      </c>
      <c r="Q64" s="0" t="n">
        <f aca="false">VLOOKUP($A64,'[2]Sheet 1'!$A$2:$Q$3504,17,FALSE())</f>
        <v>0</v>
      </c>
      <c r="S64" s="9"/>
    </row>
    <row r="65" customFormat="false" ht="14.25" hidden="false" customHeight="false" outlineLevel="0" collapsed="false">
      <c r="A65" s="9" t="n">
        <v>156</v>
      </c>
      <c r="B65" s="9" t="s">
        <v>189</v>
      </c>
      <c r="C65" s="9" t="n">
        <v>17.5</v>
      </c>
      <c r="D65" s="0" t="e">
        <f aca="false">VLOOKUP($A65,'[2]Sheet 1'!$A$2:$Q$3504,4,FALSE())</f>
        <v>#N/A</v>
      </c>
      <c r="E65" s="0" t="e">
        <f aca="false">VLOOKUP($A65,'[2]Sheet 1'!$A$2:$Q$3504,5,FALSE())</f>
        <v>#N/A</v>
      </c>
      <c r="F65" s="0" t="e">
        <f aca="false">VLOOKUP($A65,'[2]Sheet 1'!$A$2:$Q$3504,6,FALSE())</f>
        <v>#N/A</v>
      </c>
      <c r="G65" s="0" t="e">
        <f aca="false">VLOOKUP($A65,'[2]Sheet 1'!$A$2:$Q$3504,7,FALSE())</f>
        <v>#N/A</v>
      </c>
      <c r="H65" s="0" t="e">
        <f aca="false">VLOOKUP($A65,'[2]Sheet 1'!$A$2:$Q$3504,8,FALSE())</f>
        <v>#N/A</v>
      </c>
      <c r="I65" s="0" t="e">
        <f aca="false">VLOOKUP($A65,'[2]Sheet 1'!$A$2:$Q$3504,9,FALSE())</f>
        <v>#N/A</v>
      </c>
      <c r="J65" s="0" t="e">
        <f aca="false">VLOOKUP($A65,'[2]Sheet 1'!$A$2:$Q$3504,10,FALSE())</f>
        <v>#N/A</v>
      </c>
      <c r="K65" s="0" t="e">
        <f aca="false">VLOOKUP($A65,'[2]Sheet 1'!$A$2:$Q$3504,11,FALSE())</f>
        <v>#N/A</v>
      </c>
      <c r="L65" s="0" t="e">
        <f aca="false">VLOOKUP($A65,'[2]Sheet 1'!$A$2:$Q$3504,12,FALSE())</f>
        <v>#N/A</v>
      </c>
      <c r="M65" s="0" t="e">
        <f aca="false">VLOOKUP($A65,'[2]Sheet 1'!$A$2:$Q$3504,13,FALSE())</f>
        <v>#N/A</v>
      </c>
      <c r="N65" s="0" t="e">
        <f aca="false">VLOOKUP($A65,'[2]Sheet 1'!$A$2:$Q$3504,14,FALSE())</f>
        <v>#N/A</v>
      </c>
      <c r="O65" s="0" t="e">
        <f aca="false">VLOOKUP($A65,'[2]Sheet 1'!$A$2:$Q$3504,15,FALSE())</f>
        <v>#N/A</v>
      </c>
      <c r="P65" s="0" t="e">
        <f aca="false">VLOOKUP($A65,'[2]Sheet 1'!$A$2:$Q$3504,16,FALSE())</f>
        <v>#N/A</v>
      </c>
      <c r="Q65" s="0" t="e">
        <f aca="false">VLOOKUP($A65,'[2]Sheet 1'!$A$2:$Q$3504,17,FALSE())</f>
        <v>#N/A</v>
      </c>
      <c r="S65" s="9"/>
    </row>
    <row r="66" customFormat="false" ht="14.25" hidden="false" customHeight="false" outlineLevel="0" collapsed="false">
      <c r="A66" s="5" t="n">
        <v>157</v>
      </c>
      <c r="B66" s="5" t="s">
        <v>191</v>
      </c>
      <c r="C66" s="5" t="n">
        <v>23</v>
      </c>
      <c r="D66" s="0" t="n">
        <f aca="false">VLOOKUP($A66,'[2]Sheet 1'!$A$2:$Q$3504,4,FALSE())</f>
        <v>44</v>
      </c>
      <c r="E66" s="0" t="n">
        <f aca="false">VLOOKUP($A66,'[2]Sheet 1'!$A$2:$Q$3504,5,FALSE())</f>
        <v>1.68</v>
      </c>
      <c r="F66" s="0" t="n">
        <f aca="false">VLOOKUP($A66,'[2]Sheet 1'!$A$2:$Q$3504,6,FALSE())</f>
        <v>2</v>
      </c>
      <c r="G66" s="0" t="n">
        <f aca="false">VLOOKUP($A66,'[2]Sheet 1'!$A$2:$Q$3504,7,FALSE())</f>
        <v>0.35</v>
      </c>
      <c r="H66" s="0" t="n">
        <f aca="false">VLOOKUP($A66,'[2]Sheet 1'!$A$2:$Q$3504,8,FALSE())</f>
        <v>0.79</v>
      </c>
      <c r="I66" s="0" t="n">
        <f aca="false">VLOOKUP($A66,'[2]Sheet 1'!$A$2:$Q$3504,9,FALSE())</f>
        <v>16</v>
      </c>
      <c r="J66" s="0" t="n">
        <f aca="false">VLOOKUP($A66,'[2]Sheet 1'!$A$2:$Q$3504,10,FALSE())</f>
        <v>80</v>
      </c>
      <c r="K66" s="0" t="n">
        <f aca="false">VLOOKUP($A66,'[2]Sheet 1'!$A$2:$Q$3504,11,FALSE())</f>
        <v>0.04</v>
      </c>
      <c r="L66" s="0" t="n">
        <f aca="false">VLOOKUP($A66,'[2]Sheet 1'!$A$2:$Q$3504,12,FALSE())</f>
        <v>6.3</v>
      </c>
      <c r="M66" s="0" t="n">
        <f aca="false">VLOOKUP($A66,'[2]Sheet 1'!$A$2:$Q$3504,13,FALSE())</f>
        <v>305</v>
      </c>
      <c r="N66" s="0" t="n">
        <f aca="false">VLOOKUP($A66,'[2]Sheet 1'!$A$2:$Q$3504,14,FALSE())</f>
        <v>0.04</v>
      </c>
      <c r="O66" s="0" t="n">
        <f aca="false">VLOOKUP($A66,'[2]Sheet 1'!$A$2:$Q$3504,15,FALSE())</f>
        <v>0</v>
      </c>
      <c r="P66" s="0" t="n">
        <f aca="false">VLOOKUP($A66,'[2]Sheet 1'!$A$2:$Q$3504,16,FALSE())</f>
        <v>0.2</v>
      </c>
      <c r="Q66" s="0" t="n">
        <f aca="false">VLOOKUP($A66,'[2]Sheet 1'!$A$2:$Q$3504,17,FALSE())</f>
        <v>2</v>
      </c>
      <c r="S66" s="5"/>
    </row>
    <row r="67" customFormat="false" ht="14.25" hidden="false" customHeight="false" outlineLevel="0" collapsed="false">
      <c r="A67" s="5" t="n">
        <v>160</v>
      </c>
      <c r="B67" s="5" t="s">
        <v>193</v>
      </c>
      <c r="C67" s="5" t="n">
        <v>99.5</v>
      </c>
      <c r="D67" s="0" t="n">
        <f aca="false">VLOOKUP($A67,'[2]Sheet 1'!$A$2:$Q$3504,4,FALSE())</f>
        <v>260</v>
      </c>
      <c r="E67" s="0" t="n">
        <f aca="false">VLOOKUP($A67,'[2]Sheet 1'!$A$2:$Q$3504,5,FALSE())</f>
        <v>0.04</v>
      </c>
      <c r="F67" s="0" t="n">
        <f aca="false">VLOOKUP($A67,'[2]Sheet 1'!$A$2:$Q$3504,6,FALSE())</f>
        <v>0</v>
      </c>
      <c r="G67" s="0" t="n">
        <f aca="false">VLOOKUP($A67,'[2]Sheet 1'!$A$2:$Q$3504,7,FALSE())</f>
        <v>1.47</v>
      </c>
      <c r="H67" s="0" t="n">
        <f aca="false">VLOOKUP($A67,'[2]Sheet 1'!$A$2:$Q$3504,8,FALSE())</f>
        <v>0.11</v>
      </c>
      <c r="I67" s="0" t="n">
        <f aca="false">VLOOKUP($A67,'[2]Sheet 1'!$A$2:$Q$3504,9,FALSE())</f>
        <v>102</v>
      </c>
      <c r="J67" s="0" t="n">
        <f aca="false">VLOOKUP($A67,'[2]Sheet 1'!$A$2:$Q$3504,10,FALSE())</f>
        <v>0</v>
      </c>
      <c r="K67" s="0" t="n">
        <f aca="false">VLOOKUP($A67,'[2]Sheet 1'!$A$2:$Q$3504,11,FALSE())</f>
        <v>1.27</v>
      </c>
      <c r="L67" s="0" t="n">
        <f aca="false">VLOOKUP($A67,'[2]Sheet 1'!$A$2:$Q$3504,12,FALSE())</f>
        <v>1.6</v>
      </c>
      <c r="M67" s="0" t="n">
        <f aca="false">VLOOKUP($A67,'[2]Sheet 1'!$A$2:$Q$3504,13,FALSE())</f>
        <v>212</v>
      </c>
      <c r="N67" s="0" t="n">
        <f aca="false">VLOOKUP($A67,'[2]Sheet 1'!$A$2:$Q$3504,14,FALSE())</f>
        <v>0</v>
      </c>
      <c r="O67" s="0" t="n">
        <f aca="false">VLOOKUP($A67,'[2]Sheet 1'!$A$2:$Q$3504,15,FALSE())</f>
        <v>0</v>
      </c>
      <c r="P67" s="0" t="n">
        <f aca="false">VLOOKUP($A67,'[2]Sheet 1'!$A$2:$Q$3504,16,FALSE())</f>
        <v>0</v>
      </c>
      <c r="Q67" s="0" t="n">
        <f aca="false">VLOOKUP($A67,'[2]Sheet 1'!$A$2:$Q$3504,17,FALSE())</f>
        <v>0</v>
      </c>
      <c r="S67" s="5"/>
    </row>
    <row r="68" customFormat="false" ht="14.25" hidden="false" customHeight="false" outlineLevel="0" collapsed="false">
      <c r="A68" s="5" t="n">
        <v>161</v>
      </c>
      <c r="B68" s="5" t="s">
        <v>1219</v>
      </c>
      <c r="C68" s="5" t="n">
        <v>17</v>
      </c>
      <c r="D68" s="0" t="n">
        <f aca="false">VLOOKUP($A68,'[2]Sheet 1'!$A$2:$Q$3504,4,FALSE())</f>
        <v>387</v>
      </c>
      <c r="E68" s="0" t="n">
        <f aca="false">VLOOKUP($A68,'[2]Sheet 1'!$A$2:$Q$3504,5,FALSE())</f>
        <v>0</v>
      </c>
      <c r="F68" s="0" t="n">
        <f aca="false">VLOOKUP($A68,'[2]Sheet 1'!$A$2:$Q$3504,6,FALSE())</f>
        <v>1.55</v>
      </c>
      <c r="G68" s="0" t="n">
        <f aca="false">VLOOKUP($A68,'[2]Sheet 1'!$A$2:$Q$3504,7,FALSE())</f>
        <v>0.02</v>
      </c>
      <c r="H68" s="0" t="n">
        <f aca="false">VLOOKUP($A68,'[2]Sheet 1'!$A$2:$Q$3504,8,FALSE())</f>
        <v>0.37</v>
      </c>
      <c r="I68" s="0" t="n">
        <f aca="false">VLOOKUP($A68,'[2]Sheet 1'!$A$2:$Q$3504,9,FALSE())</f>
        <v>8</v>
      </c>
      <c r="J68" s="0" t="n">
        <f aca="false">VLOOKUP($A68,'[2]Sheet 1'!$A$2:$Q$3504,10,FALSE())</f>
        <v>0</v>
      </c>
      <c r="K68" s="0" t="n">
        <f aca="false">VLOOKUP($A68,'[2]Sheet 1'!$A$2:$Q$3504,11,FALSE())</f>
        <v>0.0145</v>
      </c>
      <c r="L68" s="0" t="n">
        <f aca="false">VLOOKUP($A68,'[2]Sheet 1'!$A$2:$Q$3504,12,FALSE())</f>
        <v>0</v>
      </c>
      <c r="M68" s="0" t="n">
        <f aca="false">VLOOKUP($A68,'[2]Sheet 1'!$A$2:$Q$3504,13,FALSE())</f>
        <v>15.5</v>
      </c>
      <c r="N68" s="0" t="n">
        <f aca="false">VLOOKUP($A68,'[2]Sheet 1'!$A$2:$Q$3504,14,FALSE())</f>
        <v>0</v>
      </c>
      <c r="O68" s="0" t="n">
        <f aca="false">VLOOKUP($A68,'[2]Sheet 1'!$A$2:$Q$3504,15,FALSE())</f>
        <v>0</v>
      </c>
      <c r="P68" s="0" t="n">
        <f aca="false">VLOOKUP($A68,'[2]Sheet 1'!$A$2:$Q$3504,16,FALSE())</f>
        <v>0</v>
      </c>
      <c r="Q68" s="0" t="n">
        <f aca="false">VLOOKUP($A68,'[2]Sheet 1'!$A$2:$Q$3504,17,FALSE())</f>
        <v>0</v>
      </c>
      <c r="S68" s="5"/>
    </row>
    <row r="69" customFormat="false" ht="14.25" hidden="false" customHeight="false" outlineLevel="0" collapsed="false">
      <c r="A69" s="5" t="n">
        <v>162</v>
      </c>
      <c r="B69" s="5" t="s">
        <v>197</v>
      </c>
      <c r="C69" s="5" t="n">
        <v>99.5</v>
      </c>
      <c r="D69" s="0" t="n">
        <f aca="false">VLOOKUP($A69,'[2]Sheet 1'!$A$2:$Q$3504,4,FALSE())</f>
        <v>397.2</v>
      </c>
      <c r="E69" s="0" t="n">
        <f aca="false">VLOOKUP($A69,'[2]Sheet 1'!$A$2:$Q$3504,5,FALSE())</f>
        <v>0</v>
      </c>
      <c r="F69" s="0" t="n">
        <f aca="false">VLOOKUP($A69,'[2]Sheet 1'!$A$2:$Q$3504,6,FALSE())</f>
        <v>0</v>
      </c>
      <c r="G69" s="0" t="n">
        <f aca="false">VLOOKUP($A69,'[2]Sheet 1'!$A$2:$Q$3504,7,FALSE())</f>
        <v>0.02</v>
      </c>
      <c r="H69" s="0" t="n">
        <f aca="false">VLOOKUP($A69,'[2]Sheet 1'!$A$2:$Q$3504,8,FALSE())</f>
        <v>0.2</v>
      </c>
      <c r="I69" s="0" t="n">
        <f aca="false">VLOOKUP($A69,'[2]Sheet 1'!$A$2:$Q$3504,9,FALSE())</f>
        <v>6</v>
      </c>
      <c r="J69" s="0" t="n">
        <f aca="false">VLOOKUP($A69,'[2]Sheet 1'!$A$2:$Q$3504,10,FALSE())</f>
        <v>0</v>
      </c>
      <c r="K69" s="0" t="n">
        <f aca="false">VLOOKUP($A69,'[2]Sheet 1'!$A$2:$Q$3504,11,FALSE())</f>
        <v>0.0195</v>
      </c>
      <c r="L69" s="0" t="n">
        <f aca="false">VLOOKUP($A69,'[2]Sheet 1'!$A$2:$Q$3504,12,FALSE())</f>
        <v>0</v>
      </c>
      <c r="M69" s="0" t="n">
        <f aca="false">VLOOKUP($A69,'[2]Sheet 1'!$A$2:$Q$3504,13,FALSE())</f>
        <v>3</v>
      </c>
      <c r="N69" s="0" t="n">
        <f aca="false">VLOOKUP($A69,'[2]Sheet 1'!$A$2:$Q$3504,14,FALSE())</f>
        <v>0</v>
      </c>
      <c r="O69" s="0" t="n">
        <f aca="false">VLOOKUP($A69,'[2]Sheet 1'!$A$2:$Q$3504,15,FALSE())</f>
        <v>0</v>
      </c>
      <c r="P69" s="0" t="n">
        <f aca="false">VLOOKUP($A69,'[2]Sheet 1'!$A$2:$Q$3504,16,FALSE())</f>
        <v>0</v>
      </c>
      <c r="Q69" s="0" t="n">
        <f aca="false">VLOOKUP($A69,'[2]Sheet 1'!$A$2:$Q$3504,17,FALSE())</f>
        <v>0</v>
      </c>
      <c r="S69" s="5"/>
    </row>
    <row r="70" customFormat="false" ht="14.25" hidden="false" customHeight="false" outlineLevel="0" collapsed="false">
      <c r="A70" s="5" t="n">
        <v>163</v>
      </c>
      <c r="B70" s="5" t="s">
        <v>202</v>
      </c>
      <c r="C70" s="5" t="n">
        <v>99.5</v>
      </c>
      <c r="D70" s="0" t="n">
        <f aca="false">VLOOKUP($A70,'[2]Sheet 1'!$A$2:$Q$3504,4,FALSE())</f>
        <v>371</v>
      </c>
      <c r="E70" s="0" t="n">
        <f aca="false">VLOOKUP($A70,'[2]Sheet 1'!$A$2:$Q$3504,5,FALSE())</f>
        <v>0.35</v>
      </c>
      <c r="F70" s="0" t="n">
        <f aca="false">VLOOKUP($A70,'[2]Sheet 1'!$A$2:$Q$3504,6,FALSE())</f>
        <v>0</v>
      </c>
      <c r="G70" s="0" t="n">
        <f aca="false">VLOOKUP($A70,'[2]Sheet 1'!$A$2:$Q$3504,7,FALSE())</f>
        <v>0.02</v>
      </c>
      <c r="H70" s="0" t="n">
        <f aca="false">VLOOKUP($A70,'[2]Sheet 1'!$A$2:$Q$3504,8,FALSE())</f>
        <v>2.4</v>
      </c>
      <c r="I70" s="0" t="n">
        <f aca="false">VLOOKUP($A70,'[2]Sheet 1'!$A$2:$Q$3504,9,FALSE())</f>
        <v>80</v>
      </c>
      <c r="J70" s="0" t="n">
        <f aca="false">VLOOKUP($A70,'[2]Sheet 1'!$A$2:$Q$3504,10,FALSE())</f>
        <v>0</v>
      </c>
      <c r="K70" s="0" t="n">
        <f aca="false">VLOOKUP($A70,'[2]Sheet 1'!$A$2:$Q$3504,11,FALSE())</f>
        <v>0.045</v>
      </c>
      <c r="L70" s="0" t="n">
        <f aca="false">VLOOKUP($A70,'[2]Sheet 1'!$A$2:$Q$3504,12,FALSE())</f>
        <v>0</v>
      </c>
      <c r="M70" s="0" t="n">
        <f aca="false">VLOOKUP($A70,'[2]Sheet 1'!$A$2:$Q$3504,13,FALSE())</f>
        <v>29</v>
      </c>
      <c r="N70" s="0" t="n">
        <f aca="false">VLOOKUP($A70,'[2]Sheet 1'!$A$2:$Q$3504,14,FALSE())</f>
        <v>0</v>
      </c>
      <c r="O70" s="0" t="n">
        <f aca="false">VLOOKUP($A70,'[2]Sheet 1'!$A$2:$Q$3504,15,FALSE())</f>
        <v>0</v>
      </c>
      <c r="P70" s="0" t="n">
        <f aca="false">VLOOKUP($A70,'[2]Sheet 1'!$A$2:$Q$3504,16,FALSE())</f>
        <v>0</v>
      </c>
      <c r="Q70" s="0" t="n">
        <f aca="false">VLOOKUP($A70,'[2]Sheet 1'!$A$2:$Q$3504,17,FALSE())</f>
        <v>0</v>
      </c>
      <c r="S70" s="5"/>
    </row>
    <row r="71" customFormat="false" ht="14.25" hidden="false" customHeight="false" outlineLevel="0" collapsed="false">
      <c r="A71" s="5" t="n">
        <v>164</v>
      </c>
      <c r="B71" s="5" t="s">
        <v>204</v>
      </c>
      <c r="C71" s="5" t="n">
        <v>99.5</v>
      </c>
      <c r="D71" s="0" t="n">
        <f aca="false">VLOOKUP($A71,'[2]Sheet 1'!$A$2:$Q$3504,4,FALSE())</f>
        <v>397.2</v>
      </c>
      <c r="E71" s="0" t="n">
        <f aca="false">VLOOKUP($A71,'[2]Sheet 1'!$A$2:$Q$3504,5,FALSE())</f>
        <v>0</v>
      </c>
      <c r="F71" s="0" t="n">
        <f aca="false">VLOOKUP($A71,'[2]Sheet 1'!$A$2:$Q$3504,6,FALSE())</f>
        <v>0</v>
      </c>
      <c r="G71" s="0" t="n">
        <f aca="false">VLOOKUP($A71,'[2]Sheet 1'!$A$2:$Q$3504,7,FALSE())</f>
        <v>0.02</v>
      </c>
      <c r="H71" s="0" t="n">
        <f aca="false">VLOOKUP($A71,'[2]Sheet 1'!$A$2:$Q$3504,8,FALSE())</f>
        <v>0.2</v>
      </c>
      <c r="I71" s="0" t="n">
        <f aca="false">VLOOKUP($A71,'[2]Sheet 1'!$A$2:$Q$3504,9,FALSE())</f>
        <v>6</v>
      </c>
      <c r="J71" s="0" t="n">
        <f aca="false">VLOOKUP($A71,'[2]Sheet 1'!$A$2:$Q$3504,10,FALSE())</f>
        <v>0</v>
      </c>
      <c r="K71" s="0" t="n">
        <f aca="false">VLOOKUP($A71,'[2]Sheet 1'!$A$2:$Q$3504,11,FALSE())</f>
        <v>0.0195</v>
      </c>
      <c r="L71" s="0" t="n">
        <f aca="false">VLOOKUP($A71,'[2]Sheet 1'!$A$2:$Q$3504,12,FALSE())</f>
        <v>0</v>
      </c>
      <c r="M71" s="0" t="n">
        <f aca="false">VLOOKUP($A71,'[2]Sheet 1'!$A$2:$Q$3504,13,FALSE())</f>
        <v>3</v>
      </c>
      <c r="N71" s="0" t="n">
        <f aca="false">VLOOKUP($A71,'[2]Sheet 1'!$A$2:$Q$3504,14,FALSE())</f>
        <v>0</v>
      </c>
      <c r="O71" s="0" t="n">
        <f aca="false">VLOOKUP($A71,'[2]Sheet 1'!$A$2:$Q$3504,15,FALSE())</f>
        <v>0</v>
      </c>
      <c r="P71" s="0" t="n">
        <f aca="false">VLOOKUP($A71,'[2]Sheet 1'!$A$2:$Q$3504,16,FALSE())</f>
        <v>0</v>
      </c>
      <c r="Q71" s="0" t="n">
        <f aca="false">VLOOKUP($A71,'[2]Sheet 1'!$A$2:$Q$3504,17,FALSE())</f>
        <v>0</v>
      </c>
      <c r="S71" s="5"/>
    </row>
    <row r="72" customFormat="false" ht="14.25" hidden="false" customHeight="false" outlineLevel="0" collapsed="false">
      <c r="A72" s="5" t="n">
        <v>165</v>
      </c>
      <c r="B72" s="5" t="s">
        <v>207</v>
      </c>
      <c r="C72" s="5" t="n">
        <v>76</v>
      </c>
      <c r="D72" s="0" t="n">
        <f aca="false">VLOOKUP($A72,'[2]Sheet 1'!$A$2:$Q$3504,4,FALSE())</f>
        <v>290</v>
      </c>
      <c r="E72" s="0" t="n">
        <f aca="false">VLOOKUP($A72,'[2]Sheet 1'!$A$2:$Q$3504,5,FALSE())</f>
        <v>0</v>
      </c>
      <c r="F72" s="0" t="n">
        <f aca="false">VLOOKUP($A72,'[2]Sheet 1'!$A$2:$Q$3504,6,FALSE())</f>
        <v>0</v>
      </c>
      <c r="G72" s="0" t="n">
        <f aca="false">VLOOKUP($A72,'[2]Sheet 1'!$A$2:$Q$3504,7,FALSE())</f>
        <v>0.29</v>
      </c>
      <c r="H72" s="0" t="n">
        <f aca="false">VLOOKUP($A72,'[2]Sheet 1'!$A$2:$Q$3504,8,FALSE())</f>
        <v>4.72</v>
      </c>
      <c r="I72" s="0" t="n">
        <f aca="false">VLOOKUP($A72,'[2]Sheet 1'!$A$2:$Q$3504,9,FALSE())</f>
        <v>205</v>
      </c>
      <c r="J72" s="0" t="n">
        <f aca="false">VLOOKUP($A72,'[2]Sheet 1'!$A$2:$Q$3504,10,FALSE())</f>
        <v>0</v>
      </c>
      <c r="K72" s="0" t="n">
        <f aca="false">VLOOKUP($A72,'[2]Sheet 1'!$A$2:$Q$3504,11,FALSE())</f>
        <v>0.002</v>
      </c>
      <c r="L72" s="0" t="n">
        <f aca="false">VLOOKUP($A72,'[2]Sheet 1'!$A$2:$Q$3504,12,FALSE())</f>
        <v>13.3</v>
      </c>
      <c r="M72" s="0" t="n">
        <f aca="false">VLOOKUP($A72,'[2]Sheet 1'!$A$2:$Q$3504,13,FALSE())</f>
        <v>1464</v>
      </c>
      <c r="N72" s="0" t="n">
        <f aca="false">VLOOKUP($A72,'[2]Sheet 1'!$A$2:$Q$3504,14,FALSE())</f>
        <v>0</v>
      </c>
      <c r="O72" s="0" t="n">
        <f aca="false">VLOOKUP($A72,'[2]Sheet 1'!$A$2:$Q$3504,15,FALSE())</f>
        <v>0</v>
      </c>
      <c r="P72" s="0" t="n">
        <f aca="false">VLOOKUP($A72,'[2]Sheet 1'!$A$2:$Q$3504,16,FALSE())</f>
        <v>0</v>
      </c>
      <c r="Q72" s="0" t="n">
        <f aca="false">VLOOKUP($A72,'[2]Sheet 1'!$A$2:$Q$3504,17,FALSE())</f>
        <v>0</v>
      </c>
      <c r="S72" s="5"/>
    </row>
    <row r="73" customFormat="false" ht="14.25" hidden="false" customHeight="false" outlineLevel="0" collapsed="false">
      <c r="A73" s="5" t="n">
        <v>166</v>
      </c>
      <c r="B73" s="5" t="s">
        <v>210</v>
      </c>
      <c r="C73" s="5" t="n">
        <v>76</v>
      </c>
      <c r="D73" s="0" t="n">
        <f aca="false">VLOOKUP($A73,'[2]Sheet 1'!$A$2:$Q$3504,4,FALSE())</f>
        <v>310</v>
      </c>
      <c r="E73" s="0" t="n">
        <f aca="false">VLOOKUP($A73,'[2]Sheet 1'!$A$2:$Q$3504,5,FALSE())</f>
        <v>0.09</v>
      </c>
      <c r="F73" s="0" t="n">
        <f aca="false">VLOOKUP($A73,'[2]Sheet 1'!$A$2:$Q$3504,6,FALSE())</f>
        <v>0.2</v>
      </c>
      <c r="G73" s="0" t="n">
        <f aca="false">VLOOKUP($A73,'[2]Sheet 1'!$A$2:$Q$3504,7,FALSE())</f>
        <v>0.01</v>
      </c>
      <c r="H73" s="0" t="n">
        <f aca="false">VLOOKUP($A73,'[2]Sheet 1'!$A$2:$Q$3504,8,FALSE())</f>
        <v>0.09</v>
      </c>
      <c r="I73" s="0" t="n">
        <f aca="false">VLOOKUP($A73,'[2]Sheet 1'!$A$2:$Q$3504,9,FALSE())</f>
        <v>1</v>
      </c>
      <c r="J73" s="0" t="n">
        <f aca="false">VLOOKUP($A73,'[2]Sheet 1'!$A$2:$Q$3504,10,FALSE())</f>
        <v>30</v>
      </c>
      <c r="K73" s="0" t="n">
        <f aca="false">VLOOKUP($A73,'[2]Sheet 1'!$A$2:$Q$3504,11,FALSE())</f>
        <v>0.165</v>
      </c>
      <c r="L73" s="0" t="n">
        <f aca="false">VLOOKUP($A73,'[2]Sheet 1'!$A$2:$Q$3504,12,FALSE())</f>
        <v>13.3</v>
      </c>
      <c r="M73" s="0" t="n">
        <f aca="false">VLOOKUP($A73,'[2]Sheet 1'!$A$2:$Q$3504,13,FALSE())</f>
        <v>4</v>
      </c>
      <c r="N73" s="0" t="n">
        <f aca="false">VLOOKUP($A73,'[2]Sheet 1'!$A$2:$Q$3504,14,FALSE())</f>
        <v>0.98</v>
      </c>
      <c r="O73" s="0" t="n">
        <f aca="false">VLOOKUP($A73,'[2]Sheet 1'!$A$2:$Q$3504,15,FALSE())</f>
        <v>0</v>
      </c>
      <c r="P73" s="0" t="n">
        <f aca="false">VLOOKUP($A73,'[2]Sheet 1'!$A$2:$Q$3504,16,FALSE())</f>
        <v>22.5</v>
      </c>
      <c r="Q73" s="0" t="n">
        <f aca="false">VLOOKUP($A73,'[2]Sheet 1'!$A$2:$Q$3504,17,FALSE())</f>
        <v>8</v>
      </c>
      <c r="S73" s="5"/>
    </row>
    <row r="74" customFormat="false" ht="14.25" hidden="false" customHeight="false" outlineLevel="0" collapsed="false">
      <c r="A74" s="5" t="n">
        <v>167</v>
      </c>
      <c r="B74" s="5" t="s">
        <v>1220</v>
      </c>
      <c r="C74" s="5" t="n">
        <v>87.5</v>
      </c>
      <c r="D74" s="0" t="n">
        <f aca="false">VLOOKUP($A74,'[2]Sheet 1'!$A$2:$Q$3504,4,FALSE())</f>
        <v>397.2</v>
      </c>
      <c r="E74" s="0" t="n">
        <f aca="false">VLOOKUP($A74,'[2]Sheet 1'!$A$2:$Q$3504,5,FALSE())</f>
        <v>0</v>
      </c>
      <c r="F74" s="0" t="n">
        <f aca="false">VLOOKUP($A74,'[2]Sheet 1'!$A$2:$Q$3504,6,FALSE())</f>
        <v>0</v>
      </c>
      <c r="G74" s="0" t="n">
        <f aca="false">VLOOKUP($A74,'[2]Sheet 1'!$A$2:$Q$3504,7,FALSE())</f>
        <v>0.02</v>
      </c>
      <c r="H74" s="0" t="n">
        <f aca="false">VLOOKUP($A74,'[2]Sheet 1'!$A$2:$Q$3504,8,FALSE())</f>
        <v>0.2</v>
      </c>
      <c r="I74" s="0" t="n">
        <f aca="false">VLOOKUP($A74,'[2]Sheet 1'!$A$2:$Q$3504,9,FALSE())</f>
        <v>6</v>
      </c>
      <c r="J74" s="0" t="n">
        <f aca="false">VLOOKUP($A74,'[2]Sheet 1'!$A$2:$Q$3504,10,FALSE())</f>
        <v>0</v>
      </c>
      <c r="K74" s="0" t="n">
        <f aca="false">VLOOKUP($A74,'[2]Sheet 1'!$A$2:$Q$3504,11,FALSE())</f>
        <v>0.0195</v>
      </c>
      <c r="L74" s="0" t="n">
        <f aca="false">VLOOKUP($A74,'[2]Sheet 1'!$A$2:$Q$3504,12,FALSE())</f>
        <v>0</v>
      </c>
      <c r="M74" s="0" t="n">
        <f aca="false">VLOOKUP($A74,'[2]Sheet 1'!$A$2:$Q$3504,13,FALSE())</f>
        <v>3</v>
      </c>
      <c r="N74" s="0" t="n">
        <f aca="false">VLOOKUP($A74,'[2]Sheet 1'!$A$2:$Q$3504,14,FALSE())</f>
        <v>0</v>
      </c>
      <c r="O74" s="0" t="n">
        <f aca="false">VLOOKUP($A74,'[2]Sheet 1'!$A$2:$Q$3504,15,FALSE())</f>
        <v>0</v>
      </c>
      <c r="P74" s="0" t="n">
        <f aca="false">VLOOKUP($A74,'[2]Sheet 1'!$A$2:$Q$3504,16,FALSE())</f>
        <v>0</v>
      </c>
      <c r="Q74" s="0" t="n">
        <f aca="false">VLOOKUP($A74,'[2]Sheet 1'!$A$2:$Q$3504,17,FALSE())</f>
        <v>0</v>
      </c>
      <c r="S74" s="5"/>
    </row>
    <row r="75" customFormat="false" ht="14.25" hidden="false" customHeight="false" outlineLevel="0" collapsed="false">
      <c r="A75" s="5" t="n">
        <v>168</v>
      </c>
      <c r="B75" s="5" t="s">
        <v>214</v>
      </c>
      <c r="C75" s="5" t="n">
        <v>87</v>
      </c>
      <c r="D75" s="0" t="n">
        <f aca="false">VLOOKUP($A75,'[2]Sheet 1'!$A$2:$Q$3504,4,FALSE())</f>
        <v>360</v>
      </c>
      <c r="E75" s="0" t="n">
        <f aca="false">VLOOKUP($A75,'[2]Sheet 1'!$A$2:$Q$3504,5,FALSE())</f>
        <v>0</v>
      </c>
      <c r="F75" s="0" t="n">
        <f aca="false">VLOOKUP($A75,'[2]Sheet 1'!$A$2:$Q$3504,6,FALSE())</f>
        <v>2.4</v>
      </c>
      <c r="G75" s="0" t="n">
        <f aca="false">VLOOKUP($A75,'[2]Sheet 1'!$A$2:$Q$3504,7,FALSE())</f>
        <v>0</v>
      </c>
      <c r="H75" s="0" t="n">
        <f aca="false">VLOOKUP($A75,'[2]Sheet 1'!$A$2:$Q$3504,8,FALSE())</f>
        <v>0</v>
      </c>
      <c r="I75" s="0" t="n">
        <f aca="false">VLOOKUP($A75,'[2]Sheet 1'!$A$2:$Q$3504,9,FALSE())</f>
        <v>0</v>
      </c>
      <c r="J75" s="0" t="n">
        <f aca="false">VLOOKUP($A75,'[2]Sheet 1'!$A$2:$Q$3504,10,FALSE())</f>
        <v>0</v>
      </c>
      <c r="K75" s="0" t="n">
        <f aca="false">VLOOKUP($A75,'[2]Sheet 1'!$A$2:$Q$3504,11,FALSE())</f>
        <v>0</v>
      </c>
      <c r="L75" s="0" t="n">
        <f aca="false">VLOOKUP($A75,'[2]Sheet 1'!$A$2:$Q$3504,12,FALSE())</f>
        <v>0</v>
      </c>
      <c r="M75" s="0" t="n">
        <f aca="false">VLOOKUP($A75,'[2]Sheet 1'!$A$2:$Q$3504,13,FALSE())</f>
        <v>2</v>
      </c>
      <c r="N75" s="0" t="n">
        <f aca="false">VLOOKUP($A75,'[2]Sheet 1'!$A$2:$Q$3504,14,FALSE())</f>
        <v>0</v>
      </c>
      <c r="O75" s="0" t="n">
        <f aca="false">VLOOKUP($A75,'[2]Sheet 1'!$A$2:$Q$3504,15,FALSE())</f>
        <v>0</v>
      </c>
      <c r="P75" s="0" t="n">
        <f aca="false">VLOOKUP($A75,'[2]Sheet 1'!$A$2:$Q$3504,16,FALSE())</f>
        <v>0</v>
      </c>
      <c r="Q75" s="0" t="n">
        <f aca="false">VLOOKUP($A75,'[2]Sheet 1'!$A$2:$Q$3504,17,FALSE())</f>
        <v>0</v>
      </c>
      <c r="S75" s="5"/>
    </row>
    <row r="76" customFormat="false" ht="14.25" hidden="false" customHeight="false" outlineLevel="0" collapsed="false">
      <c r="A76" s="5" t="n">
        <v>2545</v>
      </c>
      <c r="B76" s="5" t="s">
        <v>1221</v>
      </c>
      <c r="C76" s="5" t="n">
        <v>99.5</v>
      </c>
      <c r="D76" s="0" t="e">
        <f aca="false">VLOOKUP($A76,'[2]Sheet 1'!$A$2:$Q$3504,4,FALSE())</f>
        <v>#N/A</v>
      </c>
      <c r="E76" s="0" t="e">
        <f aca="false">VLOOKUP($A76,'[2]Sheet 1'!$A$2:$Q$3504,5,FALSE())</f>
        <v>#N/A</v>
      </c>
      <c r="F76" s="0" t="e">
        <f aca="false">VLOOKUP($A76,'[2]Sheet 1'!$A$2:$Q$3504,6,FALSE())</f>
        <v>#N/A</v>
      </c>
      <c r="G76" s="0" t="e">
        <f aca="false">VLOOKUP($A76,'[2]Sheet 1'!$A$2:$Q$3504,7,FALSE())</f>
        <v>#N/A</v>
      </c>
      <c r="H76" s="0" t="e">
        <f aca="false">VLOOKUP($A76,'[2]Sheet 1'!$A$2:$Q$3504,8,FALSE())</f>
        <v>#N/A</v>
      </c>
      <c r="I76" s="0" t="e">
        <f aca="false">VLOOKUP($A76,'[2]Sheet 1'!$A$2:$Q$3504,9,FALSE())</f>
        <v>#N/A</v>
      </c>
      <c r="J76" s="0" t="e">
        <f aca="false">VLOOKUP($A76,'[2]Sheet 1'!$A$2:$Q$3504,10,FALSE())</f>
        <v>#N/A</v>
      </c>
      <c r="K76" s="0" t="e">
        <f aca="false">VLOOKUP($A76,'[2]Sheet 1'!$A$2:$Q$3504,11,FALSE())</f>
        <v>#N/A</v>
      </c>
      <c r="L76" s="0" t="e">
        <f aca="false">VLOOKUP($A76,'[2]Sheet 1'!$A$2:$Q$3504,12,FALSE())</f>
        <v>#N/A</v>
      </c>
      <c r="M76" s="0" t="e">
        <f aca="false">VLOOKUP($A76,'[2]Sheet 1'!$A$2:$Q$3504,13,FALSE())</f>
        <v>#N/A</v>
      </c>
      <c r="N76" s="0" t="e">
        <f aca="false">VLOOKUP($A76,'[2]Sheet 1'!$A$2:$Q$3504,14,FALSE())</f>
        <v>#N/A</v>
      </c>
      <c r="O76" s="0" t="e">
        <f aca="false">VLOOKUP($A76,'[2]Sheet 1'!$A$2:$Q$3504,15,FALSE())</f>
        <v>#N/A</v>
      </c>
      <c r="P76" s="0" t="e">
        <f aca="false">VLOOKUP($A76,'[2]Sheet 1'!$A$2:$Q$3504,16,FALSE())</f>
        <v>#N/A</v>
      </c>
      <c r="Q76" s="0" t="e">
        <f aca="false">VLOOKUP($A76,'[2]Sheet 1'!$A$2:$Q$3504,17,FALSE())</f>
        <v>#N/A</v>
      </c>
      <c r="S76" s="5"/>
    </row>
    <row r="77" customFormat="false" ht="14.25" hidden="false" customHeight="false" outlineLevel="0" collapsed="false">
      <c r="A77" s="5" t="n">
        <v>169</v>
      </c>
      <c r="B77" s="5" t="s">
        <v>217</v>
      </c>
      <c r="C77" s="5" t="n">
        <v>87</v>
      </c>
      <c r="D77" s="0" t="n">
        <f aca="false">VLOOKUP($A77,'[2]Sheet 1'!$A$2:$Q$3504,4,FALSE())</f>
        <v>336</v>
      </c>
      <c r="E77" s="0" t="n">
        <f aca="false">VLOOKUP($A77,'[2]Sheet 1'!$A$2:$Q$3504,5,FALSE())</f>
        <v>0</v>
      </c>
      <c r="F77" s="0" t="n">
        <f aca="false">VLOOKUP($A77,'[2]Sheet 1'!$A$2:$Q$3504,6,FALSE())</f>
        <v>0</v>
      </c>
      <c r="G77" s="0" t="n">
        <f aca="false">VLOOKUP($A77,'[2]Sheet 1'!$A$2:$Q$3504,7,FALSE())</f>
        <v>0</v>
      </c>
      <c r="H77" s="0" t="n">
        <f aca="false">VLOOKUP($A77,'[2]Sheet 1'!$A$2:$Q$3504,8,FALSE())</f>
        <v>0</v>
      </c>
      <c r="I77" s="0" t="n">
        <f aca="false">VLOOKUP($A77,'[2]Sheet 1'!$A$2:$Q$3504,9,FALSE())</f>
        <v>0</v>
      </c>
      <c r="J77" s="0" t="n">
        <f aca="false">VLOOKUP($A77,'[2]Sheet 1'!$A$2:$Q$3504,10,FALSE())</f>
        <v>0</v>
      </c>
      <c r="K77" s="0" t="n">
        <f aca="false">VLOOKUP($A77,'[2]Sheet 1'!$A$2:$Q$3504,11,FALSE())</f>
        <v>0</v>
      </c>
      <c r="L77" s="0" t="n">
        <f aca="false">VLOOKUP($A77,'[2]Sheet 1'!$A$2:$Q$3504,12,FALSE())</f>
        <v>0</v>
      </c>
      <c r="M77" s="0" t="n">
        <f aca="false">VLOOKUP($A77,'[2]Sheet 1'!$A$2:$Q$3504,13,FALSE())</f>
        <v>4</v>
      </c>
      <c r="N77" s="0" t="n">
        <f aca="false">VLOOKUP($A77,'[2]Sheet 1'!$A$2:$Q$3504,14,FALSE())</f>
        <v>0</v>
      </c>
      <c r="O77" s="0" t="n">
        <f aca="false">VLOOKUP($A77,'[2]Sheet 1'!$A$2:$Q$3504,15,FALSE())</f>
        <v>0</v>
      </c>
      <c r="P77" s="0" t="n">
        <f aca="false">VLOOKUP($A77,'[2]Sheet 1'!$A$2:$Q$3504,16,FALSE())</f>
        <v>0</v>
      </c>
      <c r="Q77" s="0" t="n">
        <f aca="false">VLOOKUP($A77,'[2]Sheet 1'!$A$2:$Q$3504,17,FALSE())</f>
        <v>0</v>
      </c>
      <c r="S77" s="5"/>
    </row>
    <row r="78" customFormat="false" ht="14.25" hidden="false" customHeight="false" outlineLevel="0" collapsed="false">
      <c r="A78" s="5" t="n">
        <v>171</v>
      </c>
      <c r="B78" s="5" t="s">
        <v>219</v>
      </c>
      <c r="C78" s="5" t="n">
        <v>99.5</v>
      </c>
      <c r="D78" s="0" t="n">
        <f aca="false">VLOOKUP($A78,'[2]Sheet 1'!$A$2:$Q$3504,4,FALSE())</f>
        <v>336</v>
      </c>
      <c r="E78" s="0" t="n">
        <f aca="false">VLOOKUP($A78,'[2]Sheet 1'!$A$2:$Q$3504,5,FALSE())</f>
        <v>0</v>
      </c>
      <c r="F78" s="0" t="n">
        <f aca="false">VLOOKUP($A78,'[2]Sheet 1'!$A$2:$Q$3504,6,FALSE())</f>
        <v>0</v>
      </c>
      <c r="G78" s="0" t="n">
        <f aca="false">VLOOKUP($A78,'[2]Sheet 1'!$A$2:$Q$3504,7,FALSE())</f>
        <v>0</v>
      </c>
      <c r="H78" s="0" t="n">
        <f aca="false">VLOOKUP($A78,'[2]Sheet 1'!$A$2:$Q$3504,8,FALSE())</f>
        <v>0</v>
      </c>
      <c r="I78" s="0" t="n">
        <f aca="false">VLOOKUP($A78,'[2]Sheet 1'!$A$2:$Q$3504,9,FALSE())</f>
        <v>0</v>
      </c>
      <c r="J78" s="0" t="n">
        <f aca="false">VLOOKUP($A78,'[2]Sheet 1'!$A$2:$Q$3504,10,FALSE())</f>
        <v>0</v>
      </c>
      <c r="K78" s="0" t="n">
        <f aca="false">VLOOKUP($A78,'[2]Sheet 1'!$A$2:$Q$3504,11,FALSE())</f>
        <v>0</v>
      </c>
      <c r="L78" s="0" t="n">
        <f aca="false">VLOOKUP($A78,'[2]Sheet 1'!$A$2:$Q$3504,12,FALSE())</f>
        <v>0</v>
      </c>
      <c r="M78" s="0" t="n">
        <f aca="false">VLOOKUP($A78,'[2]Sheet 1'!$A$2:$Q$3504,13,FALSE())</f>
        <v>4</v>
      </c>
      <c r="N78" s="0" t="n">
        <f aca="false">VLOOKUP($A78,'[2]Sheet 1'!$A$2:$Q$3504,14,FALSE())</f>
        <v>0</v>
      </c>
      <c r="O78" s="0" t="n">
        <f aca="false">VLOOKUP($A78,'[2]Sheet 1'!$A$2:$Q$3504,15,FALSE())</f>
        <v>0</v>
      </c>
      <c r="P78" s="0" t="n">
        <f aca="false">VLOOKUP($A78,'[2]Sheet 1'!$A$2:$Q$3504,16,FALSE())</f>
        <v>0</v>
      </c>
      <c r="Q78" s="0" t="n">
        <f aca="false">VLOOKUP($A78,'[2]Sheet 1'!$A$2:$Q$3504,17,FALSE())</f>
        <v>0</v>
      </c>
      <c r="S78" s="5"/>
    </row>
    <row r="79" customFormat="false" ht="14.25" hidden="false" customHeight="false" outlineLevel="0" collapsed="false">
      <c r="A79" s="5" t="n">
        <v>172</v>
      </c>
      <c r="B79" s="5" t="s">
        <v>220</v>
      </c>
      <c r="C79" s="5" t="n">
        <v>99.5</v>
      </c>
      <c r="D79" s="0" t="n">
        <f aca="false">VLOOKUP($A79,'[2]Sheet 1'!$A$2:$Q$3504,4,FALSE())</f>
        <v>336</v>
      </c>
      <c r="E79" s="0" t="n">
        <f aca="false">VLOOKUP($A79,'[2]Sheet 1'!$A$2:$Q$3504,5,FALSE())</f>
        <v>0</v>
      </c>
      <c r="F79" s="0" t="n">
        <f aca="false">VLOOKUP($A79,'[2]Sheet 1'!$A$2:$Q$3504,6,FALSE())</f>
        <v>0</v>
      </c>
      <c r="G79" s="0" t="n">
        <f aca="false">VLOOKUP($A79,'[2]Sheet 1'!$A$2:$Q$3504,7,FALSE())</f>
        <v>0</v>
      </c>
      <c r="H79" s="0" t="n">
        <f aca="false">VLOOKUP($A79,'[2]Sheet 1'!$A$2:$Q$3504,8,FALSE())</f>
        <v>0</v>
      </c>
      <c r="I79" s="0" t="n">
        <f aca="false">VLOOKUP($A79,'[2]Sheet 1'!$A$2:$Q$3504,9,FALSE())</f>
        <v>0</v>
      </c>
      <c r="J79" s="0" t="n">
        <f aca="false">VLOOKUP($A79,'[2]Sheet 1'!$A$2:$Q$3504,10,FALSE())</f>
        <v>0</v>
      </c>
      <c r="K79" s="0" t="n">
        <f aca="false">VLOOKUP($A79,'[2]Sheet 1'!$A$2:$Q$3504,11,FALSE())</f>
        <v>0</v>
      </c>
      <c r="L79" s="0" t="n">
        <f aca="false">VLOOKUP($A79,'[2]Sheet 1'!$A$2:$Q$3504,12,FALSE())</f>
        <v>0</v>
      </c>
      <c r="M79" s="0" t="n">
        <f aca="false">VLOOKUP($A79,'[2]Sheet 1'!$A$2:$Q$3504,13,FALSE())</f>
        <v>4</v>
      </c>
      <c r="N79" s="0" t="n">
        <f aca="false">VLOOKUP($A79,'[2]Sheet 1'!$A$2:$Q$3504,14,FALSE())</f>
        <v>0</v>
      </c>
      <c r="O79" s="0" t="n">
        <f aca="false">VLOOKUP($A79,'[2]Sheet 1'!$A$2:$Q$3504,15,FALSE())</f>
        <v>0</v>
      </c>
      <c r="P79" s="0" t="n">
        <f aca="false">VLOOKUP($A79,'[2]Sheet 1'!$A$2:$Q$3504,16,FALSE())</f>
        <v>0</v>
      </c>
      <c r="Q79" s="0" t="n">
        <f aca="false">VLOOKUP($A79,'[2]Sheet 1'!$A$2:$Q$3504,17,FALSE())</f>
        <v>0</v>
      </c>
      <c r="S79" s="5"/>
    </row>
    <row r="80" customFormat="false" ht="14.25" hidden="false" customHeight="false" outlineLevel="0" collapsed="false">
      <c r="A80" s="5" t="n">
        <v>173</v>
      </c>
      <c r="B80" s="5" t="s">
        <v>223</v>
      </c>
      <c r="C80" s="5" t="n">
        <v>99.5</v>
      </c>
      <c r="D80" s="0" t="n">
        <f aca="false">VLOOKUP($A80,'[2]Sheet 1'!$A$2:$Q$3504,4,FALSE())</f>
        <v>336</v>
      </c>
      <c r="E80" s="0" t="n">
        <f aca="false">VLOOKUP($A80,'[2]Sheet 1'!$A$2:$Q$3504,5,FALSE())</f>
        <v>0</v>
      </c>
      <c r="F80" s="0" t="n">
        <f aca="false">VLOOKUP($A80,'[2]Sheet 1'!$A$2:$Q$3504,6,FALSE())</f>
        <v>0</v>
      </c>
      <c r="G80" s="0" t="n">
        <f aca="false">VLOOKUP($A80,'[2]Sheet 1'!$A$2:$Q$3504,7,FALSE())</f>
        <v>0</v>
      </c>
      <c r="H80" s="0" t="n">
        <f aca="false">VLOOKUP($A80,'[2]Sheet 1'!$A$2:$Q$3504,8,FALSE())</f>
        <v>0</v>
      </c>
      <c r="I80" s="0" t="n">
        <f aca="false">VLOOKUP($A80,'[2]Sheet 1'!$A$2:$Q$3504,9,FALSE())</f>
        <v>0</v>
      </c>
      <c r="J80" s="0" t="n">
        <f aca="false">VLOOKUP($A80,'[2]Sheet 1'!$A$2:$Q$3504,10,FALSE())</f>
        <v>0</v>
      </c>
      <c r="K80" s="0" t="n">
        <f aca="false">VLOOKUP($A80,'[2]Sheet 1'!$A$2:$Q$3504,11,FALSE())</f>
        <v>0</v>
      </c>
      <c r="L80" s="0" t="n">
        <f aca="false">VLOOKUP($A80,'[2]Sheet 1'!$A$2:$Q$3504,12,FALSE())</f>
        <v>0</v>
      </c>
      <c r="M80" s="0" t="n">
        <f aca="false">VLOOKUP($A80,'[2]Sheet 1'!$A$2:$Q$3504,13,FALSE())</f>
        <v>4</v>
      </c>
      <c r="N80" s="0" t="n">
        <f aca="false">VLOOKUP($A80,'[2]Sheet 1'!$A$2:$Q$3504,14,FALSE())</f>
        <v>0</v>
      </c>
      <c r="O80" s="0" t="n">
        <f aca="false">VLOOKUP($A80,'[2]Sheet 1'!$A$2:$Q$3504,15,FALSE())</f>
        <v>0</v>
      </c>
      <c r="P80" s="0" t="n">
        <f aca="false">VLOOKUP($A80,'[2]Sheet 1'!$A$2:$Q$3504,16,FALSE())</f>
        <v>0</v>
      </c>
      <c r="Q80" s="0" t="n">
        <f aca="false">VLOOKUP($A80,'[2]Sheet 1'!$A$2:$Q$3504,17,FALSE())</f>
        <v>0</v>
      </c>
      <c r="S80" s="5"/>
    </row>
    <row r="81" customFormat="false" ht="14.25" hidden="false" customHeight="false" outlineLevel="0" collapsed="false">
      <c r="A81" s="5" t="n">
        <v>176</v>
      </c>
      <c r="B81" s="5" t="s">
        <v>226</v>
      </c>
      <c r="C81" s="5" t="n">
        <v>90</v>
      </c>
      <c r="D81" s="0" t="n">
        <f aca="false">VLOOKUP($A81,'[2]Sheet 1'!$A$2:$Q$3504,4,FALSE())</f>
        <v>335</v>
      </c>
      <c r="E81" s="0" t="n">
        <f aca="false">VLOOKUP($A81,'[2]Sheet 1'!$A$2:$Q$3504,5,FALSE())</f>
        <v>21.5</v>
      </c>
      <c r="F81" s="0" t="n">
        <f aca="false">VLOOKUP($A81,'[2]Sheet 1'!$A$2:$Q$3504,6,FALSE())</f>
        <v>12.7</v>
      </c>
      <c r="G81" s="0" t="n">
        <f aca="false">VLOOKUP($A81,'[2]Sheet 1'!$A$2:$Q$3504,7,FALSE())</f>
        <v>2.83</v>
      </c>
      <c r="H81" s="0" t="n">
        <f aca="false">VLOOKUP($A81,'[2]Sheet 1'!$A$2:$Q$3504,8,FALSE())</f>
        <v>6.4</v>
      </c>
      <c r="I81" s="0" t="n">
        <f aca="false">VLOOKUP($A81,'[2]Sheet 1'!$A$2:$Q$3504,9,FALSE())</f>
        <v>130.5</v>
      </c>
      <c r="J81" s="0" t="n">
        <f aca="false">VLOOKUP($A81,'[2]Sheet 1'!$A$2:$Q$3504,10,FALSE())</f>
        <v>395</v>
      </c>
      <c r="K81" s="0" t="n">
        <f aca="false">VLOOKUP($A81,'[2]Sheet 1'!$A$2:$Q$3504,11,FALSE())</f>
        <v>0.2</v>
      </c>
      <c r="L81" s="0" t="n">
        <f aca="false">VLOOKUP($A81,'[2]Sheet 1'!$A$2:$Q$3504,12,FALSE())</f>
        <v>92.05</v>
      </c>
      <c r="M81" s="0" t="n">
        <f aca="false">VLOOKUP($A81,'[2]Sheet 1'!$A$2:$Q$3504,13,FALSE())</f>
        <v>1196</v>
      </c>
      <c r="N81" s="0" t="n">
        <f aca="false">VLOOKUP($A81,'[2]Sheet 1'!$A$2:$Q$3504,14,FALSE())</f>
        <v>0.03</v>
      </c>
      <c r="O81" s="0" t="n">
        <f aca="false">VLOOKUP($A81,'[2]Sheet 1'!$A$2:$Q$3504,15,FALSE())</f>
        <v>0</v>
      </c>
      <c r="P81" s="0" t="n">
        <f aca="false">VLOOKUP($A81,'[2]Sheet 1'!$A$2:$Q$3504,16,FALSE())</f>
        <v>8.4</v>
      </c>
      <c r="Q81" s="0" t="n">
        <f aca="false">VLOOKUP($A81,'[2]Sheet 1'!$A$2:$Q$3504,17,FALSE())</f>
        <v>0</v>
      </c>
      <c r="S81" s="5"/>
    </row>
    <row r="82" customFormat="false" ht="14.25" hidden="false" customHeight="false" outlineLevel="0" collapsed="false">
      <c r="A82" s="9" t="n">
        <v>181</v>
      </c>
      <c r="B82" s="9" t="s">
        <v>229</v>
      </c>
      <c r="C82" s="9" t="n">
        <v>90</v>
      </c>
      <c r="D82" s="10" t="n">
        <f aca="false">VLOOKUP($A82,'[2]Sheet 1'!$A$2:$Q$3504,4,FALSE())</f>
        <v>342.5</v>
      </c>
      <c r="E82" s="0" t="n">
        <f aca="false">VLOOKUP($A82,'[2]Sheet 1'!$A$2:$Q$3504,5,FALSE())</f>
        <v>23.9</v>
      </c>
      <c r="F82" s="0" t="n">
        <f aca="false">VLOOKUP($A82,'[2]Sheet 1'!$A$2:$Q$3504,6,FALSE())</f>
        <v>25</v>
      </c>
      <c r="G82" s="0" t="n">
        <f aca="false">VLOOKUP($A82,'[2]Sheet 1'!$A$2:$Q$3504,7,FALSE())</f>
        <v>3.14</v>
      </c>
      <c r="H82" s="0" t="n">
        <f aca="false">VLOOKUP($A82,'[2]Sheet 1'!$A$2:$Q$3504,8,FALSE())</f>
        <v>6.7</v>
      </c>
      <c r="I82" s="0" t="n">
        <f aca="false">VLOOKUP($A82,'[2]Sheet 1'!$A$2:$Q$3504,9,FALSE())</f>
        <v>93</v>
      </c>
      <c r="J82" s="0" t="n">
        <f aca="false">VLOOKUP($A82,'[2]Sheet 1'!$A$2:$Q$3504,10,FALSE())</f>
        <v>423</v>
      </c>
      <c r="K82" s="0" t="n">
        <f aca="false">VLOOKUP($A82,'[2]Sheet 1'!$A$2:$Q$3504,11,FALSE())</f>
        <v>0.3</v>
      </c>
      <c r="L82" s="0" t="n">
        <f aca="false">VLOOKUP($A82,'[2]Sheet 1'!$A$2:$Q$3504,12,FALSE())</f>
        <v>95.8</v>
      </c>
      <c r="M82" s="0" t="n">
        <f aca="false">VLOOKUP($A82,'[2]Sheet 1'!$A$2:$Q$3504,13,FALSE())</f>
        <v>1062</v>
      </c>
      <c r="N82" s="0" t="n">
        <f aca="false">VLOOKUP($A82,'[2]Sheet 1'!$A$2:$Q$3504,14,FALSE())</f>
        <v>0.02</v>
      </c>
      <c r="O82" s="0" t="n">
        <f aca="false">VLOOKUP($A82,'[2]Sheet 1'!$A$2:$Q$3504,15,FALSE())</f>
        <v>0</v>
      </c>
      <c r="P82" s="0" t="n">
        <f aca="false">VLOOKUP($A82,'[2]Sheet 1'!$A$2:$Q$3504,16,FALSE())</f>
        <v>2.9</v>
      </c>
      <c r="Q82" s="0" t="n">
        <f aca="false">VLOOKUP($A82,'[2]Sheet 1'!$A$2:$Q$3504,17,FALSE())</f>
        <v>0</v>
      </c>
      <c r="S82" s="9"/>
    </row>
    <row r="83" customFormat="false" ht="14.25" hidden="false" customHeight="false" outlineLevel="0" collapsed="false">
      <c r="A83" s="9" t="n">
        <v>187</v>
      </c>
      <c r="B83" s="9" t="s">
        <v>231</v>
      </c>
      <c r="C83" s="9" t="n">
        <v>89</v>
      </c>
      <c r="D83" s="10" t="n">
        <f aca="false">VLOOKUP($A83,'[2]Sheet 1'!$A$2:$Q$3504,4,FALSE())</f>
        <v>336.99</v>
      </c>
      <c r="E83" s="0" t="n">
        <f aca="false">VLOOKUP($A83,'[2]Sheet 1'!$A$2:$Q$3504,5,FALSE())</f>
        <v>22.4</v>
      </c>
      <c r="F83" s="0" t="n">
        <f aca="false">VLOOKUP($A83,'[2]Sheet 1'!$A$2:$Q$3504,6,FALSE())</f>
        <v>6.5</v>
      </c>
      <c r="G83" s="0" t="n">
        <f aca="false">VLOOKUP($A83,'[2]Sheet 1'!$A$2:$Q$3504,7,FALSE())</f>
        <v>3.28</v>
      </c>
      <c r="H83" s="0" t="n">
        <f aca="false">VLOOKUP($A83,'[2]Sheet 1'!$A$2:$Q$3504,8,FALSE())</f>
        <v>5.5</v>
      </c>
      <c r="I83" s="0" t="n">
        <f aca="false">VLOOKUP($A83,'[2]Sheet 1'!$A$2:$Q$3504,9,FALSE())</f>
        <v>73.5</v>
      </c>
      <c r="J83" s="0" t="n">
        <f aca="false">VLOOKUP($A83,'[2]Sheet 1'!$A$2:$Q$3504,10,FALSE())</f>
        <v>140.75</v>
      </c>
      <c r="K83" s="0" t="n">
        <f aca="false">VLOOKUP($A83,'[2]Sheet 1'!$A$2:$Q$3504,11,FALSE())</f>
        <v>0.185</v>
      </c>
      <c r="L83" s="0" t="n">
        <f aca="false">VLOOKUP($A83,'[2]Sheet 1'!$A$2:$Q$3504,12,FALSE())</f>
        <v>165.25</v>
      </c>
      <c r="M83" s="0" t="n">
        <f aca="false">VLOOKUP($A83,'[2]Sheet 1'!$A$2:$Q$3504,13,FALSE())</f>
        <v>981</v>
      </c>
      <c r="N83" s="0" t="n">
        <f aca="false">VLOOKUP($A83,'[2]Sheet 1'!$A$2:$Q$3504,14,FALSE())</f>
        <v>0.14</v>
      </c>
      <c r="O83" s="0" t="n">
        <f aca="false">VLOOKUP($A83,'[2]Sheet 1'!$A$2:$Q$3504,15,FALSE())</f>
        <v>0</v>
      </c>
      <c r="P83" s="0" t="n">
        <f aca="false">VLOOKUP($A83,'[2]Sheet 1'!$A$2:$Q$3504,16,FALSE())</f>
        <v>25.9</v>
      </c>
      <c r="Q83" s="0" t="n">
        <f aca="false">VLOOKUP($A83,'[2]Sheet 1'!$A$2:$Q$3504,17,FALSE())</f>
        <v>3</v>
      </c>
      <c r="S83" s="9"/>
    </row>
    <row r="84" customFormat="false" ht="14.25" hidden="false" customHeight="false" outlineLevel="0" collapsed="false">
      <c r="A84" s="9" t="n">
        <v>191</v>
      </c>
      <c r="B84" s="9" t="s">
        <v>233</v>
      </c>
      <c r="C84" s="9" t="n">
        <v>89</v>
      </c>
      <c r="D84" s="10" t="n">
        <f aca="false">VLOOKUP($A84,'[2]Sheet 1'!$A$2:$Q$3504,4,FALSE())</f>
        <v>358.5</v>
      </c>
      <c r="E84" s="0" t="n">
        <f aca="false">VLOOKUP($A84,'[2]Sheet 1'!$A$2:$Q$3504,5,FALSE())</f>
        <v>19.6</v>
      </c>
      <c r="F84" s="0" t="n">
        <f aca="false">VLOOKUP($A84,'[2]Sheet 1'!$A$2:$Q$3504,6,FALSE())</f>
        <v>6.7</v>
      </c>
      <c r="G84" s="0" t="n">
        <f aca="false">VLOOKUP($A84,'[2]Sheet 1'!$A$2:$Q$3504,7,FALSE())</f>
        <v>3.095</v>
      </c>
      <c r="H84" s="0" t="n">
        <f aca="false">VLOOKUP($A84,'[2]Sheet 1'!$A$2:$Q$3504,8,FALSE())</f>
        <v>7.1</v>
      </c>
      <c r="I84" s="0" t="n">
        <f aca="false">VLOOKUP($A84,'[2]Sheet 1'!$A$2:$Q$3504,9,FALSE())</f>
        <v>137</v>
      </c>
      <c r="J84" s="0" t="n">
        <f aca="false">VLOOKUP($A84,'[2]Sheet 1'!$A$2:$Q$3504,10,FALSE())</f>
        <v>371.5</v>
      </c>
      <c r="K84" s="0" t="n">
        <f aca="false">VLOOKUP($A84,'[2]Sheet 1'!$A$2:$Q$3504,11,FALSE())</f>
        <v>0.16</v>
      </c>
      <c r="L84" s="0" t="n">
        <f aca="false">VLOOKUP($A84,'[2]Sheet 1'!$A$2:$Q$3504,12,FALSE())</f>
        <v>146.65</v>
      </c>
      <c r="M84" s="0" t="n">
        <f aca="false">VLOOKUP($A84,'[2]Sheet 1'!$A$2:$Q$3504,13,FALSE())</f>
        <v>821.5</v>
      </c>
      <c r="N84" s="0" t="n">
        <f aca="false">VLOOKUP($A84,'[2]Sheet 1'!$A$2:$Q$3504,14,FALSE())</f>
        <v>0.35</v>
      </c>
      <c r="O84" s="0" t="n">
        <f aca="false">VLOOKUP($A84,'[2]Sheet 1'!$A$2:$Q$3504,15,FALSE())</f>
        <v>0</v>
      </c>
      <c r="P84" s="0" t="n">
        <f aca="false">VLOOKUP($A84,'[2]Sheet 1'!$A$2:$Q$3504,16,FALSE())</f>
        <v>4</v>
      </c>
      <c r="Q84" s="0" t="n">
        <f aca="false">VLOOKUP($A84,'[2]Sheet 1'!$A$2:$Q$3504,17,FALSE())</f>
        <v>2</v>
      </c>
      <c r="S84" s="9"/>
    </row>
    <row r="85" customFormat="false" ht="14.25" hidden="false" customHeight="false" outlineLevel="0" collapsed="false">
      <c r="A85" s="9" t="n">
        <v>195</v>
      </c>
      <c r="B85" s="9" t="s">
        <v>235</v>
      </c>
      <c r="C85" s="9" t="n">
        <v>50</v>
      </c>
      <c r="D85" s="10" t="e">
        <f aca="false">VLOOKUP($A85,'[2]Sheet 1'!$A$2:$Q$3504,4,FALSE())</f>
        <v>#N/A</v>
      </c>
      <c r="E85" s="0" t="e">
        <f aca="false">VLOOKUP($A85,'[2]Sheet 1'!$A$2:$Q$3504,5,FALSE())</f>
        <v>#N/A</v>
      </c>
      <c r="F85" s="0" t="e">
        <f aca="false">VLOOKUP($A85,'[2]Sheet 1'!$A$2:$Q$3504,6,FALSE())</f>
        <v>#N/A</v>
      </c>
      <c r="G85" s="0" t="e">
        <f aca="false">VLOOKUP($A85,'[2]Sheet 1'!$A$2:$Q$3504,7,FALSE())</f>
        <v>#N/A</v>
      </c>
      <c r="H85" s="0" t="e">
        <f aca="false">VLOOKUP($A85,'[2]Sheet 1'!$A$2:$Q$3504,8,FALSE())</f>
        <v>#N/A</v>
      </c>
      <c r="I85" s="0" t="e">
        <f aca="false">VLOOKUP($A85,'[2]Sheet 1'!$A$2:$Q$3504,9,FALSE())</f>
        <v>#N/A</v>
      </c>
      <c r="J85" s="0" t="e">
        <f aca="false">VLOOKUP($A85,'[2]Sheet 1'!$A$2:$Q$3504,10,FALSE())</f>
        <v>#N/A</v>
      </c>
      <c r="K85" s="0" t="e">
        <f aca="false">VLOOKUP($A85,'[2]Sheet 1'!$A$2:$Q$3504,11,FALSE())</f>
        <v>#N/A</v>
      </c>
      <c r="L85" s="0" t="e">
        <f aca="false">VLOOKUP($A85,'[2]Sheet 1'!$A$2:$Q$3504,12,FALSE())</f>
        <v>#N/A</v>
      </c>
      <c r="M85" s="0" t="e">
        <f aca="false">VLOOKUP($A85,'[2]Sheet 1'!$A$2:$Q$3504,13,FALSE())</f>
        <v>#N/A</v>
      </c>
      <c r="N85" s="0" t="e">
        <f aca="false">VLOOKUP($A85,'[2]Sheet 1'!$A$2:$Q$3504,14,FALSE())</f>
        <v>#N/A</v>
      </c>
      <c r="O85" s="0" t="e">
        <f aca="false">VLOOKUP($A85,'[2]Sheet 1'!$A$2:$Q$3504,15,FALSE())</f>
        <v>#N/A</v>
      </c>
      <c r="P85" s="0" t="e">
        <f aca="false">VLOOKUP($A85,'[2]Sheet 1'!$A$2:$Q$3504,16,FALSE())</f>
        <v>#N/A</v>
      </c>
      <c r="Q85" s="0" t="e">
        <f aca="false">VLOOKUP($A85,'[2]Sheet 1'!$A$2:$Q$3504,17,FALSE())</f>
        <v>#N/A</v>
      </c>
      <c r="S85" s="9"/>
    </row>
    <row r="86" customFormat="false" ht="14.25" hidden="false" customHeight="false" outlineLevel="0" collapsed="false">
      <c r="A86" s="9" t="n">
        <v>197</v>
      </c>
      <c r="B86" s="9" t="s">
        <v>237</v>
      </c>
      <c r="C86" s="9" t="n">
        <v>50</v>
      </c>
      <c r="D86" s="10" t="e">
        <f aca="false">VLOOKUP($A86,'[2]Sheet 1'!$A$2:$Q$3504,4,FALSE())</f>
        <v>#N/A</v>
      </c>
      <c r="E86" s="0" t="e">
        <f aca="false">VLOOKUP($A86,'[2]Sheet 1'!$A$2:$Q$3504,5,FALSE())</f>
        <v>#N/A</v>
      </c>
      <c r="F86" s="0" t="e">
        <f aca="false">VLOOKUP($A86,'[2]Sheet 1'!$A$2:$Q$3504,6,FALSE())</f>
        <v>#N/A</v>
      </c>
      <c r="G86" s="0" t="e">
        <f aca="false">VLOOKUP($A86,'[2]Sheet 1'!$A$2:$Q$3504,7,FALSE())</f>
        <v>#N/A</v>
      </c>
      <c r="H86" s="0" t="e">
        <f aca="false">VLOOKUP($A86,'[2]Sheet 1'!$A$2:$Q$3504,8,FALSE())</f>
        <v>#N/A</v>
      </c>
      <c r="I86" s="0" t="e">
        <f aca="false">VLOOKUP($A86,'[2]Sheet 1'!$A$2:$Q$3504,9,FALSE())</f>
        <v>#N/A</v>
      </c>
      <c r="J86" s="0" t="e">
        <f aca="false">VLOOKUP($A86,'[2]Sheet 1'!$A$2:$Q$3504,10,FALSE())</f>
        <v>#N/A</v>
      </c>
      <c r="K86" s="0" t="e">
        <f aca="false">VLOOKUP($A86,'[2]Sheet 1'!$A$2:$Q$3504,11,FALSE())</f>
        <v>#N/A</v>
      </c>
      <c r="L86" s="0" t="e">
        <f aca="false">VLOOKUP($A86,'[2]Sheet 1'!$A$2:$Q$3504,12,FALSE())</f>
        <v>#N/A</v>
      </c>
      <c r="M86" s="0" t="e">
        <f aca="false">VLOOKUP($A86,'[2]Sheet 1'!$A$2:$Q$3504,13,FALSE())</f>
        <v>#N/A</v>
      </c>
      <c r="N86" s="0" t="e">
        <f aca="false">VLOOKUP($A86,'[2]Sheet 1'!$A$2:$Q$3504,14,FALSE())</f>
        <v>#N/A</v>
      </c>
      <c r="O86" s="0" t="e">
        <f aca="false">VLOOKUP($A86,'[2]Sheet 1'!$A$2:$Q$3504,15,FALSE())</f>
        <v>#N/A</v>
      </c>
      <c r="P86" s="0" t="e">
        <f aca="false">VLOOKUP($A86,'[2]Sheet 1'!$A$2:$Q$3504,16,FALSE())</f>
        <v>#N/A</v>
      </c>
      <c r="Q86" s="0" t="e">
        <f aca="false">VLOOKUP($A86,'[2]Sheet 1'!$A$2:$Q$3504,17,FALSE())</f>
        <v>#N/A</v>
      </c>
      <c r="S86" s="9"/>
    </row>
    <row r="87" customFormat="false" ht="14.25" hidden="false" customHeight="false" outlineLevel="0" collapsed="false">
      <c r="A87" s="9" t="n">
        <v>201</v>
      </c>
      <c r="B87" s="9" t="s">
        <v>239</v>
      </c>
      <c r="C87" s="9" t="n">
        <v>89</v>
      </c>
      <c r="D87" s="10" t="n">
        <f aca="false">VLOOKUP($A87,'[2]Sheet 1'!$A$2:$Q$3504,4,FALSE())</f>
        <v>341</v>
      </c>
      <c r="E87" s="0" t="n">
        <f aca="false">VLOOKUP($A87,'[2]Sheet 1'!$A$2:$Q$3504,5,FALSE())</f>
        <v>23.75</v>
      </c>
      <c r="F87" s="0" t="n">
        <f aca="false">VLOOKUP($A87,'[2]Sheet 1'!$A$2:$Q$3504,6,FALSE())</f>
        <v>7.3</v>
      </c>
      <c r="G87" s="0" t="n">
        <f aca="false">VLOOKUP($A87,'[2]Sheet 1'!$A$2:$Q$3504,7,FALSE())</f>
        <v>3</v>
      </c>
      <c r="H87" s="0" t="n">
        <f aca="false">VLOOKUP($A87,'[2]Sheet 1'!$A$2:$Q$3504,8,FALSE())</f>
        <v>7</v>
      </c>
      <c r="I87" s="0" t="n">
        <f aca="false">VLOOKUP($A87,'[2]Sheet 1'!$A$2:$Q$3504,9,FALSE())</f>
        <v>67.5</v>
      </c>
      <c r="J87" s="0" t="n">
        <f aca="false">VLOOKUP($A87,'[2]Sheet 1'!$A$2:$Q$3504,10,FALSE())</f>
        <v>295</v>
      </c>
      <c r="K87" s="0" t="n">
        <f aca="false">VLOOKUP($A87,'[2]Sheet 1'!$A$2:$Q$3504,11,FALSE())</f>
        <v>0.2205</v>
      </c>
      <c r="L87" s="0" t="n">
        <f aca="false">VLOOKUP($A87,'[2]Sheet 1'!$A$2:$Q$3504,12,FALSE())</f>
        <v>197.7</v>
      </c>
      <c r="M87" s="0" t="n">
        <f aca="false">VLOOKUP($A87,'[2]Sheet 1'!$A$2:$Q$3504,13,FALSE())</f>
        <v>855</v>
      </c>
      <c r="N87" s="0" t="n">
        <f aca="false">VLOOKUP($A87,'[2]Sheet 1'!$A$2:$Q$3504,14,FALSE())</f>
        <v>0.11</v>
      </c>
      <c r="O87" s="0" t="n">
        <f aca="false">VLOOKUP($A87,'[2]Sheet 1'!$A$2:$Q$3504,15,FALSE())</f>
        <v>0</v>
      </c>
      <c r="P87" s="0" t="n">
        <f aca="false">VLOOKUP($A87,'[2]Sheet 1'!$A$2:$Q$3504,16,FALSE())</f>
        <v>1.7</v>
      </c>
      <c r="Q87" s="0" t="n">
        <f aca="false">VLOOKUP($A87,'[2]Sheet 1'!$A$2:$Q$3504,17,FALSE())</f>
        <v>3.5</v>
      </c>
      <c r="S87" s="9"/>
    </row>
    <row r="88" customFormat="false" ht="14.25" hidden="false" customHeight="false" outlineLevel="0" collapsed="false">
      <c r="A88" s="9" t="n">
        <v>203</v>
      </c>
      <c r="B88" s="9" t="s">
        <v>241</v>
      </c>
      <c r="C88" s="9" t="n">
        <v>90</v>
      </c>
      <c r="D88" s="10" t="n">
        <f aca="false">VLOOKUP($A88,'[2]Sheet 1'!$A$2:$Q$3504,4,FALSE())</f>
        <v>372.5</v>
      </c>
      <c r="E88" s="0" t="n">
        <f aca="false">VLOOKUP($A88,'[2]Sheet 1'!$A$2:$Q$3504,5,FALSE())</f>
        <v>19.39</v>
      </c>
      <c r="F88" s="0" t="n">
        <f aca="false">VLOOKUP($A88,'[2]Sheet 1'!$A$2:$Q$3504,6,FALSE())</f>
        <v>4.8</v>
      </c>
      <c r="G88" s="0" t="n">
        <f aca="false">VLOOKUP($A88,'[2]Sheet 1'!$A$2:$Q$3504,7,FALSE())</f>
        <v>2.8660500025</v>
      </c>
      <c r="H88" s="0" t="n">
        <f aca="false">VLOOKUP($A88,'[2]Sheet 1'!$A$2:$Q$3504,8,FALSE())</f>
        <v>3.3</v>
      </c>
      <c r="I88" s="0" t="n">
        <f aca="false">VLOOKUP($A88,'[2]Sheet 1'!$A$2:$Q$3504,9,FALSE())</f>
        <v>55.865</v>
      </c>
      <c r="J88" s="0" t="n">
        <f aca="false">VLOOKUP($A88,'[2]Sheet 1'!$A$2:$Q$3504,10,FALSE())</f>
        <v>0</v>
      </c>
      <c r="K88" s="0" t="n">
        <f aca="false">VLOOKUP($A88,'[2]Sheet 1'!$A$2:$Q$3504,11,FALSE())</f>
        <v>0.122751079</v>
      </c>
      <c r="L88" s="0" t="n">
        <f aca="false">VLOOKUP($A88,'[2]Sheet 1'!$A$2:$Q$3504,12,FALSE())</f>
        <v>0</v>
      </c>
      <c r="M88" s="0" t="n">
        <f aca="false">VLOOKUP($A88,'[2]Sheet 1'!$A$2:$Q$3504,13,FALSE())</f>
        <v>1240</v>
      </c>
      <c r="N88" s="0" t="n">
        <f aca="false">VLOOKUP($A88,'[2]Sheet 1'!$A$2:$Q$3504,14,FALSE())</f>
        <v>8.33</v>
      </c>
      <c r="O88" s="0" t="n">
        <f aca="false">VLOOKUP($A88,'[2]Sheet 1'!$A$2:$Q$3504,15,FALSE())</f>
        <v>0</v>
      </c>
      <c r="P88" s="0" t="n">
        <f aca="false">VLOOKUP($A88,'[2]Sheet 1'!$A$2:$Q$3504,16,FALSE())</f>
        <v>0</v>
      </c>
      <c r="Q88" s="0" t="n">
        <f aca="false">VLOOKUP($A88,'[2]Sheet 1'!$A$2:$Q$3504,17,FALSE())</f>
        <v>1.25</v>
      </c>
      <c r="S88" s="9"/>
    </row>
    <row r="89" customFormat="false" ht="14.25" hidden="false" customHeight="false" outlineLevel="0" collapsed="false">
      <c r="A89" s="9" t="n">
        <v>205</v>
      </c>
      <c r="B89" s="9" t="s">
        <v>243</v>
      </c>
      <c r="C89" s="9" t="n">
        <v>90</v>
      </c>
      <c r="D89" s="10" t="n">
        <f aca="false">VLOOKUP($A89,'[2]Sheet 1'!$A$2:$Q$3504,4,FALSE())</f>
        <v>203</v>
      </c>
      <c r="E89" s="0" t="n">
        <f aca="false">VLOOKUP($A89,'[2]Sheet 1'!$A$2:$Q$3504,5,FALSE())</f>
        <v>15.7</v>
      </c>
      <c r="F89" s="0" t="n">
        <f aca="false">VLOOKUP($A89,'[2]Sheet 1'!$A$2:$Q$3504,6,FALSE())</f>
        <v>2</v>
      </c>
      <c r="G89" s="0" t="n">
        <f aca="false">VLOOKUP($A89,'[2]Sheet 1'!$A$2:$Q$3504,7,FALSE())</f>
        <v>0</v>
      </c>
      <c r="H89" s="0" t="n">
        <f aca="false">VLOOKUP($A89,'[2]Sheet 1'!$A$2:$Q$3504,8,FALSE())</f>
        <v>9.3</v>
      </c>
      <c r="I89" s="0" t="n">
        <f aca="false">VLOOKUP($A89,'[2]Sheet 1'!$A$2:$Q$3504,9,FALSE())</f>
        <v>203.5</v>
      </c>
      <c r="J89" s="0" t="n">
        <f aca="false">VLOOKUP($A89,'[2]Sheet 1'!$A$2:$Q$3504,10,FALSE())</f>
        <v>0</v>
      </c>
      <c r="K89" s="0" t="n">
        <f aca="false">VLOOKUP($A89,'[2]Sheet 1'!$A$2:$Q$3504,11,FALSE())</f>
        <v>0.1</v>
      </c>
      <c r="L89" s="0" t="n">
        <f aca="false">VLOOKUP($A89,'[2]Sheet 1'!$A$2:$Q$3504,12,FALSE())</f>
        <v>0</v>
      </c>
      <c r="M89" s="0" t="n">
        <f aca="false">VLOOKUP($A89,'[2]Sheet 1'!$A$2:$Q$3504,13,FALSE())</f>
        <v>0</v>
      </c>
      <c r="N89" s="0" t="n">
        <f aca="false">VLOOKUP($A89,'[2]Sheet 1'!$A$2:$Q$3504,14,FALSE())</f>
        <v>0.431447958188791</v>
      </c>
      <c r="O89" s="0" t="n">
        <f aca="false">VLOOKUP($A89,'[2]Sheet 1'!$A$2:$Q$3504,15,FALSE())</f>
        <v>0</v>
      </c>
      <c r="P89" s="0" t="n">
        <f aca="false">VLOOKUP($A89,'[2]Sheet 1'!$A$2:$Q$3504,16,FALSE())</f>
        <v>2.84940450141925</v>
      </c>
      <c r="Q89" s="0" t="n">
        <f aca="false">VLOOKUP($A89,'[2]Sheet 1'!$A$2:$Q$3504,17,FALSE())</f>
        <v>0</v>
      </c>
      <c r="S89" s="9"/>
    </row>
    <row r="90" customFormat="false" ht="14.25" hidden="false" customHeight="false" outlineLevel="0" collapsed="false">
      <c r="A90" s="9" t="n">
        <v>210</v>
      </c>
      <c r="B90" s="9" t="s">
        <v>245</v>
      </c>
      <c r="C90" s="9" t="n">
        <v>50</v>
      </c>
      <c r="D90" s="10" t="e">
        <f aca="false">VLOOKUP($A90,'[2]Sheet 1'!$A$2:$Q$3504,4,FALSE())</f>
        <v>#N/A</v>
      </c>
      <c r="E90" s="0" t="e">
        <f aca="false">VLOOKUP($A90,'[2]Sheet 1'!$A$2:$Q$3504,5,FALSE())</f>
        <v>#N/A</v>
      </c>
      <c r="F90" s="0" t="e">
        <f aca="false">VLOOKUP($A90,'[2]Sheet 1'!$A$2:$Q$3504,6,FALSE())</f>
        <v>#N/A</v>
      </c>
      <c r="G90" s="0" t="e">
        <f aca="false">VLOOKUP($A90,'[2]Sheet 1'!$A$2:$Q$3504,7,FALSE())</f>
        <v>#N/A</v>
      </c>
      <c r="H90" s="0" t="e">
        <f aca="false">VLOOKUP($A90,'[2]Sheet 1'!$A$2:$Q$3504,8,FALSE())</f>
        <v>#N/A</v>
      </c>
      <c r="I90" s="0" t="e">
        <f aca="false">VLOOKUP($A90,'[2]Sheet 1'!$A$2:$Q$3504,9,FALSE())</f>
        <v>#N/A</v>
      </c>
      <c r="J90" s="0" t="e">
        <f aca="false">VLOOKUP($A90,'[2]Sheet 1'!$A$2:$Q$3504,10,FALSE())</f>
        <v>#N/A</v>
      </c>
      <c r="K90" s="0" t="e">
        <f aca="false">VLOOKUP($A90,'[2]Sheet 1'!$A$2:$Q$3504,11,FALSE())</f>
        <v>#N/A</v>
      </c>
      <c r="L90" s="0" t="e">
        <f aca="false">VLOOKUP($A90,'[2]Sheet 1'!$A$2:$Q$3504,12,FALSE())</f>
        <v>#N/A</v>
      </c>
      <c r="M90" s="0" t="e">
        <f aca="false">VLOOKUP($A90,'[2]Sheet 1'!$A$2:$Q$3504,13,FALSE())</f>
        <v>#N/A</v>
      </c>
      <c r="N90" s="0" t="e">
        <f aca="false">VLOOKUP($A90,'[2]Sheet 1'!$A$2:$Q$3504,14,FALSE())</f>
        <v>#N/A</v>
      </c>
      <c r="O90" s="0" t="e">
        <f aca="false">VLOOKUP($A90,'[2]Sheet 1'!$A$2:$Q$3504,15,FALSE())</f>
        <v>#N/A</v>
      </c>
      <c r="P90" s="0" t="e">
        <f aca="false">VLOOKUP($A90,'[2]Sheet 1'!$A$2:$Q$3504,16,FALSE())</f>
        <v>#N/A</v>
      </c>
      <c r="Q90" s="0" t="e">
        <f aca="false">VLOOKUP($A90,'[2]Sheet 1'!$A$2:$Q$3504,17,FALSE())</f>
        <v>#N/A</v>
      </c>
      <c r="S90" s="9"/>
    </row>
    <row r="91" customFormat="false" ht="14.25" hidden="false" customHeight="false" outlineLevel="0" collapsed="false">
      <c r="A91" s="9" t="n">
        <v>211</v>
      </c>
      <c r="B91" s="9" t="s">
        <v>1222</v>
      </c>
      <c r="C91" s="9" t="n">
        <v>90</v>
      </c>
      <c r="D91" s="10" t="n">
        <f aca="false">VLOOKUP($A91,'[2]Sheet 1'!$A$2:$Q$3504,4,FALSE())</f>
        <v>349</v>
      </c>
      <c r="E91" s="0" t="n">
        <f aca="false">VLOOKUP($A91,'[2]Sheet 1'!$A$2:$Q$3504,5,FALSE())</f>
        <v>23.875</v>
      </c>
      <c r="F91" s="0" t="n">
        <f aca="false">VLOOKUP($A91,'[2]Sheet 1'!$A$2:$Q$3504,6,FALSE())</f>
        <v>7.4</v>
      </c>
      <c r="G91" s="0" t="n">
        <f aca="false">VLOOKUP($A91,'[2]Sheet 1'!$A$2:$Q$3504,7,FALSE())</f>
        <v>3.99</v>
      </c>
      <c r="H91" s="0" t="n">
        <f aca="false">VLOOKUP($A91,'[2]Sheet 1'!$A$2:$Q$3504,8,FALSE())</f>
        <v>7</v>
      </c>
      <c r="I91" s="0" t="n">
        <f aca="false">VLOOKUP($A91,'[2]Sheet 1'!$A$2:$Q$3504,9,FALSE())</f>
        <v>158</v>
      </c>
      <c r="J91" s="0" t="n">
        <f aca="false">VLOOKUP($A91,'[2]Sheet 1'!$A$2:$Q$3504,10,FALSE())</f>
        <v>342</v>
      </c>
      <c r="K91" s="0" t="n">
        <f aca="false">VLOOKUP($A91,'[2]Sheet 1'!$A$2:$Q$3504,11,FALSE())</f>
        <v>0.18</v>
      </c>
      <c r="L91" s="0" t="n">
        <f aca="false">VLOOKUP($A91,'[2]Sheet 1'!$A$2:$Q$3504,12,FALSE())</f>
        <v>352</v>
      </c>
      <c r="M91" s="0" t="n">
        <f aca="false">VLOOKUP($A91,'[2]Sheet 1'!$A$2:$Q$3504,13,FALSE())</f>
        <v>1157</v>
      </c>
      <c r="N91" s="0" t="n">
        <f aca="false">VLOOKUP($A91,'[2]Sheet 1'!$A$2:$Q$3504,14,FALSE())</f>
        <v>0.75</v>
      </c>
      <c r="O91" s="0" t="n">
        <f aca="false">VLOOKUP($A91,'[2]Sheet 1'!$A$2:$Q$3504,15,FALSE())</f>
        <v>0</v>
      </c>
      <c r="P91" s="0" t="n">
        <f aca="false">VLOOKUP($A91,'[2]Sheet 1'!$A$2:$Q$3504,16,FALSE())</f>
        <v>3</v>
      </c>
      <c r="Q91" s="0" t="n">
        <f aca="false">VLOOKUP($A91,'[2]Sheet 1'!$A$2:$Q$3504,17,FALSE())</f>
        <v>1</v>
      </c>
      <c r="S91" s="9"/>
    </row>
    <row r="92" customFormat="false" ht="14.25" hidden="false" customHeight="false" outlineLevel="0" collapsed="false">
      <c r="A92" s="9" t="n">
        <v>212</v>
      </c>
      <c r="B92" s="9" t="s">
        <v>249</v>
      </c>
      <c r="C92" s="9" t="n">
        <v>90</v>
      </c>
      <c r="D92" s="10" t="n">
        <f aca="false">VLOOKUP($A92,'[2]Sheet 1'!$A$2:$Q$3504,4,FALSE())</f>
        <v>424</v>
      </c>
      <c r="E92" s="0" t="n">
        <f aca="false">VLOOKUP($A92,'[2]Sheet 1'!$A$2:$Q$3504,5,FALSE())</f>
        <v>27.65</v>
      </c>
      <c r="F92" s="0" t="n">
        <f aca="false">VLOOKUP($A92,'[2]Sheet 1'!$A$2:$Q$3504,6,FALSE())</f>
        <v>10.2</v>
      </c>
      <c r="G92" s="0" t="n">
        <f aca="false">VLOOKUP($A92,'[2]Sheet 1'!$A$2:$Q$3504,7,FALSE())</f>
        <v>2.975</v>
      </c>
      <c r="H92" s="0" t="n">
        <f aca="false">VLOOKUP($A92,'[2]Sheet 1'!$A$2:$Q$3504,8,FALSE())</f>
        <v>9.15</v>
      </c>
      <c r="I92" s="0" t="n">
        <f aca="false">VLOOKUP($A92,'[2]Sheet 1'!$A$2:$Q$3504,9,FALSE())</f>
        <v>100</v>
      </c>
      <c r="J92" s="0" t="n">
        <f aca="false">VLOOKUP($A92,'[2]Sheet 1'!$A$2:$Q$3504,10,FALSE())</f>
        <v>345</v>
      </c>
      <c r="K92" s="0" t="n">
        <f aca="false">VLOOKUP($A92,'[2]Sheet 1'!$A$2:$Q$3504,11,FALSE())</f>
        <v>0.24</v>
      </c>
      <c r="L92" s="0" t="n">
        <f aca="false">VLOOKUP($A92,'[2]Sheet 1'!$A$2:$Q$3504,12,FALSE())</f>
        <v>190.6</v>
      </c>
      <c r="M92" s="0" t="n">
        <f aca="false">VLOOKUP($A92,'[2]Sheet 1'!$A$2:$Q$3504,13,FALSE())</f>
        <v>1062</v>
      </c>
      <c r="N92" s="0" t="n">
        <f aca="false">VLOOKUP($A92,'[2]Sheet 1'!$A$2:$Q$3504,14,FALSE())</f>
        <v>0.83</v>
      </c>
      <c r="O92" s="0" t="n">
        <f aca="false">VLOOKUP($A92,'[2]Sheet 1'!$A$2:$Q$3504,15,FALSE())</f>
        <v>0</v>
      </c>
      <c r="P92" s="0" t="n">
        <f aca="false">VLOOKUP($A92,'[2]Sheet 1'!$A$2:$Q$3504,16,FALSE())</f>
        <v>9.1</v>
      </c>
      <c r="Q92" s="0" t="n">
        <f aca="false">VLOOKUP($A92,'[2]Sheet 1'!$A$2:$Q$3504,17,FALSE())</f>
        <v>2</v>
      </c>
      <c r="S92" s="9"/>
    </row>
    <row r="93" customFormat="false" ht="14.25" hidden="false" customHeight="false" outlineLevel="0" collapsed="false">
      <c r="A93" s="9" t="n">
        <v>216</v>
      </c>
      <c r="B93" s="9" t="s">
        <v>251</v>
      </c>
      <c r="C93" s="9" t="n">
        <v>95.4</v>
      </c>
      <c r="D93" s="10" t="n">
        <f aca="false">VLOOKUP($A93,'[2]Sheet 1'!$A$2:$Q$3504,4,FALSE())</f>
        <v>653.5</v>
      </c>
      <c r="E93" s="0" t="n">
        <f aca="false">VLOOKUP($A93,'[2]Sheet 1'!$A$2:$Q$3504,5,FALSE())</f>
        <v>14.8</v>
      </c>
      <c r="F93" s="0" t="n">
        <f aca="false">VLOOKUP($A93,'[2]Sheet 1'!$A$2:$Q$3504,6,FALSE())</f>
        <v>7.5</v>
      </c>
      <c r="G93" s="0" t="n">
        <f aca="false">VLOOKUP($A93,'[2]Sheet 1'!$A$2:$Q$3504,7,FALSE())</f>
        <v>4.06</v>
      </c>
      <c r="H93" s="0" t="n">
        <f aca="false">VLOOKUP($A93,'[2]Sheet 1'!$A$2:$Q$3504,8,FALSE())</f>
        <v>2.265</v>
      </c>
      <c r="I93" s="0" t="n">
        <f aca="false">VLOOKUP($A93,'[2]Sheet 1'!$A$2:$Q$3504,9,FALSE())</f>
        <v>165</v>
      </c>
      <c r="J93" s="0" t="n">
        <f aca="false">VLOOKUP($A93,'[2]Sheet 1'!$A$2:$Q$3504,10,FALSE())</f>
        <v>22</v>
      </c>
      <c r="K93" s="0" t="n">
        <f aca="false">VLOOKUP($A93,'[2]Sheet 1'!$A$2:$Q$3504,11,FALSE())</f>
        <v>0.1</v>
      </c>
      <c r="L93" s="0" t="n">
        <f aca="false">VLOOKUP($A93,'[2]Sheet 1'!$A$2:$Q$3504,12,FALSE())</f>
        <v>28.8</v>
      </c>
      <c r="M93" s="0" t="n">
        <f aca="false">VLOOKUP($A93,'[2]Sheet 1'!$A$2:$Q$3504,13,FALSE())</f>
        <v>659</v>
      </c>
      <c r="N93" s="0" t="n">
        <f aca="false">VLOOKUP($A93,'[2]Sheet 1'!$A$2:$Q$3504,14,FALSE())</f>
        <v>5.65</v>
      </c>
      <c r="O93" s="0" t="n">
        <f aca="false">VLOOKUP($A93,'[2]Sheet 1'!$A$2:$Q$3504,15,FALSE())</f>
        <v>0</v>
      </c>
      <c r="P93" s="0" t="n">
        <f aca="false">VLOOKUP($A93,'[2]Sheet 1'!$A$2:$Q$3504,16,FALSE())</f>
        <v>0</v>
      </c>
      <c r="Q93" s="0" t="n">
        <f aca="false">VLOOKUP($A93,'[2]Sheet 1'!$A$2:$Q$3504,17,FALSE())</f>
        <v>0</v>
      </c>
      <c r="S93" s="9"/>
    </row>
    <row r="94" customFormat="false" ht="14.25" hidden="false" customHeight="false" outlineLevel="0" collapsed="false">
      <c r="A94" s="9" t="n">
        <v>217</v>
      </c>
      <c r="B94" s="9" t="s">
        <v>253</v>
      </c>
      <c r="C94" s="9" t="n">
        <v>95</v>
      </c>
      <c r="D94" s="10" t="n">
        <f aca="false">VLOOKUP($A94,'[2]Sheet 1'!$A$2:$Q$3504,4,FALSE())</f>
        <v>572</v>
      </c>
      <c r="E94" s="0" t="n">
        <f aca="false">VLOOKUP($A94,'[2]Sheet 1'!$A$2:$Q$3504,5,FALSE())</f>
        <v>18.22</v>
      </c>
      <c r="F94" s="0" t="n">
        <f aca="false">VLOOKUP($A94,'[2]Sheet 1'!$A$2:$Q$3504,6,FALSE())</f>
        <v>3.1</v>
      </c>
      <c r="G94" s="0" t="n">
        <f aca="false">VLOOKUP($A94,'[2]Sheet 1'!$A$2:$Q$3504,7,FALSE())</f>
        <v>5.185</v>
      </c>
      <c r="H94" s="0" t="n">
        <f aca="false">VLOOKUP($A94,'[2]Sheet 1'!$A$2:$Q$3504,8,FALSE())</f>
        <v>6</v>
      </c>
      <c r="I94" s="0" t="n">
        <f aca="false">VLOOKUP($A94,'[2]Sheet 1'!$A$2:$Q$3504,9,FALSE())</f>
        <v>38</v>
      </c>
      <c r="J94" s="0" t="n">
        <f aca="false">VLOOKUP($A94,'[2]Sheet 1'!$A$2:$Q$3504,10,FALSE())</f>
        <v>35.5</v>
      </c>
      <c r="K94" s="0" t="n">
        <f aca="false">VLOOKUP($A94,'[2]Sheet 1'!$A$2:$Q$3504,11,FALSE())</f>
        <v>0.18</v>
      </c>
      <c r="L94" s="0" t="n">
        <f aca="false">VLOOKUP($A94,'[2]Sheet 1'!$A$2:$Q$3504,12,FALSE())</f>
        <v>0</v>
      </c>
      <c r="M94" s="0" t="n">
        <f aca="false">VLOOKUP($A94,'[2]Sheet 1'!$A$2:$Q$3504,13,FALSE())</f>
        <v>650.5</v>
      </c>
      <c r="N94" s="0" t="n">
        <f aca="false">VLOOKUP($A94,'[2]Sheet 1'!$A$2:$Q$3504,14,FALSE())</f>
        <v>0.9</v>
      </c>
      <c r="O94" s="0" t="n">
        <f aca="false">VLOOKUP($A94,'[2]Sheet 1'!$A$2:$Q$3504,15,FALSE())</f>
        <v>0</v>
      </c>
      <c r="P94" s="0" t="n">
        <f aca="false">VLOOKUP($A94,'[2]Sheet 1'!$A$2:$Q$3504,16,FALSE())</f>
        <v>34.1</v>
      </c>
      <c r="Q94" s="0" t="n">
        <f aca="false">VLOOKUP($A94,'[2]Sheet 1'!$A$2:$Q$3504,17,FALSE())</f>
        <v>4</v>
      </c>
      <c r="S94" s="9"/>
    </row>
    <row r="95" customFormat="false" ht="14.25" hidden="false" customHeight="false" outlineLevel="0" collapsed="false">
      <c r="A95" s="9" t="n">
        <v>220</v>
      </c>
      <c r="B95" s="9" t="s">
        <v>255</v>
      </c>
      <c r="C95" s="9" t="n">
        <v>92</v>
      </c>
      <c r="D95" s="10" t="n">
        <f aca="false">VLOOKUP($A95,'[2]Sheet 1'!$A$2:$Q$3504,4,FALSE())</f>
        <v>224</v>
      </c>
      <c r="E95" s="0" t="n">
        <f aca="false">VLOOKUP($A95,'[2]Sheet 1'!$A$2:$Q$3504,5,FALSE())</f>
        <v>4.7</v>
      </c>
      <c r="F95" s="0" t="n">
        <f aca="false">VLOOKUP($A95,'[2]Sheet 1'!$A$2:$Q$3504,6,FALSE())</f>
        <v>12.3</v>
      </c>
      <c r="G95" s="0" t="n">
        <f aca="false">VLOOKUP($A95,'[2]Sheet 1'!$A$2:$Q$3504,7,FALSE())</f>
        <v>0.46</v>
      </c>
      <c r="H95" s="0" t="n">
        <f aca="false">VLOOKUP($A95,'[2]Sheet 1'!$A$2:$Q$3504,8,FALSE())</f>
        <v>1.5</v>
      </c>
      <c r="I95" s="0" t="n">
        <f aca="false">VLOOKUP($A95,'[2]Sheet 1'!$A$2:$Q$3504,9,FALSE())</f>
        <v>28</v>
      </c>
      <c r="J95" s="0" t="n">
        <f aca="false">VLOOKUP($A95,'[2]Sheet 1'!$A$2:$Q$3504,10,FALSE())</f>
        <v>109</v>
      </c>
      <c r="K95" s="0" t="n">
        <f aca="false">VLOOKUP($A95,'[2]Sheet 1'!$A$2:$Q$3504,11,FALSE())</f>
        <v>0.17</v>
      </c>
      <c r="L95" s="0" t="n">
        <f aca="false">VLOOKUP($A95,'[2]Sheet 1'!$A$2:$Q$3504,12,FALSE())</f>
        <v>0</v>
      </c>
      <c r="M95" s="0" t="n">
        <f aca="false">VLOOKUP($A95,'[2]Sheet 1'!$A$2:$Q$3504,13,FALSE())</f>
        <v>653.5</v>
      </c>
      <c r="N95" s="0" t="n">
        <f aca="false">VLOOKUP($A95,'[2]Sheet 1'!$A$2:$Q$3504,14,FALSE())</f>
        <v>0</v>
      </c>
      <c r="O95" s="0" t="n">
        <f aca="false">VLOOKUP($A95,'[2]Sheet 1'!$A$2:$Q$3504,15,FALSE())</f>
        <v>0</v>
      </c>
      <c r="P95" s="0" t="n">
        <f aca="false">VLOOKUP($A95,'[2]Sheet 1'!$A$2:$Q$3504,16,FALSE())</f>
        <v>0</v>
      </c>
      <c r="Q95" s="0" t="n">
        <f aca="false">VLOOKUP($A95,'[2]Sheet 1'!$A$2:$Q$3504,17,FALSE())</f>
        <v>16</v>
      </c>
      <c r="S95" s="9"/>
    </row>
    <row r="96" customFormat="false" ht="14.25" hidden="false" customHeight="false" outlineLevel="0" collapsed="false">
      <c r="A96" s="9" t="n">
        <v>221</v>
      </c>
      <c r="B96" s="9" t="s">
        <v>258</v>
      </c>
      <c r="C96" s="9" t="n">
        <v>96</v>
      </c>
      <c r="D96" s="10" t="n">
        <f aca="false">VLOOKUP($A96,'[2]Sheet 1'!$A$2:$Q$3504,4,FALSE())</f>
        <v>592</v>
      </c>
      <c r="E96" s="0" t="n">
        <f aca="false">VLOOKUP($A96,'[2]Sheet 1'!$A$2:$Q$3504,5,FALSE())</f>
        <v>21.825</v>
      </c>
      <c r="F96" s="0" t="n">
        <f aca="false">VLOOKUP($A96,'[2]Sheet 1'!$A$2:$Q$3504,6,FALSE())</f>
        <v>7.25</v>
      </c>
      <c r="G96" s="0" t="n">
        <f aca="false">VLOOKUP($A96,'[2]Sheet 1'!$A$2:$Q$3504,7,FALSE())</f>
        <v>3.59</v>
      </c>
      <c r="H96" s="0" t="n">
        <f aca="false">VLOOKUP($A96,'[2]Sheet 1'!$A$2:$Q$3504,8,FALSE())</f>
        <v>3.055</v>
      </c>
      <c r="I96" s="0" t="n">
        <f aca="false">VLOOKUP($A96,'[2]Sheet 1'!$A$2:$Q$3504,9,FALSE())</f>
        <v>247</v>
      </c>
      <c r="J96" s="0" t="n">
        <f aca="false">VLOOKUP($A96,'[2]Sheet 1'!$A$2:$Q$3504,10,FALSE())</f>
        <v>44</v>
      </c>
      <c r="K96" s="0" t="n">
        <f aca="false">VLOOKUP($A96,'[2]Sheet 1'!$A$2:$Q$3504,11,FALSE())</f>
        <v>0.56</v>
      </c>
      <c r="L96" s="0" t="n">
        <f aca="false">VLOOKUP($A96,'[2]Sheet 1'!$A$2:$Q$3504,12,FALSE())</f>
        <v>52.1</v>
      </c>
      <c r="M96" s="0" t="n">
        <f aca="false">VLOOKUP($A96,'[2]Sheet 1'!$A$2:$Q$3504,13,FALSE())</f>
        <v>773</v>
      </c>
      <c r="N96" s="0" t="n">
        <f aca="false">VLOOKUP($A96,'[2]Sheet 1'!$A$2:$Q$3504,14,FALSE())</f>
        <v>25.63</v>
      </c>
      <c r="O96" s="0" t="n">
        <f aca="false">VLOOKUP($A96,'[2]Sheet 1'!$A$2:$Q$3504,15,FALSE())</f>
        <v>0</v>
      </c>
      <c r="P96" s="0" t="n">
        <f aca="false">VLOOKUP($A96,'[2]Sheet 1'!$A$2:$Q$3504,16,FALSE())</f>
        <v>0</v>
      </c>
      <c r="Q96" s="0" t="n">
        <f aca="false">VLOOKUP($A96,'[2]Sheet 1'!$A$2:$Q$3504,17,FALSE())</f>
        <v>0</v>
      </c>
      <c r="S96" s="9"/>
    </row>
    <row r="97" customFormat="false" ht="14.25" hidden="false" customHeight="false" outlineLevel="0" collapsed="false">
      <c r="A97" s="9" t="n">
        <v>222</v>
      </c>
      <c r="B97" s="9" t="s">
        <v>260</v>
      </c>
      <c r="C97" s="9" t="n">
        <v>96</v>
      </c>
      <c r="D97" s="10" t="n">
        <f aca="false">VLOOKUP($A97,'[2]Sheet 1'!$A$2:$Q$3504,4,FALSE())</f>
        <v>646</v>
      </c>
      <c r="E97" s="0" t="n">
        <f aca="false">VLOOKUP($A97,'[2]Sheet 1'!$A$2:$Q$3504,5,FALSE())</f>
        <v>15.23</v>
      </c>
      <c r="F97" s="0" t="n">
        <f aca="false">VLOOKUP($A97,'[2]Sheet 1'!$A$2:$Q$3504,6,FALSE())</f>
        <v>6.7</v>
      </c>
      <c r="G97" s="0" t="n">
        <f aca="false">VLOOKUP($A97,'[2]Sheet 1'!$A$2:$Q$3504,7,FALSE())</f>
        <v>3.09</v>
      </c>
      <c r="H97" s="0" t="n">
        <f aca="false">VLOOKUP($A97,'[2]Sheet 1'!$A$2:$Q$3504,8,FALSE())</f>
        <v>2.955</v>
      </c>
      <c r="I97" s="0" t="n">
        <f aca="false">VLOOKUP($A97,'[2]Sheet 1'!$A$2:$Q$3504,9,FALSE())</f>
        <v>91</v>
      </c>
      <c r="J97" s="0" t="n">
        <f aca="false">VLOOKUP($A97,'[2]Sheet 1'!$A$2:$Q$3504,10,FALSE())</f>
        <v>64.5</v>
      </c>
      <c r="K97" s="0" t="n">
        <f aca="false">VLOOKUP($A97,'[2]Sheet 1'!$A$2:$Q$3504,11,FALSE())</f>
        <v>0.14</v>
      </c>
      <c r="L97" s="0" t="n">
        <f aca="false">VLOOKUP($A97,'[2]Sheet 1'!$A$2:$Q$3504,12,FALSE())</f>
        <v>35.65</v>
      </c>
      <c r="M97" s="0" t="n">
        <f aca="false">VLOOKUP($A97,'[2]Sheet 1'!$A$2:$Q$3504,13,FALSE())</f>
        <v>486.5</v>
      </c>
      <c r="N97" s="0" t="n">
        <f aca="false">VLOOKUP($A97,'[2]Sheet 1'!$A$2:$Q$3504,14,FALSE())</f>
        <v>0.7</v>
      </c>
      <c r="O97" s="0" t="n">
        <f aca="false">VLOOKUP($A97,'[2]Sheet 1'!$A$2:$Q$3504,15,FALSE())</f>
        <v>0</v>
      </c>
      <c r="P97" s="0" t="n">
        <f aca="false">VLOOKUP($A97,'[2]Sheet 1'!$A$2:$Q$3504,16,FALSE())</f>
        <v>2.7</v>
      </c>
      <c r="Q97" s="0" t="n">
        <f aca="false">VLOOKUP($A97,'[2]Sheet 1'!$A$2:$Q$3504,17,FALSE())</f>
        <v>4.3</v>
      </c>
      <c r="S97" s="9"/>
    </row>
    <row r="98" customFormat="false" ht="14.25" hidden="false" customHeight="false" outlineLevel="0" collapsed="false">
      <c r="A98" s="9" t="n">
        <v>223</v>
      </c>
      <c r="B98" s="9" t="s">
        <v>262</v>
      </c>
      <c r="C98" s="9" t="n">
        <v>95</v>
      </c>
      <c r="D98" s="10" t="n">
        <f aca="false">VLOOKUP($A98,'[2]Sheet 1'!$A$2:$Q$3504,4,FALSE())</f>
        <v>612</v>
      </c>
      <c r="E98" s="0" t="n">
        <f aca="false">VLOOKUP($A98,'[2]Sheet 1'!$A$2:$Q$3504,5,FALSE())</f>
        <v>20.135</v>
      </c>
      <c r="F98" s="0" t="n">
        <f aca="false">VLOOKUP($A98,'[2]Sheet 1'!$A$2:$Q$3504,6,FALSE())</f>
        <v>8.2</v>
      </c>
      <c r="G98" s="0" t="n">
        <f aca="false">VLOOKUP($A98,'[2]Sheet 1'!$A$2:$Q$3504,7,FALSE())</f>
        <v>2.655</v>
      </c>
      <c r="H98" s="0" t="n">
        <f aca="false">VLOOKUP($A98,'[2]Sheet 1'!$A$2:$Q$3504,8,FALSE())</f>
        <v>5.85</v>
      </c>
      <c r="I98" s="0" t="n">
        <f aca="false">VLOOKUP($A98,'[2]Sheet 1'!$A$2:$Q$3504,9,FALSE())</f>
        <v>119.5</v>
      </c>
      <c r="J98" s="0" t="n">
        <f aca="false">VLOOKUP($A98,'[2]Sheet 1'!$A$2:$Q$3504,10,FALSE())</f>
        <v>51</v>
      </c>
      <c r="K98" s="0" t="n">
        <f aca="false">VLOOKUP($A98,'[2]Sheet 1'!$A$2:$Q$3504,11,FALSE())</f>
        <v>0.1</v>
      </c>
      <c r="L98" s="0" t="n">
        <f aca="false">VLOOKUP($A98,'[2]Sheet 1'!$A$2:$Q$3504,12,FALSE())</f>
        <v>0</v>
      </c>
      <c r="M98" s="0" t="n">
        <f aca="false">VLOOKUP($A98,'[2]Sheet 1'!$A$2:$Q$3504,13,FALSE())</f>
        <v>998.5</v>
      </c>
      <c r="N98" s="0" t="n">
        <f aca="false">VLOOKUP($A98,'[2]Sheet 1'!$A$2:$Q$3504,14,FALSE())</f>
        <v>2.3</v>
      </c>
      <c r="O98" s="0" t="n">
        <f aca="false">VLOOKUP($A98,'[2]Sheet 1'!$A$2:$Q$3504,15,FALSE())</f>
        <v>0</v>
      </c>
      <c r="P98" s="0" t="n">
        <f aca="false">VLOOKUP($A98,'[2]Sheet 1'!$A$2:$Q$3504,16,FALSE())</f>
        <v>0</v>
      </c>
      <c r="Q98" s="0" t="n">
        <f aca="false">VLOOKUP($A98,'[2]Sheet 1'!$A$2:$Q$3504,17,FALSE())</f>
        <v>79.5</v>
      </c>
      <c r="S98" s="9"/>
    </row>
    <row r="99" customFormat="false" ht="14.25" hidden="false" customHeight="false" outlineLevel="0" collapsed="false">
      <c r="A99" s="9" t="n">
        <v>224</v>
      </c>
      <c r="B99" s="9" t="s">
        <v>265</v>
      </c>
      <c r="C99" s="9" t="n">
        <v>95</v>
      </c>
      <c r="D99" s="10" t="n">
        <f aca="false">VLOOKUP($A99,'[2]Sheet 1'!$A$2:$Q$3504,4,FALSE())</f>
        <v>154.5</v>
      </c>
      <c r="E99" s="0" t="n">
        <f aca="false">VLOOKUP($A99,'[2]Sheet 1'!$A$2:$Q$3504,5,FALSE())</f>
        <v>2.5460666745</v>
      </c>
      <c r="F99" s="0" t="n">
        <f aca="false">VLOOKUP($A99,'[2]Sheet 1'!$A$2:$Q$3504,6,FALSE())</f>
        <v>1.4</v>
      </c>
      <c r="G99" s="0" t="n">
        <f aca="false">VLOOKUP($A99,'[2]Sheet 1'!$A$2:$Q$3504,7,FALSE())</f>
        <v>0</v>
      </c>
      <c r="H99" s="0" t="n">
        <f aca="false">VLOOKUP($A99,'[2]Sheet 1'!$A$2:$Q$3504,8,FALSE())</f>
        <v>2</v>
      </c>
      <c r="I99" s="0" t="n">
        <f aca="false">VLOOKUP($A99,'[2]Sheet 1'!$A$2:$Q$3504,9,FALSE())</f>
        <v>51</v>
      </c>
      <c r="J99" s="0" t="n">
        <f aca="false">VLOOKUP($A99,'[2]Sheet 1'!$A$2:$Q$3504,10,FALSE())</f>
        <v>0</v>
      </c>
      <c r="K99" s="0" t="n">
        <f aca="false">VLOOKUP($A99,'[2]Sheet 1'!$A$2:$Q$3504,11,FALSE())</f>
        <v>0.0275</v>
      </c>
      <c r="L99" s="0" t="n">
        <f aca="false">VLOOKUP($A99,'[2]Sheet 1'!$A$2:$Q$3504,12,FALSE())</f>
        <v>0</v>
      </c>
      <c r="M99" s="0" t="n">
        <f aca="false">VLOOKUP($A99,'[2]Sheet 1'!$A$2:$Q$3504,13,FALSE())</f>
        <v>0</v>
      </c>
      <c r="N99" s="0" t="n">
        <f aca="false">VLOOKUP($A99,'[2]Sheet 1'!$A$2:$Q$3504,14,FALSE())</f>
        <v>0</v>
      </c>
      <c r="O99" s="0" t="n">
        <f aca="false">VLOOKUP($A99,'[2]Sheet 1'!$A$2:$Q$3504,15,FALSE())</f>
        <v>0</v>
      </c>
      <c r="P99" s="0" t="n">
        <f aca="false">VLOOKUP($A99,'[2]Sheet 1'!$A$2:$Q$3504,16,FALSE())</f>
        <v>0</v>
      </c>
      <c r="Q99" s="0" t="n">
        <f aca="false">VLOOKUP($A99,'[2]Sheet 1'!$A$2:$Q$3504,17,FALSE())</f>
        <v>1.0416666665</v>
      </c>
      <c r="S99" s="9"/>
    </row>
    <row r="100" customFormat="false" ht="14.25" hidden="false" customHeight="false" outlineLevel="0" collapsed="false">
      <c r="A100" s="9" t="n">
        <v>225</v>
      </c>
      <c r="B100" s="9" t="s">
        <v>267</v>
      </c>
      <c r="C100" s="9" t="n">
        <v>94.2</v>
      </c>
      <c r="D100" s="10" t="n">
        <f aca="false">VLOOKUP($A100,'[2]Sheet 1'!$A$2:$Q$3504,4,FALSE())</f>
        <v>588</v>
      </c>
      <c r="E100" s="0" t="n">
        <f aca="false">VLOOKUP($A100,'[2]Sheet 1'!$A$2:$Q$3504,5,FALSE())</f>
        <v>14.325</v>
      </c>
      <c r="F100" s="0" t="n">
        <f aca="false">VLOOKUP($A100,'[2]Sheet 1'!$A$2:$Q$3504,6,FALSE())</f>
        <v>7.65</v>
      </c>
      <c r="G100" s="0" t="n">
        <f aca="false">VLOOKUP($A100,'[2]Sheet 1'!$A$2:$Q$3504,7,FALSE())</f>
        <v>4.14</v>
      </c>
      <c r="H100" s="0" t="n">
        <f aca="false">VLOOKUP($A100,'[2]Sheet 1'!$A$2:$Q$3504,8,FALSE())</f>
        <v>4.4</v>
      </c>
      <c r="I100" s="0" t="n">
        <f aca="false">VLOOKUP($A100,'[2]Sheet 1'!$A$2:$Q$3504,9,FALSE())</f>
        <v>184</v>
      </c>
      <c r="J100" s="0" t="n">
        <f aca="false">VLOOKUP($A100,'[2]Sheet 1'!$A$2:$Q$3504,10,FALSE())</f>
        <v>113</v>
      </c>
      <c r="K100" s="0" t="n">
        <f aca="false">VLOOKUP($A100,'[2]Sheet 1'!$A$2:$Q$3504,11,FALSE())</f>
        <v>0.285</v>
      </c>
      <c r="L100" s="0" t="n">
        <f aca="false">VLOOKUP($A100,'[2]Sheet 1'!$A$2:$Q$3504,12,FALSE())</f>
        <v>45.6</v>
      </c>
      <c r="M100" s="0" t="n">
        <f aca="false">VLOOKUP($A100,'[2]Sheet 1'!$A$2:$Q$3504,13,FALSE())</f>
        <v>680</v>
      </c>
      <c r="N100" s="0" t="n">
        <f aca="false">VLOOKUP($A100,'[2]Sheet 1'!$A$2:$Q$3504,14,FALSE())</f>
        <v>15.03</v>
      </c>
      <c r="O100" s="0" t="n">
        <f aca="false">VLOOKUP($A100,'[2]Sheet 1'!$A$2:$Q$3504,15,FALSE())</f>
        <v>0</v>
      </c>
      <c r="P100" s="0" t="n">
        <f aca="false">VLOOKUP($A100,'[2]Sheet 1'!$A$2:$Q$3504,16,FALSE())</f>
        <v>14.2</v>
      </c>
      <c r="Q100" s="0" t="n">
        <f aca="false">VLOOKUP($A100,'[2]Sheet 1'!$A$2:$Q$3504,17,FALSE())</f>
        <v>8</v>
      </c>
      <c r="S100" s="9"/>
    </row>
    <row r="101" customFormat="false" ht="14.25" hidden="false" customHeight="false" outlineLevel="0" collapsed="false">
      <c r="A101" s="9" t="n">
        <v>226</v>
      </c>
      <c r="B101" s="9" t="s">
        <v>269</v>
      </c>
      <c r="C101" s="9" t="n">
        <v>95</v>
      </c>
      <c r="D101" s="10" t="e">
        <f aca="false">VLOOKUP($A101,'[2]Sheet 1'!$A$2:$Q$3504,4,FALSE())</f>
        <v>#N/A</v>
      </c>
      <c r="E101" s="0" t="e">
        <f aca="false">VLOOKUP($A101,'[2]Sheet 1'!$A$2:$Q$3504,5,FALSE())</f>
        <v>#N/A</v>
      </c>
      <c r="F101" s="0" t="e">
        <f aca="false">VLOOKUP($A101,'[2]Sheet 1'!$A$2:$Q$3504,6,FALSE())</f>
        <v>#N/A</v>
      </c>
      <c r="G101" s="0" t="e">
        <f aca="false">VLOOKUP($A101,'[2]Sheet 1'!$A$2:$Q$3504,7,FALSE())</f>
        <v>#N/A</v>
      </c>
      <c r="H101" s="0" t="e">
        <f aca="false">VLOOKUP($A101,'[2]Sheet 1'!$A$2:$Q$3504,8,FALSE())</f>
        <v>#N/A</v>
      </c>
      <c r="I101" s="0" t="e">
        <f aca="false">VLOOKUP($A101,'[2]Sheet 1'!$A$2:$Q$3504,9,FALSE())</f>
        <v>#N/A</v>
      </c>
      <c r="J101" s="0" t="e">
        <f aca="false">VLOOKUP($A101,'[2]Sheet 1'!$A$2:$Q$3504,10,FALSE())</f>
        <v>#N/A</v>
      </c>
      <c r="K101" s="0" t="e">
        <f aca="false">VLOOKUP($A101,'[2]Sheet 1'!$A$2:$Q$3504,11,FALSE())</f>
        <v>#N/A</v>
      </c>
      <c r="L101" s="0" t="e">
        <f aca="false">VLOOKUP($A101,'[2]Sheet 1'!$A$2:$Q$3504,12,FALSE())</f>
        <v>#N/A</v>
      </c>
      <c r="M101" s="0" t="e">
        <f aca="false">VLOOKUP($A101,'[2]Sheet 1'!$A$2:$Q$3504,13,FALSE())</f>
        <v>#N/A</v>
      </c>
      <c r="N101" s="0" t="e">
        <f aca="false">VLOOKUP($A101,'[2]Sheet 1'!$A$2:$Q$3504,14,FALSE())</f>
        <v>#N/A</v>
      </c>
      <c r="O101" s="0" t="e">
        <f aca="false">VLOOKUP($A101,'[2]Sheet 1'!$A$2:$Q$3504,15,FALSE())</f>
        <v>#N/A</v>
      </c>
      <c r="P101" s="0" t="e">
        <f aca="false">VLOOKUP($A101,'[2]Sheet 1'!$A$2:$Q$3504,16,FALSE())</f>
        <v>#N/A</v>
      </c>
      <c r="Q101" s="0" t="e">
        <f aca="false">VLOOKUP($A101,'[2]Sheet 1'!$A$2:$Q$3504,17,FALSE())</f>
        <v>#N/A</v>
      </c>
      <c r="S101" s="9"/>
    </row>
    <row r="102" customFormat="false" ht="14.25" hidden="false" customHeight="false" outlineLevel="0" collapsed="false">
      <c r="A102" s="9" t="n">
        <v>229</v>
      </c>
      <c r="B102" s="9" t="s">
        <v>271</v>
      </c>
      <c r="C102" s="9" t="n">
        <v>95</v>
      </c>
      <c r="D102" s="10" t="n">
        <f aca="false">VLOOKUP($A102,'[2]Sheet 1'!$A$2:$Q$3504,4,FALSE())</f>
        <v>653.5</v>
      </c>
      <c r="E102" s="0" t="n">
        <f aca="false">VLOOKUP($A102,'[2]Sheet 1'!$A$2:$Q$3504,5,FALSE())</f>
        <v>14.8</v>
      </c>
      <c r="F102" s="0" t="n">
        <f aca="false">VLOOKUP($A102,'[2]Sheet 1'!$A$2:$Q$3504,6,FALSE())</f>
        <v>7.5</v>
      </c>
      <c r="G102" s="0" t="n">
        <f aca="false">VLOOKUP($A102,'[2]Sheet 1'!$A$2:$Q$3504,7,FALSE())</f>
        <v>4.06</v>
      </c>
      <c r="H102" s="0" t="n">
        <f aca="false">VLOOKUP($A102,'[2]Sheet 1'!$A$2:$Q$3504,8,FALSE())</f>
        <v>2.265</v>
      </c>
      <c r="I102" s="0" t="n">
        <f aca="false">VLOOKUP($A102,'[2]Sheet 1'!$A$2:$Q$3504,9,FALSE())</f>
        <v>165</v>
      </c>
      <c r="J102" s="0" t="n">
        <f aca="false">VLOOKUP($A102,'[2]Sheet 1'!$A$2:$Q$3504,10,FALSE())</f>
        <v>22</v>
      </c>
      <c r="K102" s="0" t="n">
        <f aca="false">VLOOKUP($A102,'[2]Sheet 1'!$A$2:$Q$3504,11,FALSE())</f>
        <v>0.1</v>
      </c>
      <c r="L102" s="0" t="n">
        <f aca="false">VLOOKUP($A102,'[2]Sheet 1'!$A$2:$Q$3504,12,FALSE())</f>
        <v>28.8</v>
      </c>
      <c r="M102" s="0" t="n">
        <f aca="false">VLOOKUP($A102,'[2]Sheet 1'!$A$2:$Q$3504,13,FALSE())</f>
        <v>659</v>
      </c>
      <c r="N102" s="0" t="n">
        <f aca="false">VLOOKUP($A102,'[2]Sheet 1'!$A$2:$Q$3504,14,FALSE())</f>
        <v>5.65</v>
      </c>
      <c r="O102" s="0" t="n">
        <f aca="false">VLOOKUP($A102,'[2]Sheet 1'!$A$2:$Q$3504,15,FALSE())</f>
        <v>0</v>
      </c>
      <c r="P102" s="0" t="n">
        <f aca="false">VLOOKUP($A102,'[2]Sheet 1'!$A$2:$Q$3504,16,FALSE())</f>
        <v>0</v>
      </c>
      <c r="Q102" s="0" t="n">
        <f aca="false">VLOOKUP($A102,'[2]Sheet 1'!$A$2:$Q$3504,17,FALSE())</f>
        <v>0</v>
      </c>
      <c r="S102" s="9"/>
    </row>
    <row r="103" customFormat="false" ht="14.25" hidden="false" customHeight="false" outlineLevel="0" collapsed="false">
      <c r="A103" s="5" t="n">
        <v>230</v>
      </c>
      <c r="B103" s="5" t="s">
        <v>273</v>
      </c>
      <c r="C103" s="5" t="n">
        <v>95</v>
      </c>
      <c r="D103" s="0" t="n">
        <f aca="false">VLOOKUP($A103,'[2]Sheet 1'!$A$2:$Q$3504,4,FALSE())</f>
        <v>572</v>
      </c>
      <c r="E103" s="0" t="n">
        <f aca="false">VLOOKUP($A103,'[2]Sheet 1'!$A$2:$Q$3504,5,FALSE())</f>
        <v>18.22</v>
      </c>
      <c r="F103" s="0" t="n">
        <f aca="false">VLOOKUP($A103,'[2]Sheet 1'!$A$2:$Q$3504,6,FALSE())</f>
        <v>3.1</v>
      </c>
      <c r="G103" s="0" t="n">
        <f aca="false">VLOOKUP($A103,'[2]Sheet 1'!$A$2:$Q$3504,7,FALSE())</f>
        <v>5.185</v>
      </c>
      <c r="H103" s="0" t="n">
        <f aca="false">VLOOKUP($A103,'[2]Sheet 1'!$A$2:$Q$3504,8,FALSE())</f>
        <v>6</v>
      </c>
      <c r="I103" s="0" t="n">
        <f aca="false">VLOOKUP($A103,'[2]Sheet 1'!$A$2:$Q$3504,9,FALSE())</f>
        <v>38</v>
      </c>
      <c r="J103" s="0" t="n">
        <f aca="false">VLOOKUP($A103,'[2]Sheet 1'!$A$2:$Q$3504,10,FALSE())</f>
        <v>35.5</v>
      </c>
      <c r="K103" s="0" t="n">
        <f aca="false">VLOOKUP($A103,'[2]Sheet 1'!$A$2:$Q$3504,11,FALSE())</f>
        <v>0.18</v>
      </c>
      <c r="L103" s="0" t="n">
        <f aca="false">VLOOKUP($A103,'[2]Sheet 1'!$A$2:$Q$3504,12,FALSE())</f>
        <v>0</v>
      </c>
      <c r="M103" s="0" t="n">
        <f aca="false">VLOOKUP($A103,'[2]Sheet 1'!$A$2:$Q$3504,13,FALSE())</f>
        <v>650.5</v>
      </c>
      <c r="N103" s="0" t="n">
        <f aca="false">VLOOKUP($A103,'[2]Sheet 1'!$A$2:$Q$3504,14,FALSE())</f>
        <v>0.9</v>
      </c>
      <c r="O103" s="0" t="n">
        <f aca="false">VLOOKUP($A103,'[2]Sheet 1'!$A$2:$Q$3504,15,FALSE())</f>
        <v>0</v>
      </c>
      <c r="P103" s="0" t="n">
        <f aca="false">VLOOKUP($A103,'[2]Sheet 1'!$A$2:$Q$3504,16,FALSE())</f>
        <v>34.1</v>
      </c>
      <c r="Q103" s="0" t="n">
        <f aca="false">VLOOKUP($A103,'[2]Sheet 1'!$A$2:$Q$3504,17,FALSE())</f>
        <v>4</v>
      </c>
      <c r="S103" s="5"/>
    </row>
    <row r="104" customFormat="false" ht="14.25" hidden="false" customHeight="false" outlineLevel="0" collapsed="false">
      <c r="A104" s="5" t="n">
        <v>231</v>
      </c>
      <c r="B104" s="5" t="s">
        <v>275</v>
      </c>
      <c r="C104" s="5" t="n">
        <v>96</v>
      </c>
      <c r="D104" s="0" t="n">
        <f aca="false">VLOOKUP($A104,'[2]Sheet 1'!$A$2:$Q$3504,4,FALSE())</f>
        <v>592</v>
      </c>
      <c r="E104" s="0" t="n">
        <f aca="false">VLOOKUP($A104,'[2]Sheet 1'!$A$2:$Q$3504,5,FALSE())</f>
        <v>21.825</v>
      </c>
      <c r="F104" s="0" t="n">
        <f aca="false">VLOOKUP($A104,'[2]Sheet 1'!$A$2:$Q$3504,6,FALSE())</f>
        <v>7.25</v>
      </c>
      <c r="G104" s="0" t="n">
        <f aca="false">VLOOKUP($A104,'[2]Sheet 1'!$A$2:$Q$3504,7,FALSE())</f>
        <v>3.59</v>
      </c>
      <c r="H104" s="0" t="n">
        <f aca="false">VLOOKUP($A104,'[2]Sheet 1'!$A$2:$Q$3504,8,FALSE())</f>
        <v>3.055</v>
      </c>
      <c r="I104" s="0" t="n">
        <f aca="false">VLOOKUP($A104,'[2]Sheet 1'!$A$2:$Q$3504,9,FALSE())</f>
        <v>247</v>
      </c>
      <c r="J104" s="0" t="n">
        <f aca="false">VLOOKUP($A104,'[2]Sheet 1'!$A$2:$Q$3504,10,FALSE())</f>
        <v>44</v>
      </c>
      <c r="K104" s="0" t="n">
        <f aca="false">VLOOKUP($A104,'[2]Sheet 1'!$A$2:$Q$3504,11,FALSE())</f>
        <v>0.56</v>
      </c>
      <c r="L104" s="0" t="n">
        <f aca="false">VLOOKUP($A104,'[2]Sheet 1'!$A$2:$Q$3504,12,FALSE())</f>
        <v>52.1</v>
      </c>
      <c r="M104" s="0" t="n">
        <f aca="false">VLOOKUP($A104,'[2]Sheet 1'!$A$2:$Q$3504,13,FALSE())</f>
        <v>773</v>
      </c>
      <c r="N104" s="0" t="n">
        <f aca="false">VLOOKUP($A104,'[2]Sheet 1'!$A$2:$Q$3504,14,FALSE())</f>
        <v>25.63</v>
      </c>
      <c r="O104" s="0" t="n">
        <f aca="false">VLOOKUP($A104,'[2]Sheet 1'!$A$2:$Q$3504,15,FALSE())</f>
        <v>0</v>
      </c>
      <c r="P104" s="0" t="n">
        <f aca="false">VLOOKUP($A104,'[2]Sheet 1'!$A$2:$Q$3504,16,FALSE())</f>
        <v>0</v>
      </c>
      <c r="Q104" s="0" t="n">
        <f aca="false">VLOOKUP($A104,'[2]Sheet 1'!$A$2:$Q$3504,17,FALSE())</f>
        <v>0</v>
      </c>
      <c r="S104" s="5"/>
    </row>
    <row r="105" customFormat="false" ht="14.25" hidden="false" customHeight="false" outlineLevel="0" collapsed="false">
      <c r="A105" s="5" t="n">
        <v>232</v>
      </c>
      <c r="B105" s="5" t="s">
        <v>276</v>
      </c>
      <c r="C105" s="5" t="n">
        <v>96</v>
      </c>
      <c r="D105" s="0" t="n">
        <f aca="false">VLOOKUP($A105,'[2]Sheet 1'!$A$2:$Q$3504,4,FALSE())</f>
        <v>646</v>
      </c>
      <c r="E105" s="0" t="n">
        <f aca="false">VLOOKUP($A105,'[2]Sheet 1'!$A$2:$Q$3504,5,FALSE())</f>
        <v>15.23</v>
      </c>
      <c r="F105" s="0" t="n">
        <f aca="false">VLOOKUP($A105,'[2]Sheet 1'!$A$2:$Q$3504,6,FALSE())</f>
        <v>6.7</v>
      </c>
      <c r="G105" s="0" t="n">
        <f aca="false">VLOOKUP($A105,'[2]Sheet 1'!$A$2:$Q$3504,7,FALSE())</f>
        <v>3.09</v>
      </c>
      <c r="H105" s="0" t="n">
        <f aca="false">VLOOKUP($A105,'[2]Sheet 1'!$A$2:$Q$3504,8,FALSE())</f>
        <v>2.955</v>
      </c>
      <c r="I105" s="0" t="n">
        <f aca="false">VLOOKUP($A105,'[2]Sheet 1'!$A$2:$Q$3504,9,FALSE())</f>
        <v>91</v>
      </c>
      <c r="J105" s="0" t="n">
        <f aca="false">VLOOKUP($A105,'[2]Sheet 1'!$A$2:$Q$3504,10,FALSE())</f>
        <v>64.5</v>
      </c>
      <c r="K105" s="0" t="n">
        <f aca="false">VLOOKUP($A105,'[2]Sheet 1'!$A$2:$Q$3504,11,FALSE())</f>
        <v>0.14</v>
      </c>
      <c r="L105" s="0" t="n">
        <f aca="false">VLOOKUP($A105,'[2]Sheet 1'!$A$2:$Q$3504,12,FALSE())</f>
        <v>35.65</v>
      </c>
      <c r="M105" s="0" t="n">
        <f aca="false">VLOOKUP($A105,'[2]Sheet 1'!$A$2:$Q$3504,13,FALSE())</f>
        <v>486.5</v>
      </c>
      <c r="N105" s="0" t="n">
        <f aca="false">VLOOKUP($A105,'[2]Sheet 1'!$A$2:$Q$3504,14,FALSE())</f>
        <v>0.7</v>
      </c>
      <c r="O105" s="0" t="n">
        <f aca="false">VLOOKUP($A105,'[2]Sheet 1'!$A$2:$Q$3504,15,FALSE())</f>
        <v>0</v>
      </c>
      <c r="P105" s="0" t="n">
        <f aca="false">VLOOKUP($A105,'[2]Sheet 1'!$A$2:$Q$3504,16,FALSE())</f>
        <v>2.7</v>
      </c>
      <c r="Q105" s="0" t="n">
        <f aca="false">VLOOKUP($A105,'[2]Sheet 1'!$A$2:$Q$3504,17,FALSE())</f>
        <v>4.3</v>
      </c>
      <c r="S105" s="5"/>
    </row>
    <row r="106" customFormat="false" ht="14.25" hidden="false" customHeight="false" outlineLevel="0" collapsed="false">
      <c r="A106" s="5" t="n">
        <v>233</v>
      </c>
      <c r="B106" s="5" t="s">
        <v>278</v>
      </c>
      <c r="C106" s="5" t="n">
        <v>94</v>
      </c>
      <c r="D106" s="0" t="n">
        <f aca="false">VLOOKUP($A106,'[2]Sheet 1'!$A$2:$Q$3504,4,FALSE())</f>
        <v>588</v>
      </c>
      <c r="E106" s="0" t="n">
        <f aca="false">VLOOKUP($A106,'[2]Sheet 1'!$A$2:$Q$3504,5,FALSE())</f>
        <v>14.325</v>
      </c>
      <c r="F106" s="0" t="n">
        <f aca="false">VLOOKUP($A106,'[2]Sheet 1'!$A$2:$Q$3504,6,FALSE())</f>
        <v>7.65</v>
      </c>
      <c r="G106" s="0" t="n">
        <f aca="false">VLOOKUP($A106,'[2]Sheet 1'!$A$2:$Q$3504,7,FALSE())</f>
        <v>4.14</v>
      </c>
      <c r="H106" s="0" t="n">
        <f aca="false">VLOOKUP($A106,'[2]Sheet 1'!$A$2:$Q$3504,8,FALSE())</f>
        <v>4.4</v>
      </c>
      <c r="I106" s="0" t="n">
        <f aca="false">VLOOKUP($A106,'[2]Sheet 1'!$A$2:$Q$3504,9,FALSE())</f>
        <v>184</v>
      </c>
      <c r="J106" s="0" t="n">
        <f aca="false">VLOOKUP($A106,'[2]Sheet 1'!$A$2:$Q$3504,10,FALSE())</f>
        <v>113</v>
      </c>
      <c r="K106" s="0" t="n">
        <f aca="false">VLOOKUP($A106,'[2]Sheet 1'!$A$2:$Q$3504,11,FALSE())</f>
        <v>0.285</v>
      </c>
      <c r="L106" s="0" t="n">
        <f aca="false">VLOOKUP($A106,'[2]Sheet 1'!$A$2:$Q$3504,12,FALSE())</f>
        <v>45.6</v>
      </c>
      <c r="M106" s="0" t="n">
        <f aca="false">VLOOKUP($A106,'[2]Sheet 1'!$A$2:$Q$3504,13,FALSE())</f>
        <v>680</v>
      </c>
      <c r="N106" s="0" t="n">
        <f aca="false">VLOOKUP($A106,'[2]Sheet 1'!$A$2:$Q$3504,14,FALSE())</f>
        <v>15.03</v>
      </c>
      <c r="O106" s="0" t="n">
        <f aca="false">VLOOKUP($A106,'[2]Sheet 1'!$A$2:$Q$3504,15,FALSE())</f>
        <v>0</v>
      </c>
      <c r="P106" s="0" t="n">
        <f aca="false">VLOOKUP($A106,'[2]Sheet 1'!$A$2:$Q$3504,16,FALSE())</f>
        <v>14.2</v>
      </c>
      <c r="Q106" s="0" t="n">
        <f aca="false">VLOOKUP($A106,'[2]Sheet 1'!$A$2:$Q$3504,17,FALSE())</f>
        <v>8</v>
      </c>
      <c r="S106" s="5"/>
    </row>
    <row r="107" customFormat="false" ht="14.25" hidden="false" customHeight="false" outlineLevel="0" collapsed="false">
      <c r="A107" s="5" t="n">
        <v>234</v>
      </c>
      <c r="B107" s="5" t="s">
        <v>1223</v>
      </c>
      <c r="C107" s="5" t="n">
        <v>95</v>
      </c>
      <c r="D107" s="0" t="n">
        <f aca="false">VLOOKUP($A107,'[2]Sheet 1'!$A$2:$Q$3504,4,FALSE())</f>
        <v>596</v>
      </c>
      <c r="E107" s="0" t="n">
        <f aca="false">VLOOKUP($A107,'[2]Sheet 1'!$A$2:$Q$3504,5,FALSE())</f>
        <v>13.4</v>
      </c>
      <c r="F107" s="0" t="n">
        <f aca="false">VLOOKUP($A107,'[2]Sheet 1'!$A$2:$Q$3504,6,FALSE())</f>
        <v>2.7</v>
      </c>
      <c r="G107" s="0" t="n">
        <f aca="false">VLOOKUP($A107,'[2]Sheet 1'!$A$2:$Q$3504,7,FALSE())</f>
        <v>3.75</v>
      </c>
      <c r="H107" s="0" t="n">
        <f aca="false">VLOOKUP($A107,'[2]Sheet 1'!$A$2:$Q$3504,8,FALSE())</f>
        <v>3.61</v>
      </c>
      <c r="I107" s="0" t="n">
        <f aca="false">VLOOKUP($A107,'[2]Sheet 1'!$A$2:$Q$3504,9,FALSE())</f>
        <v>111</v>
      </c>
      <c r="J107" s="0" t="n">
        <f aca="false">VLOOKUP($A107,'[2]Sheet 1'!$A$2:$Q$3504,10,FALSE())</f>
        <v>28</v>
      </c>
      <c r="K107" s="0" t="n">
        <f aca="false">VLOOKUP($A107,'[2]Sheet 1'!$A$2:$Q$3504,11,FALSE())</f>
        <v>0.12</v>
      </c>
      <c r="L107" s="0" t="n">
        <f aca="false">VLOOKUP($A107,'[2]Sheet 1'!$A$2:$Q$3504,12,FALSE())</f>
        <v>48.15</v>
      </c>
      <c r="M107" s="0" t="n">
        <f aca="false">VLOOKUP($A107,'[2]Sheet 1'!$A$2:$Q$3504,13,FALSE())</f>
        <v>458.5</v>
      </c>
      <c r="N107" s="0" t="n">
        <f aca="false">VLOOKUP($A107,'[2]Sheet 1'!$A$2:$Q$3504,14,FALSE())</f>
        <v>1.4</v>
      </c>
      <c r="O107" s="0" t="n">
        <f aca="false">VLOOKUP($A107,'[2]Sheet 1'!$A$2:$Q$3504,15,FALSE())</f>
        <v>0</v>
      </c>
      <c r="P107" s="0" t="n">
        <f aca="false">VLOOKUP($A107,'[2]Sheet 1'!$A$2:$Q$3504,16,FALSE())</f>
        <v>3.5</v>
      </c>
      <c r="Q107" s="0" t="n">
        <f aca="false">VLOOKUP($A107,'[2]Sheet 1'!$A$2:$Q$3504,17,FALSE())</f>
        <v>2</v>
      </c>
      <c r="S107" s="5"/>
    </row>
    <row r="108" customFormat="false" ht="14.25" hidden="false" customHeight="false" outlineLevel="0" collapsed="false">
      <c r="A108" s="5" t="n">
        <v>235</v>
      </c>
      <c r="B108" s="5" t="s">
        <v>284</v>
      </c>
      <c r="C108" s="5" t="n">
        <v>95</v>
      </c>
      <c r="D108" s="0" t="n">
        <f aca="false">VLOOKUP($A108,'[2]Sheet 1'!$A$2:$Q$3504,4,FALSE())</f>
        <v>592</v>
      </c>
      <c r="E108" s="0" t="n">
        <f aca="false">VLOOKUP($A108,'[2]Sheet 1'!$A$2:$Q$3504,5,FALSE())</f>
        <v>15.17</v>
      </c>
      <c r="F108" s="0" t="n">
        <f aca="false">VLOOKUP($A108,'[2]Sheet 1'!$A$2:$Q$3504,6,FALSE())</f>
        <v>9.4</v>
      </c>
      <c r="G108" s="0" t="n">
        <f aca="false">VLOOKUP($A108,'[2]Sheet 1'!$A$2:$Q$3504,7,FALSE())</f>
        <v>3.02</v>
      </c>
      <c r="H108" s="0" t="n">
        <f aca="false">VLOOKUP($A108,'[2]Sheet 1'!$A$2:$Q$3504,8,FALSE())</f>
        <v>3.04</v>
      </c>
      <c r="I108" s="0" t="n">
        <f aca="false">VLOOKUP($A108,'[2]Sheet 1'!$A$2:$Q$3504,9,FALSE())</f>
        <v>70</v>
      </c>
      <c r="J108" s="0" t="n">
        <f aca="false">VLOOKUP($A108,'[2]Sheet 1'!$A$2:$Q$3504,10,FALSE())</f>
        <v>52</v>
      </c>
      <c r="K108" s="0" t="n">
        <f aca="false">VLOOKUP($A108,'[2]Sheet 1'!$A$2:$Q$3504,11,FALSE())</f>
        <v>0.187</v>
      </c>
      <c r="L108" s="0" t="n">
        <f aca="false">VLOOKUP($A108,'[2]Sheet 1'!$A$2:$Q$3504,12,FALSE())</f>
        <v>52.1</v>
      </c>
      <c r="M108" s="0" t="n">
        <f aca="false">VLOOKUP($A108,'[2]Sheet 1'!$A$2:$Q$3504,13,FALSE())</f>
        <v>594.5</v>
      </c>
      <c r="N108" s="0" t="n">
        <f aca="false">VLOOKUP($A108,'[2]Sheet 1'!$A$2:$Q$3504,14,FALSE())</f>
        <v>0.92</v>
      </c>
      <c r="O108" s="0" t="n">
        <f aca="false">VLOOKUP($A108,'[2]Sheet 1'!$A$2:$Q$3504,15,FALSE())</f>
        <v>0</v>
      </c>
      <c r="P108" s="0" t="n">
        <f aca="false">VLOOKUP($A108,'[2]Sheet 1'!$A$2:$Q$3504,16,FALSE())</f>
        <v>34.7</v>
      </c>
      <c r="Q108" s="0" t="n">
        <f aca="false">VLOOKUP($A108,'[2]Sheet 1'!$A$2:$Q$3504,17,FALSE())</f>
        <v>1</v>
      </c>
      <c r="S108" s="5"/>
    </row>
    <row r="109" customFormat="false" ht="14.25" hidden="false" customHeight="false" outlineLevel="0" collapsed="false">
      <c r="A109" s="5" t="n">
        <v>236</v>
      </c>
      <c r="B109" s="5" t="s">
        <v>288</v>
      </c>
      <c r="C109" s="5" t="n">
        <v>90</v>
      </c>
      <c r="D109" s="0" t="n">
        <f aca="false">VLOOKUP($A109,'[2]Sheet 1'!$A$2:$Q$3504,4,FALSE())</f>
        <v>401</v>
      </c>
      <c r="E109" s="0" t="n">
        <f aca="false">VLOOKUP($A109,'[2]Sheet 1'!$A$2:$Q$3504,5,FALSE())</f>
        <v>34.6</v>
      </c>
      <c r="F109" s="0" t="n">
        <f aca="false">VLOOKUP($A109,'[2]Sheet 1'!$A$2:$Q$3504,6,FALSE())</f>
        <v>9.3</v>
      </c>
      <c r="G109" s="0" t="n">
        <f aca="false">VLOOKUP($A109,'[2]Sheet 1'!$A$2:$Q$3504,7,FALSE())</f>
        <v>4.09</v>
      </c>
      <c r="H109" s="0" t="n">
        <f aca="false">VLOOKUP($A109,'[2]Sheet 1'!$A$2:$Q$3504,8,FALSE())</f>
        <v>8.25</v>
      </c>
      <c r="I109" s="0" t="n">
        <f aca="false">VLOOKUP($A109,'[2]Sheet 1'!$A$2:$Q$3504,9,FALSE())</f>
        <v>226</v>
      </c>
      <c r="J109" s="0" t="n">
        <f aca="false">VLOOKUP($A109,'[2]Sheet 1'!$A$2:$Q$3504,10,FALSE())</f>
        <v>375</v>
      </c>
      <c r="K109" s="0" t="n">
        <f aca="false">VLOOKUP($A109,'[2]Sheet 1'!$A$2:$Q$3504,11,FALSE())</f>
        <v>0.2725</v>
      </c>
      <c r="L109" s="0" t="n">
        <f aca="false">VLOOKUP($A109,'[2]Sheet 1'!$A$2:$Q$3504,12,FALSE())</f>
        <v>115.9</v>
      </c>
      <c r="M109" s="0" t="n">
        <f aca="false">VLOOKUP($A109,'[2]Sheet 1'!$A$2:$Q$3504,13,FALSE())</f>
        <v>1770</v>
      </c>
      <c r="N109" s="0" t="n">
        <f aca="false">VLOOKUP($A109,'[2]Sheet 1'!$A$2:$Q$3504,14,FALSE())</f>
        <v>0.274670570086443</v>
      </c>
      <c r="O109" s="0" t="n">
        <f aca="false">VLOOKUP($A109,'[2]Sheet 1'!$A$2:$Q$3504,15,FALSE())</f>
        <v>0</v>
      </c>
      <c r="P109" s="0" t="n">
        <f aca="false">VLOOKUP($A109,'[2]Sheet 1'!$A$2:$Q$3504,16,FALSE())</f>
        <v>15.0676427018849</v>
      </c>
      <c r="Q109" s="0" t="n">
        <f aca="false">VLOOKUP($A109,'[2]Sheet 1'!$A$2:$Q$3504,17,FALSE())</f>
        <v>4.7916666665</v>
      </c>
      <c r="S109" s="5"/>
    </row>
    <row r="110" customFormat="false" ht="14.25" hidden="false" customHeight="false" outlineLevel="0" collapsed="false">
      <c r="A110" s="5" t="n">
        <v>237</v>
      </c>
      <c r="B110" s="5" t="s">
        <v>291</v>
      </c>
      <c r="C110" s="5" t="n">
        <v>100</v>
      </c>
      <c r="D110" s="0" t="n">
        <f aca="false">VLOOKUP($A110,'[2]Sheet 1'!$A$2:$Q$3504,4,FALSE())</f>
        <v>900</v>
      </c>
      <c r="E110" s="0" t="n">
        <f aca="false">VLOOKUP($A110,'[2]Sheet 1'!$A$2:$Q$3504,5,FALSE())</f>
        <v>0</v>
      </c>
      <c r="F110" s="0" t="n">
        <f aca="false">VLOOKUP($A110,'[2]Sheet 1'!$A$2:$Q$3504,6,FALSE())</f>
        <v>0</v>
      </c>
      <c r="G110" s="0" t="n">
        <f aca="false">VLOOKUP($A110,'[2]Sheet 1'!$A$2:$Q$3504,7,FALSE())</f>
        <v>0.01</v>
      </c>
      <c r="H110" s="0" t="n">
        <f aca="false">VLOOKUP($A110,'[2]Sheet 1'!$A$2:$Q$3504,8,FALSE())</f>
        <v>0.05</v>
      </c>
      <c r="I110" s="0" t="n">
        <f aca="false">VLOOKUP($A110,'[2]Sheet 1'!$A$2:$Q$3504,9,FALSE())</f>
        <v>0</v>
      </c>
      <c r="J110" s="0" t="n">
        <f aca="false">VLOOKUP($A110,'[2]Sheet 1'!$A$2:$Q$3504,10,FALSE())</f>
        <v>0</v>
      </c>
      <c r="K110" s="0" t="n">
        <f aca="false">VLOOKUP($A110,'[2]Sheet 1'!$A$2:$Q$3504,11,FALSE())</f>
        <v>0</v>
      </c>
      <c r="L110" s="0" t="n">
        <f aca="false">VLOOKUP($A110,'[2]Sheet 1'!$A$2:$Q$3504,12,FALSE())</f>
        <v>0.2</v>
      </c>
      <c r="M110" s="0" t="n">
        <f aca="false">VLOOKUP($A110,'[2]Sheet 1'!$A$2:$Q$3504,13,FALSE())</f>
        <v>0</v>
      </c>
      <c r="N110" s="0" t="n">
        <f aca="false">VLOOKUP($A110,'[2]Sheet 1'!$A$2:$Q$3504,14,FALSE())</f>
        <v>8.18</v>
      </c>
      <c r="O110" s="0" t="n">
        <f aca="false">VLOOKUP($A110,'[2]Sheet 1'!$A$2:$Q$3504,15,FALSE())</f>
        <v>0</v>
      </c>
      <c r="P110" s="0" t="n">
        <f aca="false">VLOOKUP($A110,'[2]Sheet 1'!$A$2:$Q$3504,16,FALSE())</f>
        <v>183.9</v>
      </c>
      <c r="Q110" s="0" t="n">
        <f aca="false">VLOOKUP($A110,'[2]Sheet 1'!$A$2:$Q$3504,17,FALSE())</f>
        <v>0</v>
      </c>
      <c r="S110" s="5"/>
    </row>
    <row r="111" customFormat="false" ht="14.25" hidden="false" customHeight="false" outlineLevel="0" collapsed="false">
      <c r="A111" s="5" t="n">
        <v>238</v>
      </c>
      <c r="B111" s="5" t="s">
        <v>294</v>
      </c>
      <c r="C111" s="5" t="n">
        <v>90</v>
      </c>
      <c r="D111" s="0" t="n">
        <f aca="false">VLOOKUP($A111,'[2]Sheet 1'!$A$2:$Q$3504,4,FALSE())</f>
        <v>339</v>
      </c>
      <c r="E111" s="0" t="n">
        <f aca="false">VLOOKUP($A111,'[2]Sheet 1'!$A$2:$Q$3504,5,FALSE())</f>
        <v>44.95</v>
      </c>
      <c r="F111" s="0" t="n">
        <f aca="false">VLOOKUP($A111,'[2]Sheet 1'!$A$2:$Q$3504,6,FALSE())</f>
        <v>0</v>
      </c>
      <c r="G111" s="0" t="n">
        <f aca="false">VLOOKUP($A111,'[2]Sheet 1'!$A$2:$Q$3504,7,FALSE())</f>
        <v>5.06</v>
      </c>
      <c r="H111" s="0" t="n">
        <f aca="false">VLOOKUP($A111,'[2]Sheet 1'!$A$2:$Q$3504,8,FALSE())</f>
        <v>13.7</v>
      </c>
      <c r="I111" s="0" t="n">
        <f aca="false">VLOOKUP($A111,'[2]Sheet 1'!$A$2:$Q$3504,9,FALSE())</f>
        <v>244</v>
      </c>
      <c r="J111" s="0" t="n">
        <f aca="false">VLOOKUP($A111,'[2]Sheet 1'!$A$2:$Q$3504,10,FALSE())</f>
        <v>303</v>
      </c>
      <c r="K111" s="0" t="n">
        <f aca="false">VLOOKUP($A111,'[2]Sheet 1'!$A$2:$Q$3504,11,FALSE())</f>
        <v>0.251</v>
      </c>
      <c r="L111" s="0" t="n">
        <f aca="false">VLOOKUP($A111,'[2]Sheet 1'!$A$2:$Q$3504,12,FALSE())</f>
        <v>0</v>
      </c>
      <c r="M111" s="0" t="n">
        <f aca="false">VLOOKUP($A111,'[2]Sheet 1'!$A$2:$Q$3504,13,FALSE())</f>
        <v>2490</v>
      </c>
      <c r="N111" s="0" t="n">
        <f aca="false">VLOOKUP($A111,'[2]Sheet 1'!$A$2:$Q$3504,14,FALSE())</f>
        <v>0</v>
      </c>
      <c r="O111" s="0" t="n">
        <f aca="false">VLOOKUP($A111,'[2]Sheet 1'!$A$2:$Q$3504,15,FALSE())</f>
        <v>0</v>
      </c>
      <c r="P111" s="0" t="n">
        <f aca="false">VLOOKUP($A111,'[2]Sheet 1'!$A$2:$Q$3504,16,FALSE())</f>
        <v>0</v>
      </c>
      <c r="Q111" s="0" t="n">
        <f aca="false">VLOOKUP($A111,'[2]Sheet 1'!$A$2:$Q$3504,17,FALSE())</f>
        <v>2</v>
      </c>
      <c r="S111" s="5"/>
    </row>
    <row r="112" customFormat="false" ht="14.25" hidden="false" customHeight="false" outlineLevel="0" collapsed="false">
      <c r="A112" s="5" t="n">
        <v>239</v>
      </c>
      <c r="B112" s="5" t="s">
        <v>296</v>
      </c>
      <c r="C112" s="5" t="n">
        <v>37</v>
      </c>
      <c r="D112" s="0" t="n">
        <f aca="false">VLOOKUP($A112,'[2]Sheet 1'!$A$2:$Q$3504,4,FALSE())</f>
        <v>60</v>
      </c>
      <c r="E112" s="0" t="n">
        <f aca="false">VLOOKUP($A112,'[2]Sheet 1'!$A$2:$Q$3504,5,FALSE())</f>
        <v>10.51</v>
      </c>
      <c r="F112" s="0" t="n">
        <f aca="false">VLOOKUP($A112,'[2]Sheet 1'!$A$2:$Q$3504,6,FALSE())</f>
        <v>0.8</v>
      </c>
      <c r="G112" s="0" t="n">
        <f aca="false">VLOOKUP($A112,'[2]Sheet 1'!$A$2:$Q$3504,7,FALSE())</f>
        <v>0.43</v>
      </c>
      <c r="H112" s="0" t="n">
        <f aca="false">VLOOKUP($A112,'[2]Sheet 1'!$A$2:$Q$3504,8,FALSE())</f>
        <v>2.38</v>
      </c>
      <c r="I112" s="0" t="n">
        <f aca="false">VLOOKUP($A112,'[2]Sheet 1'!$A$2:$Q$3504,9,FALSE())</f>
        <v>20</v>
      </c>
      <c r="J112" s="0" t="n">
        <f aca="false">VLOOKUP($A112,'[2]Sheet 1'!$A$2:$Q$3504,10,FALSE())</f>
        <v>18</v>
      </c>
      <c r="K112" s="0" t="n">
        <f aca="false">VLOOKUP($A112,'[2]Sheet 1'!$A$2:$Q$3504,11,FALSE())</f>
        <v>0.152</v>
      </c>
      <c r="L112" s="0" t="n">
        <f aca="false">VLOOKUP($A112,'[2]Sheet 1'!$A$2:$Q$3504,12,FALSE())</f>
        <v>38.4</v>
      </c>
      <c r="M112" s="0" t="n">
        <f aca="false">VLOOKUP($A112,'[2]Sheet 1'!$A$2:$Q$3504,13,FALSE())</f>
        <v>212</v>
      </c>
      <c r="N112" s="0" t="n">
        <f aca="false">VLOOKUP($A112,'[2]Sheet 1'!$A$2:$Q$3504,14,FALSE())</f>
        <v>0</v>
      </c>
      <c r="O112" s="0" t="n">
        <f aca="false">VLOOKUP($A112,'[2]Sheet 1'!$A$2:$Q$3504,15,FALSE())</f>
        <v>0</v>
      </c>
      <c r="P112" s="0" t="n">
        <f aca="false">VLOOKUP($A112,'[2]Sheet 1'!$A$2:$Q$3504,16,FALSE())</f>
        <v>0</v>
      </c>
      <c r="Q112" s="0" t="n">
        <f aca="false">VLOOKUP($A112,'[2]Sheet 1'!$A$2:$Q$3504,17,FALSE())</f>
        <v>0</v>
      </c>
      <c r="S112" s="5"/>
    </row>
    <row r="113" customFormat="false" ht="14.25" hidden="false" customHeight="false" outlineLevel="0" collapsed="false">
      <c r="A113" s="5" t="n">
        <v>240</v>
      </c>
      <c r="B113" s="5" t="s">
        <v>298</v>
      </c>
      <c r="C113" s="5" t="n">
        <v>37</v>
      </c>
      <c r="D113" s="0" t="n">
        <f aca="false">VLOOKUP($A113,'[2]Sheet 1'!$A$2:$Q$3504,4,FALSE())</f>
        <v>441</v>
      </c>
      <c r="E113" s="0" t="n">
        <f aca="false">VLOOKUP($A113,'[2]Sheet 1'!$A$2:$Q$3504,5,FALSE())</f>
        <v>34.8</v>
      </c>
      <c r="F113" s="0" t="n">
        <f aca="false">VLOOKUP($A113,'[2]Sheet 1'!$A$2:$Q$3504,6,FALSE())</f>
        <v>9.7</v>
      </c>
      <c r="G113" s="0" t="n">
        <f aca="false">VLOOKUP($A113,'[2]Sheet 1'!$A$2:$Q$3504,7,FALSE())</f>
        <v>3.58</v>
      </c>
      <c r="H113" s="0" t="n">
        <f aca="false">VLOOKUP($A113,'[2]Sheet 1'!$A$2:$Q$3504,8,FALSE())</f>
        <v>5.82</v>
      </c>
      <c r="I113" s="0" t="n">
        <f aca="false">VLOOKUP($A113,'[2]Sheet 1'!$A$2:$Q$3504,9,FALSE())</f>
        <v>188</v>
      </c>
      <c r="J113" s="0" t="n">
        <f aca="false">VLOOKUP($A113,'[2]Sheet 1'!$A$2:$Q$3504,10,FALSE())</f>
        <v>227</v>
      </c>
      <c r="K113" s="0" t="n">
        <f aca="false">VLOOKUP($A113,'[2]Sheet 1'!$A$2:$Q$3504,11,FALSE())</f>
        <v>0.941</v>
      </c>
      <c r="L113" s="0" t="n">
        <f aca="false">VLOOKUP($A113,'[2]Sheet 1'!$A$2:$Q$3504,12,FALSE())</f>
        <v>0</v>
      </c>
      <c r="M113" s="0" t="n">
        <f aca="false">VLOOKUP($A113,'[2]Sheet 1'!$A$2:$Q$3504,13,FALSE())</f>
        <v>2041</v>
      </c>
      <c r="N113" s="0" t="n">
        <f aca="false">VLOOKUP($A113,'[2]Sheet 1'!$A$2:$Q$3504,14,FALSE())</f>
        <v>1.98</v>
      </c>
      <c r="O113" s="0" t="n">
        <f aca="false">VLOOKUP($A113,'[2]Sheet 1'!$A$2:$Q$3504,15,FALSE())</f>
        <v>0</v>
      </c>
      <c r="P113" s="0" t="n">
        <f aca="false">VLOOKUP($A113,'[2]Sheet 1'!$A$2:$Q$3504,16,FALSE())</f>
        <v>71</v>
      </c>
      <c r="Q113" s="0" t="n">
        <f aca="false">VLOOKUP($A113,'[2]Sheet 1'!$A$2:$Q$3504,17,FALSE())</f>
        <v>6</v>
      </c>
      <c r="S113" s="5"/>
    </row>
    <row r="114" customFormat="false" ht="14.25" hidden="false" customHeight="false" outlineLevel="0" collapsed="false">
      <c r="A114" s="9" t="n">
        <v>242</v>
      </c>
      <c r="B114" s="9" t="s">
        <v>303</v>
      </c>
      <c r="C114" s="9" t="n">
        <v>94.4</v>
      </c>
      <c r="D114" s="0" t="n">
        <f aca="false">VLOOKUP($A114,'[2]Sheet 1'!$A$2:$Q$3504,4,FALSE())</f>
        <v>567</v>
      </c>
      <c r="E114" s="0" t="n">
        <f aca="false">VLOOKUP($A114,'[2]Sheet 1'!$A$2:$Q$3504,5,FALSE())</f>
        <v>24.1</v>
      </c>
      <c r="F114" s="0" t="n">
        <f aca="false">VLOOKUP($A114,'[2]Sheet 1'!$A$2:$Q$3504,6,FALSE())</f>
        <v>8.476981079</v>
      </c>
      <c r="G114" s="0" t="n">
        <f aca="false">VLOOKUP($A114,'[2]Sheet 1'!$A$2:$Q$3504,7,FALSE())</f>
        <v>2.52</v>
      </c>
      <c r="H114" s="0" t="n">
        <f aca="false">VLOOKUP($A114,'[2]Sheet 1'!$A$2:$Q$3504,8,FALSE())</f>
        <v>3.725</v>
      </c>
      <c r="I114" s="0" t="n">
        <f aca="false">VLOOKUP($A114,'[2]Sheet 1'!$A$2:$Q$3504,9,FALSE())</f>
        <v>55</v>
      </c>
      <c r="J114" s="0" t="n">
        <f aca="false">VLOOKUP($A114,'[2]Sheet 1'!$A$2:$Q$3504,10,FALSE())</f>
        <v>110</v>
      </c>
      <c r="K114" s="0" t="n">
        <f aca="false">VLOOKUP($A114,'[2]Sheet 1'!$A$2:$Q$3504,11,FALSE())</f>
        <v>0.136</v>
      </c>
      <c r="L114" s="0" t="n">
        <f aca="false">VLOOKUP($A114,'[2]Sheet 1'!$A$2:$Q$3504,12,FALSE())</f>
        <v>138.25</v>
      </c>
      <c r="M114" s="0" t="n">
        <f aca="false">VLOOKUP($A114,'[2]Sheet 1'!$A$2:$Q$3504,13,FALSE())</f>
        <v>720.1574649</v>
      </c>
      <c r="N114" s="0" t="n">
        <f aca="false">VLOOKUP($A114,'[2]Sheet 1'!$A$2:$Q$3504,14,FALSE())</f>
        <v>8.33</v>
      </c>
      <c r="O114" s="0" t="n">
        <f aca="false">VLOOKUP($A114,'[2]Sheet 1'!$A$2:$Q$3504,15,FALSE())</f>
        <v>0</v>
      </c>
      <c r="P114" s="0" t="n">
        <f aca="false">VLOOKUP($A114,'[2]Sheet 1'!$A$2:$Q$3504,16,FALSE())</f>
        <v>0</v>
      </c>
      <c r="Q114" s="0" t="n">
        <f aca="false">VLOOKUP($A114,'[2]Sheet 1'!$A$2:$Q$3504,17,FALSE())</f>
        <v>0</v>
      </c>
      <c r="S114" s="9"/>
    </row>
    <row r="115" customFormat="false" ht="14.25" hidden="false" customHeight="false" outlineLevel="0" collapsed="false">
      <c r="A115" s="9" t="n">
        <v>243</v>
      </c>
      <c r="B115" s="9" t="s">
        <v>307</v>
      </c>
      <c r="C115" s="9" t="n">
        <v>94</v>
      </c>
      <c r="D115" s="0" t="n">
        <f aca="false">VLOOKUP($A115,'[2]Sheet 1'!$A$2:$Q$3504,4,FALSE())</f>
        <v>567</v>
      </c>
      <c r="E115" s="0" t="n">
        <f aca="false">VLOOKUP($A115,'[2]Sheet 1'!$A$2:$Q$3504,5,FALSE())</f>
        <v>24.1</v>
      </c>
      <c r="F115" s="0" t="n">
        <f aca="false">VLOOKUP($A115,'[2]Sheet 1'!$A$2:$Q$3504,6,FALSE())</f>
        <v>8.476981079</v>
      </c>
      <c r="G115" s="0" t="n">
        <f aca="false">VLOOKUP($A115,'[2]Sheet 1'!$A$2:$Q$3504,7,FALSE())</f>
        <v>2.52</v>
      </c>
      <c r="H115" s="0" t="n">
        <f aca="false">VLOOKUP($A115,'[2]Sheet 1'!$A$2:$Q$3504,8,FALSE())</f>
        <v>3.725</v>
      </c>
      <c r="I115" s="0" t="n">
        <f aca="false">VLOOKUP($A115,'[2]Sheet 1'!$A$2:$Q$3504,9,FALSE())</f>
        <v>55</v>
      </c>
      <c r="J115" s="0" t="n">
        <f aca="false">VLOOKUP($A115,'[2]Sheet 1'!$A$2:$Q$3504,10,FALSE())</f>
        <v>110</v>
      </c>
      <c r="K115" s="0" t="n">
        <f aca="false">VLOOKUP($A115,'[2]Sheet 1'!$A$2:$Q$3504,11,FALSE())</f>
        <v>0.136</v>
      </c>
      <c r="L115" s="0" t="n">
        <f aca="false">VLOOKUP($A115,'[2]Sheet 1'!$A$2:$Q$3504,12,FALSE())</f>
        <v>138.25</v>
      </c>
      <c r="M115" s="0" t="n">
        <f aca="false">VLOOKUP($A115,'[2]Sheet 1'!$A$2:$Q$3504,13,FALSE())</f>
        <v>720.1574649</v>
      </c>
      <c r="N115" s="0" t="n">
        <f aca="false">VLOOKUP($A115,'[2]Sheet 1'!$A$2:$Q$3504,14,FALSE())</f>
        <v>8.33</v>
      </c>
      <c r="O115" s="0" t="n">
        <f aca="false">VLOOKUP($A115,'[2]Sheet 1'!$A$2:$Q$3504,15,FALSE())</f>
        <v>0</v>
      </c>
      <c r="P115" s="0" t="n">
        <f aca="false">VLOOKUP($A115,'[2]Sheet 1'!$A$2:$Q$3504,16,FALSE())</f>
        <v>0</v>
      </c>
      <c r="Q115" s="0" t="n">
        <f aca="false">VLOOKUP($A115,'[2]Sheet 1'!$A$2:$Q$3504,17,FALSE())</f>
        <v>0</v>
      </c>
      <c r="S115" s="9"/>
    </row>
    <row r="116" customFormat="false" ht="14.25" hidden="false" customHeight="false" outlineLevel="0" collapsed="false">
      <c r="A116" s="9" t="n">
        <v>244</v>
      </c>
      <c r="B116" s="9" t="s">
        <v>309</v>
      </c>
      <c r="C116" s="9" t="n">
        <v>100</v>
      </c>
      <c r="D116" s="0" t="n">
        <f aca="false">VLOOKUP($A116,'[2]Sheet 1'!$A$2:$Q$3504,4,FALSE())</f>
        <v>900</v>
      </c>
      <c r="E116" s="0" t="n">
        <f aca="false">VLOOKUP($A116,'[2]Sheet 1'!$A$2:$Q$3504,5,FALSE())</f>
        <v>0</v>
      </c>
      <c r="F116" s="0" t="n">
        <f aca="false">VLOOKUP($A116,'[2]Sheet 1'!$A$2:$Q$3504,6,FALSE())</f>
        <v>0</v>
      </c>
      <c r="G116" s="0" t="n">
        <f aca="false">VLOOKUP($A116,'[2]Sheet 1'!$A$2:$Q$3504,7,FALSE())</f>
        <v>0.005</v>
      </c>
      <c r="H116" s="0" t="n">
        <f aca="false">VLOOKUP($A116,'[2]Sheet 1'!$A$2:$Q$3504,8,FALSE())</f>
        <v>0.03</v>
      </c>
      <c r="I116" s="0" t="n">
        <f aca="false">VLOOKUP($A116,'[2]Sheet 1'!$A$2:$Q$3504,9,FALSE())</f>
        <v>0</v>
      </c>
      <c r="J116" s="0" t="n">
        <f aca="false">VLOOKUP($A116,'[2]Sheet 1'!$A$2:$Q$3504,10,FALSE())</f>
        <v>0</v>
      </c>
      <c r="K116" s="0" t="n">
        <f aca="false">VLOOKUP($A116,'[2]Sheet 1'!$A$2:$Q$3504,11,FALSE())</f>
        <v>0</v>
      </c>
      <c r="L116" s="0" t="n">
        <f aca="false">VLOOKUP($A116,'[2]Sheet 1'!$A$2:$Q$3504,12,FALSE())</f>
        <v>0.1</v>
      </c>
      <c r="M116" s="0" t="n">
        <f aca="false">VLOOKUP($A116,'[2]Sheet 1'!$A$2:$Q$3504,13,FALSE())</f>
        <v>0</v>
      </c>
      <c r="N116" s="0" t="n">
        <f aca="false">VLOOKUP($A116,'[2]Sheet 1'!$A$2:$Q$3504,14,FALSE())</f>
        <v>15.69</v>
      </c>
      <c r="O116" s="0" t="n">
        <f aca="false">VLOOKUP($A116,'[2]Sheet 1'!$A$2:$Q$3504,15,FALSE())</f>
        <v>0</v>
      </c>
      <c r="P116" s="0" t="n">
        <f aca="false">VLOOKUP($A116,'[2]Sheet 1'!$A$2:$Q$3504,16,FALSE())</f>
        <v>0.7</v>
      </c>
      <c r="Q116" s="0" t="n">
        <f aca="false">VLOOKUP($A116,'[2]Sheet 1'!$A$2:$Q$3504,17,FALSE())</f>
        <v>0</v>
      </c>
      <c r="S116" s="9"/>
    </row>
    <row r="117" customFormat="false" ht="14.25" hidden="false" customHeight="false" outlineLevel="0" collapsed="false">
      <c r="A117" s="9" t="n">
        <v>245</v>
      </c>
      <c r="B117" s="9" t="s">
        <v>312</v>
      </c>
      <c r="C117" s="9" t="n">
        <v>95</v>
      </c>
      <c r="D117" s="0" t="n">
        <f aca="false">VLOOKUP($A117,'[2]Sheet 1'!$A$2:$Q$3504,4,FALSE())</f>
        <v>599</v>
      </c>
      <c r="E117" s="0" t="n">
        <f aca="false">VLOOKUP($A117,'[2]Sheet 1'!$A$2:$Q$3504,5,FALSE())</f>
        <v>28.03</v>
      </c>
      <c r="F117" s="0" t="n">
        <f aca="false">VLOOKUP($A117,'[2]Sheet 1'!$A$2:$Q$3504,6,FALSE())</f>
        <v>9.4</v>
      </c>
      <c r="G117" s="0" t="n">
        <f aca="false">VLOOKUP($A117,'[2]Sheet 1'!$A$2:$Q$3504,7,FALSE())</f>
        <v>3.28</v>
      </c>
      <c r="H117" s="0" t="n">
        <f aca="false">VLOOKUP($A117,'[2]Sheet 1'!$A$2:$Q$3504,8,FALSE())</f>
        <v>1.52</v>
      </c>
      <c r="I117" s="0" t="n">
        <f aca="false">VLOOKUP($A117,'[2]Sheet 1'!$A$2:$Q$3504,9,FALSE())</f>
        <v>61</v>
      </c>
      <c r="J117" s="0" t="n">
        <f aca="false">VLOOKUP($A117,'[2]Sheet 1'!$A$2:$Q$3504,10,FALSE())</f>
        <v>120</v>
      </c>
      <c r="K117" s="0" t="n">
        <f aca="false">VLOOKUP($A117,'[2]Sheet 1'!$A$2:$Q$3504,11,FALSE())</f>
        <v>0.089</v>
      </c>
      <c r="L117" s="0" t="n">
        <f aca="false">VLOOKUP($A117,'[2]Sheet 1'!$A$2:$Q$3504,12,FALSE())</f>
        <v>55.3</v>
      </c>
      <c r="M117" s="0" t="n">
        <f aca="false">VLOOKUP($A117,'[2]Sheet 1'!$A$2:$Q$3504,13,FALSE())</f>
        <v>726</v>
      </c>
      <c r="N117" s="0" t="n">
        <f aca="false">VLOOKUP($A117,'[2]Sheet 1'!$A$2:$Q$3504,14,FALSE())</f>
        <v>6.94</v>
      </c>
      <c r="O117" s="0" t="n">
        <f aca="false">VLOOKUP($A117,'[2]Sheet 1'!$A$2:$Q$3504,15,FALSE())</f>
        <v>0</v>
      </c>
      <c r="P117" s="0" t="n">
        <f aca="false">VLOOKUP($A117,'[2]Sheet 1'!$A$2:$Q$3504,16,FALSE())</f>
        <v>0</v>
      </c>
      <c r="Q117" s="0" t="n">
        <f aca="false">VLOOKUP($A117,'[2]Sheet 1'!$A$2:$Q$3504,17,FALSE())</f>
        <v>0</v>
      </c>
      <c r="S117" s="9"/>
    </row>
    <row r="118" customFormat="false" ht="14.25" hidden="false" customHeight="false" outlineLevel="0" collapsed="false">
      <c r="A118" s="9" t="n">
        <v>246</v>
      </c>
      <c r="B118" s="9" t="s">
        <v>314</v>
      </c>
      <c r="C118" s="9" t="n">
        <v>94</v>
      </c>
      <c r="D118" s="0" t="e">
        <f aca="false">VLOOKUP($A118,'[2]Sheet 1'!$A$2:$Q$3504,4,FALSE())</f>
        <v>#N/A</v>
      </c>
      <c r="E118" s="0" t="e">
        <f aca="false">VLOOKUP($A118,'[2]Sheet 1'!$A$2:$Q$3504,5,FALSE())</f>
        <v>#N/A</v>
      </c>
      <c r="F118" s="0" t="e">
        <f aca="false">VLOOKUP($A118,'[2]Sheet 1'!$A$2:$Q$3504,6,FALSE())</f>
        <v>#N/A</v>
      </c>
      <c r="G118" s="0" t="e">
        <f aca="false">VLOOKUP($A118,'[2]Sheet 1'!$A$2:$Q$3504,7,FALSE())</f>
        <v>#N/A</v>
      </c>
      <c r="H118" s="0" t="e">
        <f aca="false">VLOOKUP($A118,'[2]Sheet 1'!$A$2:$Q$3504,8,FALSE())</f>
        <v>#N/A</v>
      </c>
      <c r="I118" s="0" t="e">
        <f aca="false">VLOOKUP($A118,'[2]Sheet 1'!$A$2:$Q$3504,9,FALSE())</f>
        <v>#N/A</v>
      </c>
      <c r="J118" s="0" t="e">
        <f aca="false">VLOOKUP($A118,'[2]Sheet 1'!$A$2:$Q$3504,10,FALSE())</f>
        <v>#N/A</v>
      </c>
      <c r="K118" s="0" t="e">
        <f aca="false">VLOOKUP($A118,'[2]Sheet 1'!$A$2:$Q$3504,11,FALSE())</f>
        <v>#N/A</v>
      </c>
      <c r="L118" s="0" t="e">
        <f aca="false">VLOOKUP($A118,'[2]Sheet 1'!$A$2:$Q$3504,12,FALSE())</f>
        <v>#N/A</v>
      </c>
      <c r="M118" s="0" t="e">
        <f aca="false">VLOOKUP($A118,'[2]Sheet 1'!$A$2:$Q$3504,13,FALSE())</f>
        <v>#N/A</v>
      </c>
      <c r="N118" s="0" t="e">
        <f aca="false">VLOOKUP($A118,'[2]Sheet 1'!$A$2:$Q$3504,14,FALSE())</f>
        <v>#N/A</v>
      </c>
      <c r="O118" s="0" t="e">
        <f aca="false">VLOOKUP($A118,'[2]Sheet 1'!$A$2:$Q$3504,15,FALSE())</f>
        <v>#N/A</v>
      </c>
      <c r="P118" s="0" t="e">
        <f aca="false">VLOOKUP($A118,'[2]Sheet 1'!$A$2:$Q$3504,16,FALSE())</f>
        <v>#N/A</v>
      </c>
      <c r="Q118" s="0" t="e">
        <f aca="false">VLOOKUP($A118,'[2]Sheet 1'!$A$2:$Q$3504,17,FALSE())</f>
        <v>#N/A</v>
      </c>
      <c r="S118" s="9"/>
    </row>
    <row r="119" customFormat="false" ht="14.25" hidden="false" customHeight="false" outlineLevel="0" collapsed="false">
      <c r="A119" s="9" t="n">
        <v>247</v>
      </c>
      <c r="B119" s="9" t="s">
        <v>316</v>
      </c>
      <c r="C119" s="9" t="n">
        <v>98</v>
      </c>
      <c r="D119" s="0" t="n">
        <f aca="false">VLOOKUP($A119,'[2]Sheet 1'!$A$2:$Q$3504,4,FALSE())</f>
        <v>598</v>
      </c>
      <c r="E119" s="0" t="n">
        <f aca="false">VLOOKUP($A119,'[2]Sheet 1'!$A$2:$Q$3504,5,FALSE())</f>
        <v>22.21</v>
      </c>
      <c r="F119" s="0" t="n">
        <f aca="false">VLOOKUP($A119,'[2]Sheet 1'!$A$2:$Q$3504,6,FALSE())</f>
        <v>5</v>
      </c>
      <c r="G119" s="0" t="n">
        <f aca="false">VLOOKUP($A119,'[2]Sheet 1'!$A$2:$Q$3504,7,FALSE())</f>
        <v>2.51</v>
      </c>
      <c r="H119" s="0" t="n">
        <f aca="false">VLOOKUP($A119,'[2]Sheet 1'!$A$2:$Q$3504,8,FALSE())</f>
        <v>1.74</v>
      </c>
      <c r="I119" s="0" t="n">
        <f aca="false">VLOOKUP($A119,'[2]Sheet 1'!$A$2:$Q$3504,9,FALSE())</f>
        <v>49</v>
      </c>
      <c r="J119" s="0" t="n">
        <f aca="false">VLOOKUP($A119,'[2]Sheet 1'!$A$2:$Q$3504,10,FALSE())</f>
        <v>87</v>
      </c>
      <c r="K119" s="0" t="n">
        <f aca="false">VLOOKUP($A119,'[2]Sheet 1'!$A$2:$Q$3504,11,FALSE())</f>
        <v>0.192</v>
      </c>
      <c r="L119" s="0" t="n">
        <f aca="false">VLOOKUP($A119,'[2]Sheet 1'!$A$2:$Q$3504,12,FALSE())</f>
        <v>63</v>
      </c>
      <c r="M119" s="0" t="n">
        <f aca="false">VLOOKUP($A119,'[2]Sheet 1'!$A$2:$Q$3504,13,FALSE())</f>
        <v>558</v>
      </c>
      <c r="N119" s="0" t="n">
        <f aca="false">VLOOKUP($A119,'[2]Sheet 1'!$A$2:$Q$3504,14,FALSE())</f>
        <v>9.1</v>
      </c>
      <c r="O119" s="0" t="n">
        <f aca="false">VLOOKUP($A119,'[2]Sheet 1'!$A$2:$Q$3504,15,FALSE())</f>
        <v>0</v>
      </c>
      <c r="P119" s="0" t="n">
        <f aca="false">VLOOKUP($A119,'[2]Sheet 1'!$A$2:$Q$3504,16,FALSE())</f>
        <v>0.3</v>
      </c>
      <c r="Q119" s="0" t="n">
        <f aca="false">VLOOKUP($A119,'[2]Sheet 1'!$A$2:$Q$3504,17,FALSE())</f>
        <v>0</v>
      </c>
      <c r="S119" s="9"/>
    </row>
    <row r="120" customFormat="false" ht="14.25" hidden="false" customHeight="false" outlineLevel="0" collapsed="false">
      <c r="A120" s="9" t="n">
        <v>249</v>
      </c>
      <c r="B120" s="9" t="s">
        <v>318</v>
      </c>
      <c r="C120" s="9" t="n">
        <v>60</v>
      </c>
      <c r="D120" s="0" t="n">
        <f aca="false">VLOOKUP($A120,'[2]Sheet 1'!$A$2:$Q$3504,4,FALSE())</f>
        <v>358</v>
      </c>
      <c r="E120" s="0" t="n">
        <f aca="false">VLOOKUP($A120,'[2]Sheet 1'!$A$2:$Q$3504,5,FALSE())</f>
        <v>3.5</v>
      </c>
      <c r="F120" s="0" t="n">
        <f aca="false">VLOOKUP($A120,'[2]Sheet 1'!$A$2:$Q$3504,6,FALSE())</f>
        <v>6.55</v>
      </c>
      <c r="G120" s="0" t="n">
        <f aca="false">VLOOKUP($A120,'[2]Sheet 1'!$A$2:$Q$3504,7,FALSE())</f>
        <v>0.92</v>
      </c>
      <c r="H120" s="0" t="n">
        <f aca="false">VLOOKUP($A120,'[2]Sheet 1'!$A$2:$Q$3504,8,FALSE())</f>
        <v>2.427272727</v>
      </c>
      <c r="I120" s="0" t="n">
        <f aca="false">VLOOKUP($A120,'[2]Sheet 1'!$A$2:$Q$3504,9,FALSE())</f>
        <v>16.72727273</v>
      </c>
      <c r="J120" s="0" t="n">
        <f aca="false">VLOOKUP($A120,'[2]Sheet 1'!$A$2:$Q$3504,10,FALSE())</f>
        <v>19.25</v>
      </c>
      <c r="K120" s="0" t="n">
        <f aca="false">VLOOKUP($A120,'[2]Sheet 1'!$A$2:$Q$3504,11,FALSE())</f>
        <v>0.022</v>
      </c>
      <c r="L120" s="0" t="n">
        <f aca="false">VLOOKUP($A120,'[2]Sheet 1'!$A$2:$Q$3504,12,FALSE())</f>
        <v>12.1</v>
      </c>
      <c r="M120" s="0" t="n">
        <f aca="false">VLOOKUP($A120,'[2]Sheet 1'!$A$2:$Q$3504,13,FALSE())</f>
        <v>318.5</v>
      </c>
      <c r="N120" s="0" t="n">
        <f aca="false">VLOOKUP($A120,'[2]Sheet 1'!$A$2:$Q$3504,14,FALSE())</f>
        <v>0.24</v>
      </c>
      <c r="O120" s="0" t="n">
        <f aca="false">VLOOKUP($A120,'[2]Sheet 1'!$A$2:$Q$3504,15,FALSE())</f>
        <v>0</v>
      </c>
      <c r="P120" s="0" t="n">
        <f aca="false">VLOOKUP($A120,'[2]Sheet 1'!$A$2:$Q$3504,16,FALSE())</f>
        <v>0.2</v>
      </c>
      <c r="Q120" s="0" t="n">
        <f aca="false">VLOOKUP($A120,'[2]Sheet 1'!$A$2:$Q$3504,17,FALSE())</f>
        <v>0</v>
      </c>
      <c r="S120" s="9"/>
    </row>
    <row r="121" customFormat="false" ht="14.25" hidden="false" customHeight="false" outlineLevel="0" collapsed="false">
      <c r="A121" s="9" t="n">
        <v>250</v>
      </c>
      <c r="B121" s="9" t="s">
        <v>321</v>
      </c>
      <c r="C121" s="9" t="n">
        <v>96</v>
      </c>
      <c r="D121" s="0" t="n">
        <f aca="false">VLOOKUP($A121,'[2]Sheet 1'!$A$2:$Q$3504,4,FALSE())</f>
        <v>684</v>
      </c>
      <c r="E121" s="0" t="n">
        <f aca="false">VLOOKUP($A121,'[2]Sheet 1'!$A$2:$Q$3504,5,FALSE())</f>
        <v>5.3</v>
      </c>
      <c r="F121" s="0" t="n">
        <f aca="false">VLOOKUP($A121,'[2]Sheet 1'!$A$2:$Q$3504,6,FALSE())</f>
        <v>0</v>
      </c>
      <c r="G121" s="0" t="n">
        <f aca="false">VLOOKUP($A121,'[2]Sheet 1'!$A$2:$Q$3504,7,FALSE())</f>
        <v>2.04</v>
      </c>
      <c r="H121" s="0" t="n">
        <f aca="false">VLOOKUP($A121,'[2]Sheet 1'!$A$2:$Q$3504,8,FALSE())</f>
        <v>3.36</v>
      </c>
      <c r="I121" s="0" t="n">
        <f aca="false">VLOOKUP($A121,'[2]Sheet 1'!$A$2:$Q$3504,9,FALSE())</f>
        <v>26</v>
      </c>
      <c r="J121" s="0" t="n">
        <f aca="false">VLOOKUP($A121,'[2]Sheet 1'!$A$2:$Q$3504,10,FALSE())</f>
        <v>9</v>
      </c>
      <c r="K121" s="0" t="n">
        <f aca="false">VLOOKUP($A121,'[2]Sheet 1'!$A$2:$Q$3504,11,FALSE())</f>
        <v>0.101</v>
      </c>
      <c r="L121" s="0" t="n">
        <f aca="false">VLOOKUP($A121,'[2]Sheet 1'!$A$2:$Q$3504,12,FALSE())</f>
        <v>0</v>
      </c>
      <c r="M121" s="0" t="n">
        <f aca="false">VLOOKUP($A121,'[2]Sheet 1'!$A$2:$Q$3504,13,FALSE())</f>
        <v>551</v>
      </c>
      <c r="N121" s="0" t="n">
        <f aca="false">VLOOKUP($A121,'[2]Sheet 1'!$A$2:$Q$3504,14,FALSE())</f>
        <v>0</v>
      </c>
      <c r="O121" s="0" t="n">
        <f aca="false">VLOOKUP($A121,'[2]Sheet 1'!$A$2:$Q$3504,15,FALSE())</f>
        <v>0</v>
      </c>
      <c r="P121" s="0" t="n">
        <f aca="false">VLOOKUP($A121,'[2]Sheet 1'!$A$2:$Q$3504,16,FALSE())</f>
        <v>0</v>
      </c>
      <c r="Q121" s="0" t="n">
        <f aca="false">VLOOKUP($A121,'[2]Sheet 1'!$A$2:$Q$3504,17,FALSE())</f>
        <v>0</v>
      </c>
      <c r="S121" s="9"/>
    </row>
    <row r="122" customFormat="false" ht="14.25" hidden="false" customHeight="false" outlineLevel="0" collapsed="false">
      <c r="A122" s="9" t="n">
        <v>251</v>
      </c>
      <c r="B122" s="9" t="s">
        <v>323</v>
      </c>
      <c r="C122" s="9" t="n">
        <v>96</v>
      </c>
      <c r="D122" s="0" t="n">
        <f aca="false">VLOOKUP($A122,'[2]Sheet 1'!$A$2:$Q$3504,4,FALSE())</f>
        <v>358</v>
      </c>
      <c r="E122" s="0" t="n">
        <f aca="false">VLOOKUP($A122,'[2]Sheet 1'!$A$2:$Q$3504,5,FALSE())</f>
        <v>3.5</v>
      </c>
      <c r="F122" s="0" t="n">
        <f aca="false">VLOOKUP($A122,'[2]Sheet 1'!$A$2:$Q$3504,6,FALSE())</f>
        <v>6.55</v>
      </c>
      <c r="G122" s="0" t="n">
        <f aca="false">VLOOKUP($A122,'[2]Sheet 1'!$A$2:$Q$3504,7,FALSE())</f>
        <v>0.92</v>
      </c>
      <c r="H122" s="0" t="n">
        <f aca="false">VLOOKUP($A122,'[2]Sheet 1'!$A$2:$Q$3504,8,FALSE())</f>
        <v>2.427272727</v>
      </c>
      <c r="I122" s="0" t="n">
        <f aca="false">VLOOKUP($A122,'[2]Sheet 1'!$A$2:$Q$3504,9,FALSE())</f>
        <v>16.72727273</v>
      </c>
      <c r="J122" s="0" t="n">
        <f aca="false">VLOOKUP($A122,'[2]Sheet 1'!$A$2:$Q$3504,10,FALSE())</f>
        <v>19.25</v>
      </c>
      <c r="K122" s="0" t="n">
        <f aca="false">VLOOKUP($A122,'[2]Sheet 1'!$A$2:$Q$3504,11,FALSE())</f>
        <v>0.022</v>
      </c>
      <c r="L122" s="0" t="n">
        <f aca="false">VLOOKUP($A122,'[2]Sheet 1'!$A$2:$Q$3504,12,FALSE())</f>
        <v>12.1</v>
      </c>
      <c r="M122" s="0" t="n">
        <f aca="false">VLOOKUP($A122,'[2]Sheet 1'!$A$2:$Q$3504,13,FALSE())</f>
        <v>318.5</v>
      </c>
      <c r="N122" s="0" t="n">
        <f aca="false">VLOOKUP($A122,'[2]Sheet 1'!$A$2:$Q$3504,14,FALSE())</f>
        <v>0.24</v>
      </c>
      <c r="O122" s="0" t="n">
        <f aca="false">VLOOKUP($A122,'[2]Sheet 1'!$A$2:$Q$3504,15,FALSE())</f>
        <v>0</v>
      </c>
      <c r="P122" s="0" t="n">
        <f aca="false">VLOOKUP($A122,'[2]Sheet 1'!$A$2:$Q$3504,16,FALSE())</f>
        <v>0.2</v>
      </c>
      <c r="Q122" s="0" t="n">
        <f aca="false">VLOOKUP($A122,'[2]Sheet 1'!$A$2:$Q$3504,17,FALSE())</f>
        <v>0</v>
      </c>
      <c r="S122" s="9"/>
    </row>
    <row r="123" customFormat="false" ht="14.25" hidden="false" customHeight="false" outlineLevel="0" collapsed="false">
      <c r="A123" s="9" t="n">
        <v>252</v>
      </c>
      <c r="B123" s="9" t="s">
        <v>325</v>
      </c>
      <c r="C123" s="9" t="n">
        <v>100</v>
      </c>
      <c r="D123" s="0" t="n">
        <f aca="false">VLOOKUP($A123,'[2]Sheet 1'!$A$2:$Q$3504,4,FALSE())</f>
        <v>899.5</v>
      </c>
      <c r="E123" s="0" t="n">
        <f aca="false">VLOOKUP($A123,'[2]Sheet 1'!$A$2:$Q$3504,5,FALSE())</f>
        <v>0</v>
      </c>
      <c r="F123" s="0" t="n">
        <f aca="false">VLOOKUP($A123,'[2]Sheet 1'!$A$2:$Q$3504,6,FALSE())</f>
        <v>0</v>
      </c>
      <c r="G123" s="0" t="n">
        <f aca="false">VLOOKUP($A123,'[2]Sheet 1'!$A$2:$Q$3504,7,FALSE())</f>
        <v>0</v>
      </c>
      <c r="H123" s="0" t="n">
        <f aca="false">VLOOKUP($A123,'[2]Sheet 1'!$A$2:$Q$3504,8,FALSE())</f>
        <v>0.04</v>
      </c>
      <c r="I123" s="0" t="n">
        <f aca="false">VLOOKUP($A123,'[2]Sheet 1'!$A$2:$Q$3504,9,FALSE())</f>
        <v>0</v>
      </c>
      <c r="J123" s="0" t="n">
        <f aca="false">VLOOKUP($A123,'[2]Sheet 1'!$A$2:$Q$3504,10,FALSE())</f>
        <v>0</v>
      </c>
      <c r="K123" s="0" t="n">
        <f aca="false">VLOOKUP($A123,'[2]Sheet 1'!$A$2:$Q$3504,11,FALSE())</f>
        <v>0</v>
      </c>
      <c r="L123" s="0" t="n">
        <f aca="false">VLOOKUP($A123,'[2]Sheet 1'!$A$2:$Q$3504,12,FALSE())</f>
        <v>0.3</v>
      </c>
      <c r="M123" s="0" t="n">
        <f aca="false">VLOOKUP($A123,'[2]Sheet 1'!$A$2:$Q$3504,13,FALSE())</f>
        <v>0</v>
      </c>
      <c r="N123" s="0" t="n">
        <f aca="false">VLOOKUP($A123,'[2]Sheet 1'!$A$2:$Q$3504,14,FALSE())</f>
        <v>0.09</v>
      </c>
      <c r="O123" s="0" t="n">
        <f aca="false">VLOOKUP($A123,'[2]Sheet 1'!$A$2:$Q$3504,15,FALSE())</f>
        <v>0</v>
      </c>
      <c r="P123" s="0" t="n">
        <f aca="false">VLOOKUP($A123,'[2]Sheet 1'!$A$2:$Q$3504,16,FALSE())</f>
        <v>0.5</v>
      </c>
      <c r="Q123" s="0" t="n">
        <f aca="false">VLOOKUP($A123,'[2]Sheet 1'!$A$2:$Q$3504,17,FALSE())</f>
        <v>0</v>
      </c>
      <c r="S123" s="9"/>
    </row>
    <row r="124" customFormat="false" ht="14.25" hidden="false" customHeight="false" outlineLevel="0" collapsed="false">
      <c r="A124" s="9" t="n">
        <v>253</v>
      </c>
      <c r="B124" s="9" t="s">
        <v>328</v>
      </c>
      <c r="C124" s="9" t="n">
        <v>90</v>
      </c>
      <c r="D124" s="0" t="n">
        <f aca="false">VLOOKUP($A124,'[2]Sheet 1'!$A$2:$Q$3504,4,FALSE())</f>
        <v>660</v>
      </c>
      <c r="E124" s="0" t="n">
        <f aca="false">VLOOKUP($A124,'[2]Sheet 1'!$A$2:$Q$3504,5,FALSE())</f>
        <v>6.88</v>
      </c>
      <c r="F124" s="0" t="n">
        <f aca="false">VLOOKUP($A124,'[2]Sheet 1'!$A$2:$Q$3504,6,FALSE())</f>
        <v>16.3</v>
      </c>
      <c r="G124" s="0" t="n">
        <f aca="false">VLOOKUP($A124,'[2]Sheet 1'!$A$2:$Q$3504,7,FALSE())</f>
        <v>2.01</v>
      </c>
      <c r="H124" s="0" t="n">
        <f aca="false">VLOOKUP($A124,'[2]Sheet 1'!$A$2:$Q$3504,8,FALSE())</f>
        <v>3.32</v>
      </c>
      <c r="I124" s="0" t="n">
        <f aca="false">VLOOKUP($A124,'[2]Sheet 1'!$A$2:$Q$3504,9,FALSE())</f>
        <v>26</v>
      </c>
      <c r="J124" s="0" t="n">
        <f aca="false">VLOOKUP($A124,'[2]Sheet 1'!$A$2:$Q$3504,10,FALSE())</f>
        <v>9</v>
      </c>
      <c r="K124" s="0" t="n">
        <f aca="false">VLOOKUP($A124,'[2]Sheet 1'!$A$2:$Q$3504,11,FALSE())</f>
        <v>0.1</v>
      </c>
      <c r="L124" s="0" t="n">
        <f aca="false">VLOOKUP($A124,'[2]Sheet 1'!$A$2:$Q$3504,12,FALSE())</f>
        <v>22.1</v>
      </c>
      <c r="M124" s="0" t="n">
        <f aca="false">VLOOKUP($A124,'[2]Sheet 1'!$A$2:$Q$3504,13,FALSE())</f>
        <v>543</v>
      </c>
      <c r="N124" s="0" t="n">
        <f aca="false">VLOOKUP($A124,'[2]Sheet 1'!$A$2:$Q$3504,14,FALSE())</f>
        <v>0.44</v>
      </c>
      <c r="O124" s="0" t="n">
        <f aca="false">VLOOKUP($A124,'[2]Sheet 1'!$A$2:$Q$3504,15,FALSE())</f>
        <v>0</v>
      </c>
      <c r="P124" s="0" t="n">
        <f aca="false">VLOOKUP($A124,'[2]Sheet 1'!$A$2:$Q$3504,16,FALSE())</f>
        <v>0.3</v>
      </c>
      <c r="Q124" s="0" t="n">
        <f aca="false">VLOOKUP($A124,'[2]Sheet 1'!$A$2:$Q$3504,17,FALSE())</f>
        <v>0</v>
      </c>
      <c r="S124" s="9"/>
    </row>
    <row r="125" customFormat="false" ht="14.25" hidden="false" customHeight="false" outlineLevel="0" collapsed="false">
      <c r="A125" s="9" t="n">
        <v>254</v>
      </c>
      <c r="B125" s="9" t="s">
        <v>1224</v>
      </c>
      <c r="C125" s="9" t="n">
        <v>25</v>
      </c>
      <c r="D125" s="0" t="n">
        <f aca="false">VLOOKUP($A125,'[2]Sheet 1'!$A$2:$Q$3504,4,FALSE())</f>
        <v>900</v>
      </c>
      <c r="E125" s="0" t="n">
        <f aca="false">VLOOKUP($A125,'[2]Sheet 1'!$A$2:$Q$3504,5,FALSE())</f>
        <v>0</v>
      </c>
      <c r="F125" s="0" t="n">
        <f aca="false">VLOOKUP($A125,'[2]Sheet 1'!$A$2:$Q$3504,6,FALSE())</f>
        <v>0</v>
      </c>
      <c r="G125" s="0" t="n">
        <f aca="false">VLOOKUP($A125,'[2]Sheet 1'!$A$2:$Q$3504,7,FALSE())</f>
        <v>0</v>
      </c>
      <c r="H125" s="0" t="n">
        <f aca="false">VLOOKUP($A125,'[2]Sheet 1'!$A$2:$Q$3504,8,FALSE())</f>
        <v>0.01</v>
      </c>
      <c r="I125" s="0" t="n">
        <f aca="false">VLOOKUP($A125,'[2]Sheet 1'!$A$2:$Q$3504,9,FALSE())</f>
        <v>0</v>
      </c>
      <c r="J125" s="0" t="n">
        <f aca="false">VLOOKUP($A125,'[2]Sheet 1'!$A$2:$Q$3504,10,FALSE())</f>
        <v>0</v>
      </c>
      <c r="K125" s="0" t="n">
        <f aca="false">VLOOKUP($A125,'[2]Sheet 1'!$A$2:$Q$3504,11,FALSE())</f>
        <v>0</v>
      </c>
      <c r="L125" s="0" t="n">
        <f aca="false">VLOOKUP($A125,'[2]Sheet 1'!$A$2:$Q$3504,12,FALSE())</f>
        <v>0.3</v>
      </c>
      <c r="M125" s="0" t="n">
        <f aca="false">VLOOKUP($A125,'[2]Sheet 1'!$A$2:$Q$3504,13,FALSE())</f>
        <v>0</v>
      </c>
      <c r="N125" s="0" t="n">
        <f aca="false">VLOOKUP($A125,'[2]Sheet 1'!$A$2:$Q$3504,14,FALSE())</f>
        <v>15.94</v>
      </c>
      <c r="O125" s="0" t="n">
        <f aca="false">VLOOKUP($A125,'[2]Sheet 1'!$A$2:$Q$3504,15,FALSE())</f>
        <v>0</v>
      </c>
      <c r="P125" s="0" t="n">
        <f aca="false">VLOOKUP($A125,'[2]Sheet 1'!$A$2:$Q$3504,16,FALSE())</f>
        <v>8</v>
      </c>
      <c r="Q125" s="0" t="n">
        <f aca="false">VLOOKUP($A125,'[2]Sheet 1'!$A$2:$Q$3504,17,FALSE())</f>
        <v>6010</v>
      </c>
      <c r="S125" s="9"/>
    </row>
    <row r="126" customFormat="false" ht="14.25" hidden="false" customHeight="false" outlineLevel="0" collapsed="false">
      <c r="A126" s="9" t="n">
        <v>256</v>
      </c>
      <c r="B126" s="9" t="s">
        <v>331</v>
      </c>
      <c r="C126" s="9" t="n">
        <v>90</v>
      </c>
      <c r="D126" s="0" t="n">
        <f aca="false">VLOOKUP($A126,'[2]Sheet 1'!$A$2:$Q$3504,4,FALSE())</f>
        <v>609</v>
      </c>
      <c r="E126" s="0" t="n">
        <f aca="false">VLOOKUP($A126,'[2]Sheet 1'!$A$2:$Q$3504,5,FALSE())</f>
        <v>6.1</v>
      </c>
      <c r="F126" s="0" t="n">
        <f aca="false">VLOOKUP($A126,'[2]Sheet 1'!$A$2:$Q$3504,6,FALSE())</f>
        <v>0</v>
      </c>
      <c r="G126" s="0" t="n">
        <f aca="false">VLOOKUP($A126,'[2]Sheet 1'!$A$2:$Q$3504,7,FALSE())</f>
        <v>2.3738</v>
      </c>
      <c r="H126" s="0" t="n">
        <f aca="false">VLOOKUP($A126,'[2]Sheet 1'!$A$2:$Q$3504,8,FALSE())</f>
        <v>9</v>
      </c>
      <c r="I126" s="0" t="n">
        <f aca="false">VLOOKUP($A126,'[2]Sheet 1'!$A$2:$Q$3504,9,FALSE())</f>
        <v>91</v>
      </c>
      <c r="J126" s="0" t="n">
        <f aca="false">VLOOKUP($A126,'[2]Sheet 1'!$A$2:$Q$3504,10,FALSE())</f>
        <v>0</v>
      </c>
      <c r="K126" s="0" t="n">
        <f aca="false">VLOOKUP($A126,'[2]Sheet 1'!$A$2:$Q$3504,11,FALSE())</f>
        <v>0</v>
      </c>
      <c r="L126" s="0" t="n">
        <f aca="false">VLOOKUP($A126,'[2]Sheet 1'!$A$2:$Q$3504,12,FALSE())</f>
        <v>0</v>
      </c>
      <c r="M126" s="0" t="n">
        <f aca="false">VLOOKUP($A126,'[2]Sheet 1'!$A$2:$Q$3504,13,FALSE())</f>
        <v>270.4345</v>
      </c>
      <c r="N126" s="0" t="n">
        <f aca="false">VLOOKUP($A126,'[2]Sheet 1'!$A$2:$Q$3504,14,FALSE())</f>
        <v>15.94</v>
      </c>
      <c r="O126" s="0" t="n">
        <f aca="false">VLOOKUP($A126,'[2]Sheet 1'!$A$2:$Q$3504,15,FALSE())</f>
        <v>0</v>
      </c>
      <c r="P126" s="0" t="n">
        <f aca="false">VLOOKUP($A126,'[2]Sheet 1'!$A$2:$Q$3504,16,FALSE())</f>
        <v>8</v>
      </c>
      <c r="Q126" s="0" t="n">
        <f aca="false">VLOOKUP($A126,'[2]Sheet 1'!$A$2:$Q$3504,17,FALSE())</f>
        <v>0</v>
      </c>
      <c r="S126" s="9"/>
    </row>
    <row r="127" customFormat="false" ht="14.25" hidden="false" customHeight="false" outlineLevel="0" collapsed="false">
      <c r="A127" s="9" t="n">
        <v>257</v>
      </c>
      <c r="B127" s="9" t="s">
        <v>333</v>
      </c>
      <c r="C127" s="9" t="n">
        <v>100</v>
      </c>
      <c r="D127" s="0" t="n">
        <f aca="false">VLOOKUP($A127,'[2]Sheet 1'!$A$2:$Q$3504,4,FALSE())</f>
        <v>900</v>
      </c>
      <c r="E127" s="0" t="n">
        <f aca="false">VLOOKUP($A127,'[2]Sheet 1'!$A$2:$Q$3504,5,FALSE())</f>
        <v>0</v>
      </c>
      <c r="F127" s="0" t="n">
        <f aca="false">VLOOKUP($A127,'[2]Sheet 1'!$A$2:$Q$3504,6,FALSE())</f>
        <v>0</v>
      </c>
      <c r="G127" s="0" t="n">
        <f aca="false">VLOOKUP($A127,'[2]Sheet 1'!$A$2:$Q$3504,7,FALSE())</f>
        <v>0</v>
      </c>
      <c r="H127" s="0" t="n">
        <f aca="false">VLOOKUP($A127,'[2]Sheet 1'!$A$2:$Q$3504,8,FALSE())</f>
        <v>0.01</v>
      </c>
      <c r="I127" s="0" t="n">
        <f aca="false">VLOOKUP($A127,'[2]Sheet 1'!$A$2:$Q$3504,9,FALSE())</f>
        <v>0</v>
      </c>
      <c r="J127" s="0" t="n">
        <f aca="false">VLOOKUP($A127,'[2]Sheet 1'!$A$2:$Q$3504,10,FALSE())</f>
        <v>0</v>
      </c>
      <c r="K127" s="0" t="n">
        <f aca="false">VLOOKUP($A127,'[2]Sheet 1'!$A$2:$Q$3504,11,FALSE())</f>
        <v>0</v>
      </c>
      <c r="L127" s="0" t="n">
        <f aca="false">VLOOKUP($A127,'[2]Sheet 1'!$A$2:$Q$3504,12,FALSE())</f>
        <v>0.3</v>
      </c>
      <c r="M127" s="0" t="n">
        <f aca="false">VLOOKUP($A127,'[2]Sheet 1'!$A$2:$Q$3504,13,FALSE())</f>
        <v>0</v>
      </c>
      <c r="N127" s="0" t="n">
        <f aca="false">VLOOKUP($A127,'[2]Sheet 1'!$A$2:$Q$3504,14,FALSE())</f>
        <v>15.94</v>
      </c>
      <c r="O127" s="0" t="n">
        <f aca="false">VLOOKUP($A127,'[2]Sheet 1'!$A$2:$Q$3504,15,FALSE())</f>
        <v>0</v>
      </c>
      <c r="P127" s="0" t="n">
        <f aca="false">VLOOKUP($A127,'[2]Sheet 1'!$A$2:$Q$3504,16,FALSE())</f>
        <v>8</v>
      </c>
      <c r="Q127" s="0" t="n">
        <f aca="false">VLOOKUP($A127,'[2]Sheet 1'!$A$2:$Q$3504,17,FALSE())</f>
        <v>6010</v>
      </c>
      <c r="S127" s="9"/>
    </row>
    <row r="128" customFormat="false" ht="14.25" hidden="false" customHeight="false" outlineLevel="0" collapsed="false">
      <c r="A128" s="9" t="n">
        <v>258</v>
      </c>
      <c r="B128" s="9" t="s">
        <v>336</v>
      </c>
      <c r="C128" s="9" t="n">
        <v>100</v>
      </c>
      <c r="D128" s="0" t="n">
        <f aca="false">VLOOKUP($A128,'[2]Sheet 1'!$A$2:$Q$3504,4,FALSE())</f>
        <v>881</v>
      </c>
      <c r="E128" s="0" t="n">
        <f aca="false">VLOOKUP($A128,'[2]Sheet 1'!$A$2:$Q$3504,5,FALSE())</f>
        <v>0</v>
      </c>
      <c r="F128" s="0" t="n">
        <f aca="false">VLOOKUP($A128,'[2]Sheet 1'!$A$2:$Q$3504,6,FALSE())</f>
        <v>0</v>
      </c>
      <c r="G128" s="0" t="n">
        <f aca="false">VLOOKUP($A128,'[2]Sheet 1'!$A$2:$Q$3504,7,FALSE())</f>
        <v>0</v>
      </c>
      <c r="H128" s="0" t="n">
        <f aca="false">VLOOKUP($A128,'[2]Sheet 1'!$A$2:$Q$3504,8,FALSE())</f>
        <v>0</v>
      </c>
      <c r="I128" s="0" t="n">
        <f aca="false">VLOOKUP($A128,'[2]Sheet 1'!$A$2:$Q$3504,9,FALSE())</f>
        <v>0</v>
      </c>
      <c r="J128" s="0" t="n">
        <f aca="false">VLOOKUP($A128,'[2]Sheet 1'!$A$2:$Q$3504,10,FALSE())</f>
        <v>0</v>
      </c>
      <c r="K128" s="0" t="n">
        <f aca="false">VLOOKUP($A128,'[2]Sheet 1'!$A$2:$Q$3504,11,FALSE())</f>
        <v>0</v>
      </c>
      <c r="L128" s="0" t="n">
        <f aca="false">VLOOKUP($A128,'[2]Sheet 1'!$A$2:$Q$3504,12,FALSE())</f>
        <v>0.2</v>
      </c>
      <c r="M128" s="0" t="n">
        <f aca="false">VLOOKUP($A128,'[2]Sheet 1'!$A$2:$Q$3504,13,FALSE())</f>
        <v>0</v>
      </c>
      <c r="N128" s="0" t="n">
        <f aca="false">VLOOKUP($A128,'[2]Sheet 1'!$A$2:$Q$3504,14,FALSE())</f>
        <v>3.81</v>
      </c>
      <c r="O128" s="0" t="n">
        <f aca="false">VLOOKUP($A128,'[2]Sheet 1'!$A$2:$Q$3504,15,FALSE())</f>
        <v>0</v>
      </c>
      <c r="P128" s="0" t="n">
        <f aca="false">VLOOKUP($A128,'[2]Sheet 1'!$A$2:$Q$3504,16,FALSE())</f>
        <v>24.7</v>
      </c>
      <c r="Q128" s="0" t="n">
        <f aca="false">VLOOKUP($A128,'[2]Sheet 1'!$A$2:$Q$3504,17,FALSE())</f>
        <v>0</v>
      </c>
      <c r="S128" s="9"/>
    </row>
    <row r="129" customFormat="false" ht="14.25" hidden="false" customHeight="false" outlineLevel="0" collapsed="false">
      <c r="A129" s="9" t="n">
        <v>259</v>
      </c>
      <c r="B129" s="9" t="s">
        <v>339</v>
      </c>
      <c r="C129" s="9" t="n">
        <v>90</v>
      </c>
      <c r="D129" s="0" t="n">
        <f aca="false">VLOOKUP($A129,'[2]Sheet 1'!$A$2:$Q$3504,4,FALSE())</f>
        <v>862</v>
      </c>
      <c r="E129" s="0" t="n">
        <f aca="false">VLOOKUP($A129,'[2]Sheet 1'!$A$2:$Q$3504,5,FALSE())</f>
        <v>0</v>
      </c>
      <c r="F129" s="0" t="n">
        <f aca="false">VLOOKUP($A129,'[2]Sheet 1'!$A$2:$Q$3504,6,FALSE())</f>
        <v>0</v>
      </c>
      <c r="G129" s="0" t="n">
        <f aca="false">VLOOKUP($A129,'[2]Sheet 1'!$A$2:$Q$3504,7,FALSE())</f>
        <v>0</v>
      </c>
      <c r="H129" s="0" t="n">
        <f aca="false">VLOOKUP($A129,'[2]Sheet 1'!$A$2:$Q$3504,8,FALSE())</f>
        <v>0</v>
      </c>
      <c r="I129" s="0" t="n">
        <f aca="false">VLOOKUP($A129,'[2]Sheet 1'!$A$2:$Q$3504,9,FALSE())</f>
        <v>0</v>
      </c>
      <c r="J129" s="0" t="n">
        <f aca="false">VLOOKUP($A129,'[2]Sheet 1'!$A$2:$Q$3504,10,FALSE())</f>
        <v>0</v>
      </c>
      <c r="K129" s="0" t="n">
        <f aca="false">VLOOKUP($A129,'[2]Sheet 1'!$A$2:$Q$3504,11,FALSE())</f>
        <v>0</v>
      </c>
      <c r="L129" s="0" t="n">
        <f aca="false">VLOOKUP($A129,'[2]Sheet 1'!$A$2:$Q$3504,12,FALSE())</f>
        <v>0.2</v>
      </c>
      <c r="M129" s="0" t="n">
        <f aca="false">VLOOKUP($A129,'[2]Sheet 1'!$A$2:$Q$3504,13,FALSE())</f>
        <v>0</v>
      </c>
      <c r="N129" s="0" t="n">
        <f aca="false">VLOOKUP($A129,'[2]Sheet 1'!$A$2:$Q$3504,14,FALSE())</f>
        <v>3.81</v>
      </c>
      <c r="O129" s="0" t="n">
        <f aca="false">VLOOKUP($A129,'[2]Sheet 1'!$A$2:$Q$3504,15,FALSE())</f>
        <v>0</v>
      </c>
      <c r="P129" s="0" t="n">
        <f aca="false">VLOOKUP($A129,'[2]Sheet 1'!$A$2:$Q$3504,16,FALSE())</f>
        <v>24.7</v>
      </c>
      <c r="Q129" s="0" t="n">
        <f aca="false">VLOOKUP($A129,'[2]Sheet 1'!$A$2:$Q$3504,17,FALSE())</f>
        <v>0</v>
      </c>
      <c r="S129" s="9"/>
    </row>
    <row r="130" customFormat="false" ht="14.25" hidden="false" customHeight="false" outlineLevel="0" collapsed="false">
      <c r="A130" s="9" t="n">
        <v>260</v>
      </c>
      <c r="B130" s="9" t="s">
        <v>340</v>
      </c>
      <c r="C130" s="9" t="n">
        <v>40</v>
      </c>
      <c r="D130" s="0" t="n">
        <f aca="false">VLOOKUP($A130,'[2]Sheet 1'!$A$2:$Q$3504,4,FALSE())</f>
        <v>98</v>
      </c>
      <c r="E130" s="0" t="n">
        <f aca="false">VLOOKUP($A130,'[2]Sheet 1'!$A$2:$Q$3504,5,FALSE())</f>
        <v>0.905</v>
      </c>
      <c r="F130" s="0" t="n">
        <f aca="false">VLOOKUP($A130,'[2]Sheet 1'!$A$2:$Q$3504,6,FALSE())</f>
        <v>2.85</v>
      </c>
      <c r="G130" s="0" t="n">
        <f aca="false">VLOOKUP($A130,'[2]Sheet 1'!$A$2:$Q$3504,7,FALSE())</f>
        <v>0.22</v>
      </c>
      <c r="H130" s="0" t="n">
        <f aca="false">VLOOKUP($A130,'[2]Sheet 1'!$A$2:$Q$3504,8,FALSE())</f>
        <v>2.85</v>
      </c>
      <c r="I130" s="0" t="n">
        <f aca="false">VLOOKUP($A130,'[2]Sheet 1'!$A$2:$Q$3504,9,FALSE())</f>
        <v>87</v>
      </c>
      <c r="J130" s="0" t="n">
        <f aca="false">VLOOKUP($A130,'[2]Sheet 1'!$A$2:$Q$3504,10,FALSE())</f>
        <v>0</v>
      </c>
      <c r="K130" s="0" t="n">
        <f aca="false">VLOOKUP($A130,'[2]Sheet 1'!$A$2:$Q$3504,11,FALSE())</f>
        <v>0.005</v>
      </c>
      <c r="L130" s="0" t="n">
        <f aca="false">VLOOKUP($A130,'[2]Sheet 1'!$A$2:$Q$3504,12,FALSE())</f>
        <v>8.45</v>
      </c>
      <c r="M130" s="0" t="n">
        <f aca="false">VLOOKUP($A130,'[2]Sheet 1'!$A$2:$Q$3504,13,FALSE())</f>
        <v>8.5</v>
      </c>
      <c r="N130" s="0" t="n">
        <f aca="false">VLOOKUP($A130,'[2]Sheet 1'!$A$2:$Q$3504,14,FALSE())</f>
        <v>3.37587649338238</v>
      </c>
      <c r="O130" s="0" t="n">
        <f aca="false">VLOOKUP($A130,'[2]Sheet 1'!$A$2:$Q$3504,15,FALSE())</f>
        <v>0</v>
      </c>
      <c r="P130" s="0" t="n">
        <f aca="false">VLOOKUP($A130,'[2]Sheet 1'!$A$2:$Q$3504,16,FALSE())</f>
        <v>1.4</v>
      </c>
      <c r="Q130" s="0" t="n">
        <f aca="false">VLOOKUP($A130,'[2]Sheet 1'!$A$2:$Q$3504,17,FALSE())</f>
        <v>20</v>
      </c>
      <c r="S130" s="9"/>
    </row>
    <row r="131" customFormat="false" ht="14.25" hidden="false" customHeight="false" outlineLevel="0" collapsed="false">
      <c r="A131" s="9" t="n">
        <v>261</v>
      </c>
      <c r="B131" s="9" t="s">
        <v>342</v>
      </c>
      <c r="C131" s="9" t="n">
        <v>100</v>
      </c>
      <c r="D131" s="0" t="n">
        <f aca="false">VLOOKUP($A131,'[2]Sheet 1'!$A$2:$Q$3504,4,FALSE())</f>
        <v>900</v>
      </c>
      <c r="E131" s="0" t="n">
        <f aca="false">VLOOKUP($A131,'[2]Sheet 1'!$A$2:$Q$3504,5,FALSE())</f>
        <v>0</v>
      </c>
      <c r="F131" s="0" t="n">
        <f aca="false">VLOOKUP($A131,'[2]Sheet 1'!$A$2:$Q$3504,6,FALSE())</f>
        <v>0</v>
      </c>
      <c r="G131" s="0" t="n">
        <f aca="false">VLOOKUP($A131,'[2]Sheet 1'!$A$2:$Q$3504,7,FALSE())</f>
        <v>0</v>
      </c>
      <c r="H131" s="0" t="n">
        <f aca="false">VLOOKUP($A131,'[2]Sheet 1'!$A$2:$Q$3504,8,FALSE())</f>
        <v>0.4</v>
      </c>
      <c r="I131" s="0" t="n">
        <f aca="false">VLOOKUP($A131,'[2]Sheet 1'!$A$2:$Q$3504,9,FALSE())</f>
        <v>1</v>
      </c>
      <c r="J131" s="0" t="n">
        <f aca="false">VLOOKUP($A131,'[2]Sheet 1'!$A$2:$Q$3504,10,FALSE())</f>
        <v>0</v>
      </c>
      <c r="K131" s="0" t="n">
        <f aca="false">VLOOKUP($A131,'[2]Sheet 1'!$A$2:$Q$3504,11,FALSE())</f>
        <v>0</v>
      </c>
      <c r="L131" s="0" t="n">
        <f aca="false">VLOOKUP($A131,'[2]Sheet 1'!$A$2:$Q$3504,12,FALSE())</f>
        <v>0.3</v>
      </c>
      <c r="M131" s="0" t="n">
        <f aca="false">VLOOKUP($A131,'[2]Sheet 1'!$A$2:$Q$3504,13,FALSE())</f>
        <v>1</v>
      </c>
      <c r="N131" s="0" t="n">
        <f aca="false">VLOOKUP($A131,'[2]Sheet 1'!$A$2:$Q$3504,14,FALSE())</f>
        <v>14.35</v>
      </c>
      <c r="O131" s="0" t="n">
        <f aca="false">VLOOKUP($A131,'[2]Sheet 1'!$A$2:$Q$3504,15,FALSE())</f>
        <v>0</v>
      </c>
      <c r="P131" s="0" t="n">
        <f aca="false">VLOOKUP($A131,'[2]Sheet 1'!$A$2:$Q$3504,16,FALSE())</f>
        <v>60.2000000000001</v>
      </c>
      <c r="Q131" s="0" t="n">
        <f aca="false">VLOOKUP($A131,'[2]Sheet 1'!$A$2:$Q$3504,17,FALSE())</f>
        <v>0</v>
      </c>
      <c r="S131" s="9"/>
    </row>
    <row r="132" customFormat="false" ht="14.25" hidden="false" customHeight="false" outlineLevel="0" collapsed="false">
      <c r="A132" s="9" t="n">
        <v>262</v>
      </c>
      <c r="B132" s="9" t="s">
        <v>344</v>
      </c>
      <c r="C132" s="9" t="n">
        <v>40</v>
      </c>
      <c r="D132" s="0" t="n">
        <f aca="false">VLOOKUP($A132,'[2]Sheet 1'!$A$2:$Q$3504,4,FALSE())</f>
        <v>98</v>
      </c>
      <c r="E132" s="0" t="n">
        <f aca="false">VLOOKUP($A132,'[2]Sheet 1'!$A$2:$Q$3504,5,FALSE())</f>
        <v>0.905</v>
      </c>
      <c r="F132" s="0" t="n">
        <f aca="false">VLOOKUP($A132,'[2]Sheet 1'!$A$2:$Q$3504,6,FALSE())</f>
        <v>2.85</v>
      </c>
      <c r="G132" s="0" t="n">
        <f aca="false">VLOOKUP($A132,'[2]Sheet 1'!$A$2:$Q$3504,7,FALSE())</f>
        <v>0.22</v>
      </c>
      <c r="H132" s="0" t="n">
        <f aca="false">VLOOKUP($A132,'[2]Sheet 1'!$A$2:$Q$3504,8,FALSE())</f>
        <v>2.85</v>
      </c>
      <c r="I132" s="0" t="n">
        <f aca="false">VLOOKUP($A132,'[2]Sheet 1'!$A$2:$Q$3504,9,FALSE())</f>
        <v>87</v>
      </c>
      <c r="J132" s="0" t="n">
        <f aca="false">VLOOKUP($A132,'[2]Sheet 1'!$A$2:$Q$3504,10,FALSE())</f>
        <v>0</v>
      </c>
      <c r="K132" s="0" t="n">
        <f aca="false">VLOOKUP($A132,'[2]Sheet 1'!$A$2:$Q$3504,11,FALSE())</f>
        <v>0.005</v>
      </c>
      <c r="L132" s="0" t="n">
        <f aca="false">VLOOKUP($A132,'[2]Sheet 1'!$A$2:$Q$3504,12,FALSE())</f>
        <v>8.45</v>
      </c>
      <c r="M132" s="0" t="n">
        <f aca="false">VLOOKUP($A132,'[2]Sheet 1'!$A$2:$Q$3504,13,FALSE())</f>
        <v>8.5</v>
      </c>
      <c r="N132" s="0" t="n">
        <f aca="false">VLOOKUP($A132,'[2]Sheet 1'!$A$2:$Q$3504,14,FALSE())</f>
        <v>3.37587649338238</v>
      </c>
      <c r="O132" s="0" t="n">
        <f aca="false">VLOOKUP($A132,'[2]Sheet 1'!$A$2:$Q$3504,15,FALSE())</f>
        <v>0</v>
      </c>
      <c r="P132" s="0" t="n">
        <f aca="false">VLOOKUP($A132,'[2]Sheet 1'!$A$2:$Q$3504,16,FALSE())</f>
        <v>1.4</v>
      </c>
      <c r="Q132" s="0" t="n">
        <f aca="false">VLOOKUP($A132,'[2]Sheet 1'!$A$2:$Q$3504,17,FALSE())</f>
        <v>20</v>
      </c>
      <c r="S132" s="9"/>
    </row>
    <row r="133" customFormat="false" ht="14.25" hidden="false" customHeight="false" outlineLevel="0" collapsed="false">
      <c r="A133" s="9" t="n">
        <v>263</v>
      </c>
      <c r="B133" s="9" t="s">
        <v>348</v>
      </c>
      <c r="C133" s="9" t="n">
        <v>95</v>
      </c>
      <c r="D133" s="0" t="n">
        <f aca="false">VLOOKUP($A133,'[2]Sheet 1'!$A$2:$Q$3504,4,FALSE())</f>
        <v>884</v>
      </c>
      <c r="E133" s="0" t="n">
        <f aca="false">VLOOKUP($A133,'[2]Sheet 1'!$A$2:$Q$3504,5,FALSE())</f>
        <v>0</v>
      </c>
      <c r="F133" s="0" t="n">
        <f aca="false">VLOOKUP($A133,'[2]Sheet 1'!$A$2:$Q$3504,6,FALSE())</f>
        <v>0</v>
      </c>
      <c r="G133" s="0" t="n">
        <f aca="false">VLOOKUP($A133,'[2]Sheet 1'!$A$2:$Q$3504,7,FALSE())</f>
        <v>0</v>
      </c>
      <c r="H133" s="0" t="n">
        <f aca="false">VLOOKUP($A133,'[2]Sheet 1'!$A$2:$Q$3504,8,FALSE())</f>
        <v>0</v>
      </c>
      <c r="I133" s="0" t="n">
        <f aca="false">VLOOKUP($A133,'[2]Sheet 1'!$A$2:$Q$3504,9,FALSE())</f>
        <v>0</v>
      </c>
      <c r="J133" s="0" t="n">
        <f aca="false">VLOOKUP($A133,'[2]Sheet 1'!$A$2:$Q$3504,10,FALSE())</f>
        <v>0</v>
      </c>
      <c r="K133" s="0" t="n">
        <f aca="false">VLOOKUP($A133,'[2]Sheet 1'!$A$2:$Q$3504,11,FALSE())</f>
        <v>0</v>
      </c>
      <c r="L133" s="0" t="n">
        <f aca="false">VLOOKUP($A133,'[2]Sheet 1'!$A$2:$Q$3504,12,FALSE())</f>
        <v>0</v>
      </c>
      <c r="M133" s="0" t="n">
        <f aca="false">VLOOKUP($A133,'[2]Sheet 1'!$A$2:$Q$3504,13,FALSE())</f>
        <v>0</v>
      </c>
      <c r="N133" s="0" t="n">
        <f aca="false">VLOOKUP($A133,'[2]Sheet 1'!$A$2:$Q$3504,14,FALSE())</f>
        <v>0</v>
      </c>
      <c r="O133" s="0" t="n">
        <f aca="false">VLOOKUP($A133,'[2]Sheet 1'!$A$2:$Q$3504,15,FALSE())</f>
        <v>0</v>
      </c>
      <c r="P133" s="0" t="n">
        <f aca="false">VLOOKUP($A133,'[2]Sheet 1'!$A$2:$Q$3504,16,FALSE())</f>
        <v>0</v>
      </c>
      <c r="Q133" s="0" t="n">
        <f aca="false">VLOOKUP($A133,'[2]Sheet 1'!$A$2:$Q$3504,17,FALSE())</f>
        <v>0</v>
      </c>
      <c r="S133" s="9"/>
    </row>
    <row r="134" customFormat="false" ht="14.25" hidden="false" customHeight="false" outlineLevel="0" collapsed="false">
      <c r="A134" s="9" t="n">
        <v>264</v>
      </c>
      <c r="B134" s="9" t="s">
        <v>350</v>
      </c>
      <c r="C134" s="9" t="n">
        <v>90</v>
      </c>
      <c r="D134" s="0" t="n">
        <f aca="false">VLOOKUP($A134,'[2]Sheet 1'!$A$2:$Q$3504,4,FALSE())</f>
        <v>884</v>
      </c>
      <c r="E134" s="0" t="n">
        <f aca="false">VLOOKUP($A134,'[2]Sheet 1'!$A$2:$Q$3504,5,FALSE())</f>
        <v>0</v>
      </c>
      <c r="F134" s="0" t="n">
        <f aca="false">VLOOKUP($A134,'[2]Sheet 1'!$A$2:$Q$3504,6,FALSE())</f>
        <v>0</v>
      </c>
      <c r="G134" s="0" t="n">
        <f aca="false">VLOOKUP($A134,'[2]Sheet 1'!$A$2:$Q$3504,7,FALSE())</f>
        <v>0</v>
      </c>
      <c r="H134" s="0" t="n">
        <f aca="false">VLOOKUP($A134,'[2]Sheet 1'!$A$2:$Q$3504,8,FALSE())</f>
        <v>0</v>
      </c>
      <c r="I134" s="0" t="n">
        <f aca="false">VLOOKUP($A134,'[2]Sheet 1'!$A$2:$Q$3504,9,FALSE())</f>
        <v>0</v>
      </c>
      <c r="J134" s="0" t="n">
        <f aca="false">VLOOKUP($A134,'[2]Sheet 1'!$A$2:$Q$3504,10,FALSE())</f>
        <v>0</v>
      </c>
      <c r="K134" s="0" t="n">
        <f aca="false">VLOOKUP($A134,'[2]Sheet 1'!$A$2:$Q$3504,11,FALSE())</f>
        <v>0</v>
      </c>
      <c r="L134" s="0" t="n">
        <f aca="false">VLOOKUP($A134,'[2]Sheet 1'!$A$2:$Q$3504,12,FALSE())</f>
        <v>0</v>
      </c>
      <c r="M134" s="0" t="n">
        <f aca="false">VLOOKUP($A134,'[2]Sheet 1'!$A$2:$Q$3504,13,FALSE())</f>
        <v>0</v>
      </c>
      <c r="N134" s="0" t="n">
        <f aca="false">VLOOKUP($A134,'[2]Sheet 1'!$A$2:$Q$3504,14,FALSE())</f>
        <v>0</v>
      </c>
      <c r="O134" s="0" t="n">
        <f aca="false">VLOOKUP($A134,'[2]Sheet 1'!$A$2:$Q$3504,15,FALSE())</f>
        <v>0</v>
      </c>
      <c r="P134" s="0" t="n">
        <f aca="false">VLOOKUP($A134,'[2]Sheet 1'!$A$2:$Q$3504,16,FALSE())</f>
        <v>0</v>
      </c>
      <c r="Q134" s="0" t="n">
        <f aca="false">VLOOKUP($A134,'[2]Sheet 1'!$A$2:$Q$3504,17,FALSE())</f>
        <v>0</v>
      </c>
      <c r="S134" s="9"/>
    </row>
    <row r="135" customFormat="false" ht="14.25" hidden="false" customHeight="false" outlineLevel="0" collapsed="false">
      <c r="A135" s="9" t="n">
        <v>265</v>
      </c>
      <c r="B135" s="9" t="s">
        <v>352</v>
      </c>
      <c r="C135" s="9" t="n">
        <v>20</v>
      </c>
      <c r="D135" s="0" t="n">
        <f aca="false">VLOOKUP($A135,'[2]Sheet 1'!$A$2:$Q$3504,4,FALSE())</f>
        <v>884</v>
      </c>
      <c r="E135" s="0" t="n">
        <f aca="false">VLOOKUP($A135,'[2]Sheet 1'!$A$2:$Q$3504,5,FALSE())</f>
        <v>0</v>
      </c>
      <c r="F135" s="0" t="n">
        <f aca="false">VLOOKUP($A135,'[2]Sheet 1'!$A$2:$Q$3504,6,FALSE())</f>
        <v>0</v>
      </c>
      <c r="G135" s="0" t="n">
        <f aca="false">VLOOKUP($A135,'[2]Sheet 1'!$A$2:$Q$3504,7,FALSE())</f>
        <v>0</v>
      </c>
      <c r="H135" s="0" t="n">
        <f aca="false">VLOOKUP($A135,'[2]Sheet 1'!$A$2:$Q$3504,8,FALSE())</f>
        <v>0</v>
      </c>
      <c r="I135" s="0" t="n">
        <f aca="false">VLOOKUP($A135,'[2]Sheet 1'!$A$2:$Q$3504,9,FALSE())</f>
        <v>0</v>
      </c>
      <c r="J135" s="0" t="n">
        <f aca="false">VLOOKUP($A135,'[2]Sheet 1'!$A$2:$Q$3504,10,FALSE())</f>
        <v>0</v>
      </c>
      <c r="K135" s="0" t="n">
        <f aca="false">VLOOKUP($A135,'[2]Sheet 1'!$A$2:$Q$3504,11,FALSE())</f>
        <v>0</v>
      </c>
      <c r="L135" s="0" t="n">
        <f aca="false">VLOOKUP($A135,'[2]Sheet 1'!$A$2:$Q$3504,12,FALSE())</f>
        <v>0</v>
      </c>
      <c r="M135" s="0" t="n">
        <f aca="false">VLOOKUP($A135,'[2]Sheet 1'!$A$2:$Q$3504,13,FALSE())</f>
        <v>0</v>
      </c>
      <c r="N135" s="0" t="n">
        <f aca="false">VLOOKUP($A135,'[2]Sheet 1'!$A$2:$Q$3504,14,FALSE())</f>
        <v>0</v>
      </c>
      <c r="O135" s="0" t="n">
        <f aca="false">VLOOKUP($A135,'[2]Sheet 1'!$A$2:$Q$3504,15,FALSE())</f>
        <v>0</v>
      </c>
      <c r="P135" s="0" t="n">
        <f aca="false">VLOOKUP($A135,'[2]Sheet 1'!$A$2:$Q$3504,16,FALSE())</f>
        <v>0</v>
      </c>
      <c r="Q135" s="0" t="n">
        <f aca="false">VLOOKUP($A135,'[2]Sheet 1'!$A$2:$Q$3504,17,FALSE())</f>
        <v>0</v>
      </c>
      <c r="S135" s="9"/>
    </row>
    <row r="136" customFormat="false" ht="14.25" hidden="false" customHeight="false" outlineLevel="0" collapsed="false">
      <c r="A136" s="9" t="n">
        <v>266</v>
      </c>
      <c r="B136" s="9" t="s">
        <v>354</v>
      </c>
      <c r="C136" s="9" t="n">
        <v>100</v>
      </c>
      <c r="D136" s="0" t="n">
        <f aca="false">VLOOKUP($A136,'[2]Sheet 1'!$A$2:$Q$3504,4,FALSE())</f>
        <v>884</v>
      </c>
      <c r="E136" s="0" t="n">
        <f aca="false">VLOOKUP($A136,'[2]Sheet 1'!$A$2:$Q$3504,5,FALSE())</f>
        <v>0</v>
      </c>
      <c r="F136" s="0" t="n">
        <f aca="false">VLOOKUP($A136,'[2]Sheet 1'!$A$2:$Q$3504,6,FALSE())</f>
        <v>0</v>
      </c>
      <c r="G136" s="0" t="n">
        <f aca="false">VLOOKUP($A136,'[2]Sheet 1'!$A$2:$Q$3504,7,FALSE())</f>
        <v>0</v>
      </c>
      <c r="H136" s="0" t="n">
        <f aca="false">VLOOKUP($A136,'[2]Sheet 1'!$A$2:$Q$3504,8,FALSE())</f>
        <v>0</v>
      </c>
      <c r="I136" s="0" t="n">
        <f aca="false">VLOOKUP($A136,'[2]Sheet 1'!$A$2:$Q$3504,9,FALSE())</f>
        <v>0</v>
      </c>
      <c r="J136" s="0" t="n">
        <f aca="false">VLOOKUP($A136,'[2]Sheet 1'!$A$2:$Q$3504,10,FALSE())</f>
        <v>0</v>
      </c>
      <c r="K136" s="0" t="n">
        <f aca="false">VLOOKUP($A136,'[2]Sheet 1'!$A$2:$Q$3504,11,FALSE())</f>
        <v>0</v>
      </c>
      <c r="L136" s="0" t="n">
        <f aca="false">VLOOKUP($A136,'[2]Sheet 1'!$A$2:$Q$3504,12,FALSE())</f>
        <v>0</v>
      </c>
      <c r="M136" s="0" t="n">
        <f aca="false">VLOOKUP($A136,'[2]Sheet 1'!$A$2:$Q$3504,13,FALSE())</f>
        <v>0</v>
      </c>
      <c r="N136" s="0" t="n">
        <f aca="false">VLOOKUP($A136,'[2]Sheet 1'!$A$2:$Q$3504,14,FALSE())</f>
        <v>0</v>
      </c>
      <c r="O136" s="0" t="n">
        <f aca="false">VLOOKUP($A136,'[2]Sheet 1'!$A$2:$Q$3504,15,FALSE())</f>
        <v>0</v>
      </c>
      <c r="P136" s="0" t="n">
        <f aca="false">VLOOKUP($A136,'[2]Sheet 1'!$A$2:$Q$3504,16,FALSE())</f>
        <v>0</v>
      </c>
      <c r="Q136" s="0" t="n">
        <f aca="false">VLOOKUP($A136,'[2]Sheet 1'!$A$2:$Q$3504,17,FALSE())</f>
        <v>0</v>
      </c>
      <c r="S136" s="9"/>
    </row>
    <row r="137" customFormat="false" ht="14.25" hidden="false" customHeight="false" outlineLevel="0" collapsed="false">
      <c r="A137" s="9" t="n">
        <v>267</v>
      </c>
      <c r="B137" s="9" t="s">
        <v>356</v>
      </c>
      <c r="C137" s="9" t="n">
        <v>93</v>
      </c>
      <c r="D137" s="0" t="n">
        <f aca="false">VLOOKUP($A137,'[2]Sheet 1'!$A$2:$Q$3504,4,FALSE())</f>
        <v>584</v>
      </c>
      <c r="E137" s="0" t="n">
        <f aca="false">VLOOKUP($A137,'[2]Sheet 1'!$A$2:$Q$3504,5,FALSE())</f>
        <v>19.55</v>
      </c>
      <c r="F137" s="0" t="n">
        <f aca="false">VLOOKUP($A137,'[2]Sheet 1'!$A$2:$Q$3504,6,FALSE())</f>
        <v>8.6</v>
      </c>
      <c r="G137" s="0" t="n">
        <f aca="false">VLOOKUP($A137,'[2]Sheet 1'!$A$2:$Q$3504,7,FALSE())</f>
        <v>2.75</v>
      </c>
      <c r="H137" s="0" t="n">
        <f aca="false">VLOOKUP($A137,'[2]Sheet 1'!$A$2:$Q$3504,8,FALSE())</f>
        <v>5.125</v>
      </c>
      <c r="I137" s="0" t="n">
        <f aca="false">VLOOKUP($A137,'[2]Sheet 1'!$A$2:$Q$3504,9,FALSE())</f>
        <v>110</v>
      </c>
      <c r="J137" s="0" t="n">
        <f aca="false">VLOOKUP($A137,'[2]Sheet 1'!$A$2:$Q$3504,10,FALSE())</f>
        <v>227</v>
      </c>
      <c r="K137" s="0" t="n">
        <f aca="false">VLOOKUP($A137,'[2]Sheet 1'!$A$2:$Q$3504,11,FALSE())</f>
        <v>0.195</v>
      </c>
      <c r="L137" s="0" t="n">
        <f aca="false">VLOOKUP($A137,'[2]Sheet 1'!$A$2:$Q$3504,12,FALSE())</f>
        <v>55.1</v>
      </c>
      <c r="M137" s="0" t="n">
        <f aca="false">VLOOKUP($A137,'[2]Sheet 1'!$A$2:$Q$3504,13,FALSE())</f>
        <v>782.5</v>
      </c>
      <c r="N137" s="0" t="n">
        <f aca="false">VLOOKUP($A137,'[2]Sheet 1'!$A$2:$Q$3504,14,FALSE())</f>
        <v>35.17</v>
      </c>
      <c r="O137" s="0" t="n">
        <f aca="false">VLOOKUP($A137,'[2]Sheet 1'!$A$2:$Q$3504,15,FALSE())</f>
        <v>0</v>
      </c>
      <c r="P137" s="0" t="n">
        <f aca="false">VLOOKUP($A137,'[2]Sheet 1'!$A$2:$Q$3504,16,FALSE())</f>
        <v>0</v>
      </c>
      <c r="Q137" s="0" t="n">
        <f aca="false">VLOOKUP($A137,'[2]Sheet 1'!$A$2:$Q$3504,17,FALSE())</f>
        <v>4</v>
      </c>
      <c r="S137" s="9"/>
    </row>
    <row r="138" customFormat="false" ht="14.25" hidden="false" customHeight="false" outlineLevel="0" collapsed="false">
      <c r="A138" s="9" t="n">
        <v>268</v>
      </c>
      <c r="B138" s="9" t="s">
        <v>358</v>
      </c>
      <c r="C138" s="9" t="n">
        <v>100</v>
      </c>
      <c r="D138" s="0" t="n">
        <f aca="false">VLOOKUP($A138,'[2]Sheet 1'!$A$2:$Q$3504,4,FALSE())</f>
        <v>900</v>
      </c>
      <c r="E138" s="0" t="n">
        <f aca="false">VLOOKUP($A138,'[2]Sheet 1'!$A$2:$Q$3504,5,FALSE())</f>
        <v>0</v>
      </c>
      <c r="F138" s="0" t="n">
        <f aca="false">VLOOKUP($A138,'[2]Sheet 1'!$A$2:$Q$3504,6,FALSE())</f>
        <v>0</v>
      </c>
      <c r="G138" s="0" t="n">
        <f aca="false">VLOOKUP($A138,'[2]Sheet 1'!$A$2:$Q$3504,7,FALSE())</f>
        <v>0</v>
      </c>
      <c r="H138" s="0" t="n">
        <f aca="false">VLOOKUP($A138,'[2]Sheet 1'!$A$2:$Q$3504,8,FALSE())</f>
        <v>0.03</v>
      </c>
      <c r="I138" s="0" t="n">
        <f aca="false">VLOOKUP($A138,'[2]Sheet 1'!$A$2:$Q$3504,9,FALSE())</f>
        <v>0</v>
      </c>
      <c r="J138" s="0" t="n">
        <f aca="false">VLOOKUP($A138,'[2]Sheet 1'!$A$2:$Q$3504,10,FALSE())</f>
        <v>0</v>
      </c>
      <c r="K138" s="0" t="n">
        <f aca="false">VLOOKUP($A138,'[2]Sheet 1'!$A$2:$Q$3504,11,FALSE())</f>
        <v>0</v>
      </c>
      <c r="L138" s="0" t="n">
        <f aca="false">VLOOKUP($A138,'[2]Sheet 1'!$A$2:$Q$3504,12,FALSE())</f>
        <v>0</v>
      </c>
      <c r="M138" s="0" t="n">
        <f aca="false">VLOOKUP($A138,'[2]Sheet 1'!$A$2:$Q$3504,13,FALSE())</f>
        <v>0</v>
      </c>
      <c r="N138" s="0" t="n">
        <f aca="false">VLOOKUP($A138,'[2]Sheet 1'!$A$2:$Q$3504,14,FALSE())</f>
        <v>41.08</v>
      </c>
      <c r="O138" s="0" t="n">
        <f aca="false">VLOOKUP($A138,'[2]Sheet 1'!$A$2:$Q$3504,15,FALSE())</f>
        <v>0</v>
      </c>
      <c r="P138" s="0" t="n">
        <f aca="false">VLOOKUP($A138,'[2]Sheet 1'!$A$2:$Q$3504,16,FALSE())</f>
        <v>5.4</v>
      </c>
      <c r="Q138" s="0" t="n">
        <f aca="false">VLOOKUP($A138,'[2]Sheet 1'!$A$2:$Q$3504,17,FALSE())</f>
        <v>0</v>
      </c>
      <c r="S138" s="9"/>
    </row>
    <row r="139" customFormat="false" ht="14.25" hidden="false" customHeight="false" outlineLevel="0" collapsed="false">
      <c r="A139" s="9" t="n">
        <v>269</v>
      </c>
      <c r="B139" s="9" t="s">
        <v>361</v>
      </c>
      <c r="C139" s="9" t="n">
        <v>90</v>
      </c>
      <c r="D139" s="0" t="n">
        <f aca="false">VLOOKUP($A139,'[2]Sheet 1'!$A$2:$Q$3504,4,FALSE())</f>
        <v>884</v>
      </c>
      <c r="E139" s="0" t="n">
        <f aca="false">VLOOKUP($A139,'[2]Sheet 1'!$A$2:$Q$3504,5,FALSE())</f>
        <v>0</v>
      </c>
      <c r="F139" s="0" t="n">
        <f aca="false">VLOOKUP($A139,'[2]Sheet 1'!$A$2:$Q$3504,6,FALSE())</f>
        <v>0</v>
      </c>
      <c r="G139" s="0" t="n">
        <f aca="false">VLOOKUP($A139,'[2]Sheet 1'!$A$2:$Q$3504,7,FALSE())</f>
        <v>0</v>
      </c>
      <c r="H139" s="0" t="n">
        <f aca="false">VLOOKUP($A139,'[2]Sheet 1'!$A$2:$Q$3504,8,FALSE())</f>
        <v>0.03</v>
      </c>
      <c r="I139" s="0" t="n">
        <f aca="false">VLOOKUP($A139,'[2]Sheet 1'!$A$2:$Q$3504,9,FALSE())</f>
        <v>0</v>
      </c>
      <c r="J139" s="0" t="n">
        <f aca="false">VLOOKUP($A139,'[2]Sheet 1'!$A$2:$Q$3504,10,FALSE())</f>
        <v>0</v>
      </c>
      <c r="K139" s="0" t="n">
        <f aca="false">VLOOKUP($A139,'[2]Sheet 1'!$A$2:$Q$3504,11,FALSE())</f>
        <v>0</v>
      </c>
      <c r="L139" s="0" t="n">
        <f aca="false">VLOOKUP($A139,'[2]Sheet 1'!$A$2:$Q$3504,12,FALSE())</f>
        <v>0</v>
      </c>
      <c r="M139" s="0" t="n">
        <f aca="false">VLOOKUP($A139,'[2]Sheet 1'!$A$2:$Q$3504,13,FALSE())</f>
        <v>0</v>
      </c>
      <c r="N139" s="0" t="n">
        <f aca="false">VLOOKUP($A139,'[2]Sheet 1'!$A$2:$Q$3504,14,FALSE())</f>
        <v>41.08</v>
      </c>
      <c r="O139" s="0" t="n">
        <f aca="false">VLOOKUP($A139,'[2]Sheet 1'!$A$2:$Q$3504,15,FALSE())</f>
        <v>0</v>
      </c>
      <c r="P139" s="0" t="n">
        <f aca="false">VLOOKUP($A139,'[2]Sheet 1'!$A$2:$Q$3504,16,FALSE())</f>
        <v>5.4</v>
      </c>
      <c r="Q139" s="0" t="n">
        <f aca="false">VLOOKUP($A139,'[2]Sheet 1'!$A$2:$Q$3504,17,FALSE())</f>
        <v>0</v>
      </c>
      <c r="S139" s="9"/>
    </row>
    <row r="140" customFormat="false" ht="14.25" hidden="false" customHeight="false" outlineLevel="0" collapsed="false">
      <c r="A140" s="9" t="n">
        <v>270</v>
      </c>
      <c r="B140" s="9" t="s">
        <v>363</v>
      </c>
      <c r="C140" s="9" t="n">
        <v>88</v>
      </c>
      <c r="D140" s="0" t="n">
        <f aca="false">VLOOKUP($A140,'[2]Sheet 1'!$A$2:$Q$3504,4,FALSE())</f>
        <v>524.5</v>
      </c>
      <c r="E140" s="0" t="n">
        <f aca="false">VLOOKUP($A140,'[2]Sheet 1'!$A$2:$Q$3504,5,FALSE())</f>
        <v>23.04</v>
      </c>
      <c r="F140" s="0" t="n">
        <f aca="false">VLOOKUP($A140,'[2]Sheet 1'!$A$2:$Q$3504,6,FALSE())</f>
        <v>7.1</v>
      </c>
      <c r="G140" s="0" t="n">
        <f aca="false">VLOOKUP($A140,'[2]Sheet 1'!$A$2:$Q$3504,7,FALSE())</f>
        <v>5.54</v>
      </c>
      <c r="H140" s="0" t="n">
        <f aca="false">VLOOKUP($A140,'[2]Sheet 1'!$A$2:$Q$3504,8,FALSE())</f>
        <v>8.605</v>
      </c>
      <c r="I140" s="0" t="n">
        <f aca="false">VLOOKUP($A140,'[2]Sheet 1'!$A$2:$Q$3504,9,FALSE())</f>
        <v>378</v>
      </c>
      <c r="J140" s="0" t="n">
        <f aca="false">VLOOKUP($A140,'[2]Sheet 1'!$A$2:$Q$3504,10,FALSE())</f>
        <v>162</v>
      </c>
      <c r="K140" s="0" t="n">
        <f aca="false">VLOOKUP($A140,'[2]Sheet 1'!$A$2:$Q$3504,11,FALSE())</f>
        <v>0.1305</v>
      </c>
      <c r="L140" s="0" t="n">
        <f aca="false">VLOOKUP($A140,'[2]Sheet 1'!$A$2:$Q$3504,12,FALSE())</f>
        <v>166.85</v>
      </c>
      <c r="M140" s="0" t="n">
        <f aca="false">VLOOKUP($A140,'[2]Sheet 1'!$A$2:$Q$3504,13,FALSE())</f>
        <v>738</v>
      </c>
      <c r="N140" s="0" t="n">
        <f aca="false">VLOOKUP($A140,'[2]Sheet 1'!$A$2:$Q$3504,14,FALSE())</f>
        <v>0</v>
      </c>
      <c r="O140" s="0" t="n">
        <f aca="false">VLOOKUP($A140,'[2]Sheet 1'!$A$2:$Q$3504,15,FALSE())</f>
        <v>0</v>
      </c>
      <c r="P140" s="0" t="n">
        <f aca="false">VLOOKUP($A140,'[2]Sheet 1'!$A$2:$Q$3504,16,FALSE())</f>
        <v>0</v>
      </c>
      <c r="Q140" s="0" t="n">
        <f aca="false">VLOOKUP($A140,'[2]Sheet 1'!$A$2:$Q$3504,17,FALSE())</f>
        <v>2</v>
      </c>
      <c r="S140" s="9"/>
    </row>
    <row r="141" customFormat="false" ht="14.25" hidden="false" customHeight="false" outlineLevel="0" collapsed="false">
      <c r="A141" s="9" t="n">
        <v>271</v>
      </c>
      <c r="B141" s="9" t="s">
        <v>366</v>
      </c>
      <c r="C141" s="9" t="n">
        <v>100</v>
      </c>
      <c r="D141" s="0" t="n">
        <f aca="false">VLOOKUP($A141,'[2]Sheet 1'!$A$2:$Q$3504,4,FALSE())</f>
        <v>900</v>
      </c>
      <c r="E141" s="0" t="n">
        <f aca="false">VLOOKUP($A141,'[2]Sheet 1'!$A$2:$Q$3504,5,FALSE())</f>
        <v>0</v>
      </c>
      <c r="F141" s="0" t="n">
        <f aca="false">VLOOKUP($A141,'[2]Sheet 1'!$A$2:$Q$3504,6,FALSE())</f>
        <v>0</v>
      </c>
      <c r="G141" s="0" t="n">
        <f aca="false">VLOOKUP($A141,'[2]Sheet 1'!$A$2:$Q$3504,7,FALSE())</f>
        <v>0</v>
      </c>
      <c r="H141" s="0" t="n">
        <f aca="false">VLOOKUP($A141,'[2]Sheet 1'!$A$2:$Q$3504,8,FALSE())</f>
        <v>0</v>
      </c>
      <c r="I141" s="0" t="n">
        <f aca="false">VLOOKUP($A141,'[2]Sheet 1'!$A$2:$Q$3504,9,FALSE())</f>
        <v>0</v>
      </c>
      <c r="J141" s="0" t="n">
        <f aca="false">VLOOKUP($A141,'[2]Sheet 1'!$A$2:$Q$3504,10,FALSE())</f>
        <v>0</v>
      </c>
      <c r="K141" s="0" t="n">
        <f aca="false">VLOOKUP($A141,'[2]Sheet 1'!$A$2:$Q$3504,11,FALSE())</f>
        <v>0</v>
      </c>
      <c r="L141" s="0" t="n">
        <f aca="false">VLOOKUP($A141,'[2]Sheet 1'!$A$2:$Q$3504,12,FALSE())</f>
        <v>0.2</v>
      </c>
      <c r="M141" s="0" t="n">
        <f aca="false">VLOOKUP($A141,'[2]Sheet 1'!$A$2:$Q$3504,13,FALSE())</f>
        <v>0</v>
      </c>
      <c r="N141" s="0" t="n">
        <f aca="false">VLOOKUP($A141,'[2]Sheet 1'!$A$2:$Q$3504,14,FALSE())</f>
        <v>0</v>
      </c>
      <c r="O141" s="0" t="n">
        <f aca="false">VLOOKUP($A141,'[2]Sheet 1'!$A$2:$Q$3504,15,FALSE())</f>
        <v>0</v>
      </c>
      <c r="P141" s="0" t="n">
        <f aca="false">VLOOKUP($A141,'[2]Sheet 1'!$A$2:$Q$3504,16,FALSE())</f>
        <v>0</v>
      </c>
      <c r="Q141" s="0" t="n">
        <f aca="false">VLOOKUP($A141,'[2]Sheet 1'!$A$2:$Q$3504,17,FALSE())</f>
        <v>0</v>
      </c>
      <c r="S141" s="9"/>
    </row>
    <row r="142" customFormat="false" ht="14.25" hidden="false" customHeight="false" outlineLevel="0" collapsed="false">
      <c r="A142" s="9" t="n">
        <v>272</v>
      </c>
      <c r="B142" s="9" t="s">
        <v>369</v>
      </c>
      <c r="C142" s="9" t="n">
        <v>90</v>
      </c>
      <c r="D142" s="0" t="n">
        <f aca="false">VLOOKUP($A142,'[2]Sheet 1'!$A$2:$Q$3504,4,FALSE())</f>
        <v>884</v>
      </c>
      <c r="E142" s="0" t="n">
        <f aca="false">VLOOKUP($A142,'[2]Sheet 1'!$A$2:$Q$3504,5,FALSE())</f>
        <v>0</v>
      </c>
      <c r="F142" s="0" t="n">
        <f aca="false">VLOOKUP($A142,'[2]Sheet 1'!$A$2:$Q$3504,6,FALSE())</f>
        <v>0</v>
      </c>
      <c r="G142" s="0" t="n">
        <f aca="false">VLOOKUP($A142,'[2]Sheet 1'!$A$2:$Q$3504,7,FALSE())</f>
        <v>0</v>
      </c>
      <c r="H142" s="0" t="n">
        <f aca="false">VLOOKUP($A142,'[2]Sheet 1'!$A$2:$Q$3504,8,FALSE())</f>
        <v>0</v>
      </c>
      <c r="I142" s="0" t="n">
        <f aca="false">VLOOKUP($A142,'[2]Sheet 1'!$A$2:$Q$3504,9,FALSE())</f>
        <v>0</v>
      </c>
      <c r="J142" s="0" t="n">
        <f aca="false">VLOOKUP($A142,'[2]Sheet 1'!$A$2:$Q$3504,10,FALSE())</f>
        <v>0</v>
      </c>
      <c r="K142" s="0" t="n">
        <f aca="false">VLOOKUP($A142,'[2]Sheet 1'!$A$2:$Q$3504,11,FALSE())</f>
        <v>0</v>
      </c>
      <c r="L142" s="0" t="n">
        <f aca="false">VLOOKUP($A142,'[2]Sheet 1'!$A$2:$Q$3504,12,FALSE())</f>
        <v>0</v>
      </c>
      <c r="M142" s="0" t="n">
        <f aca="false">VLOOKUP($A142,'[2]Sheet 1'!$A$2:$Q$3504,13,FALSE())</f>
        <v>0</v>
      </c>
      <c r="N142" s="0" t="n">
        <f aca="false">VLOOKUP($A142,'[2]Sheet 1'!$A$2:$Q$3504,14,FALSE())</f>
        <v>0</v>
      </c>
      <c r="O142" s="0" t="n">
        <f aca="false">VLOOKUP($A142,'[2]Sheet 1'!$A$2:$Q$3504,15,FALSE())</f>
        <v>0</v>
      </c>
      <c r="P142" s="0" t="n">
        <f aca="false">VLOOKUP($A142,'[2]Sheet 1'!$A$2:$Q$3504,16,FALSE())</f>
        <v>0</v>
      </c>
      <c r="Q142" s="0" t="n">
        <f aca="false">VLOOKUP($A142,'[2]Sheet 1'!$A$2:$Q$3504,17,FALSE())</f>
        <v>0</v>
      </c>
      <c r="S142" s="9"/>
    </row>
    <row r="143" customFormat="false" ht="14.25" hidden="false" customHeight="false" outlineLevel="0" collapsed="false">
      <c r="A143" s="9" t="n">
        <v>274</v>
      </c>
      <c r="B143" s="9" t="s">
        <v>371</v>
      </c>
      <c r="C143" s="9" t="n">
        <v>100</v>
      </c>
      <c r="D143" s="0" t="n">
        <f aca="false">VLOOKUP($A143,'[2]Sheet 1'!$A$2:$Q$3504,4,FALSE())</f>
        <v>884</v>
      </c>
      <c r="E143" s="0" t="n">
        <f aca="false">VLOOKUP($A143,'[2]Sheet 1'!$A$2:$Q$3504,5,FALSE())</f>
        <v>0</v>
      </c>
      <c r="F143" s="0" t="n">
        <f aca="false">VLOOKUP($A143,'[2]Sheet 1'!$A$2:$Q$3504,6,FALSE())</f>
        <v>0</v>
      </c>
      <c r="G143" s="0" t="n">
        <f aca="false">VLOOKUP($A143,'[2]Sheet 1'!$A$2:$Q$3504,7,FALSE())</f>
        <v>0</v>
      </c>
      <c r="H143" s="0" t="n">
        <f aca="false">VLOOKUP($A143,'[2]Sheet 1'!$A$2:$Q$3504,8,FALSE())</f>
        <v>0.56</v>
      </c>
      <c r="I143" s="0" t="n">
        <f aca="false">VLOOKUP($A143,'[2]Sheet 1'!$A$2:$Q$3504,9,FALSE())</f>
        <v>1</v>
      </c>
      <c r="J143" s="0" t="n">
        <f aca="false">VLOOKUP($A143,'[2]Sheet 1'!$A$2:$Q$3504,10,FALSE())</f>
        <v>0</v>
      </c>
      <c r="K143" s="0" t="n">
        <f aca="false">VLOOKUP($A143,'[2]Sheet 1'!$A$2:$Q$3504,11,FALSE())</f>
        <v>0</v>
      </c>
      <c r="L143" s="0" t="n">
        <f aca="false">VLOOKUP($A143,'[2]Sheet 1'!$A$2:$Q$3504,12,FALSE())</f>
        <v>0.3</v>
      </c>
      <c r="M143" s="0" t="n">
        <f aca="false">VLOOKUP($A143,'[2]Sheet 1'!$A$2:$Q$3504,13,FALSE())</f>
        <v>1</v>
      </c>
      <c r="N143" s="0" t="n">
        <f aca="false">VLOOKUP($A143,'[2]Sheet 1'!$A$2:$Q$3504,14,FALSE())</f>
        <v>14.35</v>
      </c>
      <c r="O143" s="0" t="n">
        <f aca="false">VLOOKUP($A143,'[2]Sheet 1'!$A$2:$Q$3504,15,FALSE())</f>
        <v>0</v>
      </c>
      <c r="P143" s="0" t="n">
        <f aca="false">VLOOKUP($A143,'[2]Sheet 1'!$A$2:$Q$3504,16,FALSE())</f>
        <v>60.2</v>
      </c>
      <c r="Q143" s="0" t="n">
        <f aca="false">VLOOKUP($A143,'[2]Sheet 1'!$A$2:$Q$3504,17,FALSE())</f>
        <v>0</v>
      </c>
      <c r="S143" s="9"/>
    </row>
    <row r="144" customFormat="false" ht="14.25" hidden="false" customHeight="false" outlineLevel="0" collapsed="false">
      <c r="A144" s="9" t="n">
        <v>275</v>
      </c>
      <c r="B144" s="9" t="s">
        <v>373</v>
      </c>
      <c r="C144" s="9" t="n">
        <v>50</v>
      </c>
      <c r="D144" s="0" t="e">
        <f aca="false">VLOOKUP($A144,'[2]Sheet 1'!$A$2:$Q$3504,4,FALSE())</f>
        <v>#N/A</v>
      </c>
      <c r="E144" s="0" t="e">
        <f aca="false">VLOOKUP($A144,'[2]Sheet 1'!$A$2:$Q$3504,5,FALSE())</f>
        <v>#N/A</v>
      </c>
      <c r="F144" s="0" t="e">
        <f aca="false">VLOOKUP($A144,'[2]Sheet 1'!$A$2:$Q$3504,6,FALSE())</f>
        <v>#N/A</v>
      </c>
      <c r="G144" s="0" t="e">
        <f aca="false">VLOOKUP($A144,'[2]Sheet 1'!$A$2:$Q$3504,7,FALSE())</f>
        <v>#N/A</v>
      </c>
      <c r="H144" s="0" t="e">
        <f aca="false">VLOOKUP($A144,'[2]Sheet 1'!$A$2:$Q$3504,8,FALSE())</f>
        <v>#N/A</v>
      </c>
      <c r="I144" s="0" t="e">
        <f aca="false">VLOOKUP($A144,'[2]Sheet 1'!$A$2:$Q$3504,9,FALSE())</f>
        <v>#N/A</v>
      </c>
      <c r="J144" s="0" t="e">
        <f aca="false">VLOOKUP($A144,'[2]Sheet 1'!$A$2:$Q$3504,10,FALSE())</f>
        <v>#N/A</v>
      </c>
      <c r="K144" s="0" t="e">
        <f aca="false">VLOOKUP($A144,'[2]Sheet 1'!$A$2:$Q$3504,11,FALSE())</f>
        <v>#N/A</v>
      </c>
      <c r="L144" s="0" t="e">
        <f aca="false">VLOOKUP($A144,'[2]Sheet 1'!$A$2:$Q$3504,12,FALSE())</f>
        <v>#N/A</v>
      </c>
      <c r="M144" s="0" t="e">
        <f aca="false">VLOOKUP($A144,'[2]Sheet 1'!$A$2:$Q$3504,13,FALSE())</f>
        <v>#N/A</v>
      </c>
      <c r="N144" s="0" t="e">
        <f aca="false">VLOOKUP($A144,'[2]Sheet 1'!$A$2:$Q$3504,14,FALSE())</f>
        <v>#N/A</v>
      </c>
      <c r="O144" s="0" t="e">
        <f aca="false">VLOOKUP($A144,'[2]Sheet 1'!$A$2:$Q$3504,15,FALSE())</f>
        <v>#N/A</v>
      </c>
      <c r="P144" s="0" t="e">
        <f aca="false">VLOOKUP($A144,'[2]Sheet 1'!$A$2:$Q$3504,16,FALSE())</f>
        <v>#N/A</v>
      </c>
      <c r="Q144" s="0" t="e">
        <f aca="false">VLOOKUP($A144,'[2]Sheet 1'!$A$2:$Q$3504,17,FALSE())</f>
        <v>#N/A</v>
      </c>
      <c r="S144" s="9"/>
    </row>
    <row r="145" customFormat="false" ht="14.25" hidden="false" customHeight="false" outlineLevel="0" collapsed="false">
      <c r="A145" s="9" t="n">
        <v>277</v>
      </c>
      <c r="B145" s="9" t="s">
        <v>375</v>
      </c>
      <c r="C145" s="9" t="n">
        <v>50</v>
      </c>
      <c r="D145" s="0" t="e">
        <f aca="false">VLOOKUP($A145,'[2]Sheet 1'!$A$2:$Q$3504,4,FALSE())</f>
        <v>#N/A</v>
      </c>
      <c r="E145" s="0" t="e">
        <f aca="false">VLOOKUP($A145,'[2]Sheet 1'!$A$2:$Q$3504,5,FALSE())</f>
        <v>#N/A</v>
      </c>
      <c r="F145" s="0" t="e">
        <f aca="false">VLOOKUP($A145,'[2]Sheet 1'!$A$2:$Q$3504,6,FALSE())</f>
        <v>#N/A</v>
      </c>
      <c r="G145" s="0" t="e">
        <f aca="false">VLOOKUP($A145,'[2]Sheet 1'!$A$2:$Q$3504,7,FALSE())</f>
        <v>#N/A</v>
      </c>
      <c r="H145" s="0" t="e">
        <f aca="false">VLOOKUP($A145,'[2]Sheet 1'!$A$2:$Q$3504,8,FALSE())</f>
        <v>#N/A</v>
      </c>
      <c r="I145" s="0" t="e">
        <f aca="false">VLOOKUP($A145,'[2]Sheet 1'!$A$2:$Q$3504,9,FALSE())</f>
        <v>#N/A</v>
      </c>
      <c r="J145" s="0" t="e">
        <f aca="false">VLOOKUP($A145,'[2]Sheet 1'!$A$2:$Q$3504,10,FALSE())</f>
        <v>#N/A</v>
      </c>
      <c r="K145" s="0" t="e">
        <f aca="false">VLOOKUP($A145,'[2]Sheet 1'!$A$2:$Q$3504,11,FALSE())</f>
        <v>#N/A</v>
      </c>
      <c r="L145" s="0" t="e">
        <f aca="false">VLOOKUP($A145,'[2]Sheet 1'!$A$2:$Q$3504,12,FALSE())</f>
        <v>#N/A</v>
      </c>
      <c r="M145" s="0" t="e">
        <f aca="false">VLOOKUP($A145,'[2]Sheet 1'!$A$2:$Q$3504,13,FALSE())</f>
        <v>#N/A</v>
      </c>
      <c r="N145" s="0" t="e">
        <f aca="false">VLOOKUP($A145,'[2]Sheet 1'!$A$2:$Q$3504,14,FALSE())</f>
        <v>#N/A</v>
      </c>
      <c r="O145" s="0" t="e">
        <f aca="false">VLOOKUP($A145,'[2]Sheet 1'!$A$2:$Q$3504,15,FALSE())</f>
        <v>#N/A</v>
      </c>
      <c r="P145" s="0" t="e">
        <f aca="false">VLOOKUP($A145,'[2]Sheet 1'!$A$2:$Q$3504,16,FALSE())</f>
        <v>#N/A</v>
      </c>
      <c r="Q145" s="0" t="e">
        <f aca="false">VLOOKUP($A145,'[2]Sheet 1'!$A$2:$Q$3504,17,FALSE())</f>
        <v>#N/A</v>
      </c>
      <c r="S145" s="9"/>
    </row>
    <row r="146" customFormat="false" ht="14.25" hidden="false" customHeight="false" outlineLevel="0" collapsed="false">
      <c r="A146" s="9" t="n">
        <v>280</v>
      </c>
      <c r="B146" s="9" t="s">
        <v>377</v>
      </c>
      <c r="C146" s="9" t="n">
        <v>95</v>
      </c>
      <c r="D146" s="0" t="n">
        <f aca="false">VLOOKUP($A146,'[2]Sheet 1'!$A$2:$Q$3504,4,FALSE())</f>
        <v>517</v>
      </c>
      <c r="E146" s="0" t="n">
        <f aca="false">VLOOKUP($A146,'[2]Sheet 1'!$A$2:$Q$3504,5,FALSE())</f>
        <v>16.18</v>
      </c>
      <c r="F146" s="0" t="n">
        <f aca="false">VLOOKUP($A146,'[2]Sheet 1'!$A$2:$Q$3504,6,FALSE())</f>
        <v>0</v>
      </c>
      <c r="G146" s="0" t="n">
        <f aca="false">VLOOKUP($A146,'[2]Sheet 1'!$A$2:$Q$3504,7,FALSE())</f>
        <v>5.05</v>
      </c>
      <c r="H146" s="0" t="n">
        <f aca="false">VLOOKUP($A146,'[2]Sheet 1'!$A$2:$Q$3504,8,FALSE())</f>
        <v>4.9</v>
      </c>
      <c r="I146" s="0" t="n">
        <f aca="false">VLOOKUP($A146,'[2]Sheet 1'!$A$2:$Q$3504,9,FALSE())</f>
        <v>78</v>
      </c>
      <c r="J146" s="0" t="n">
        <f aca="false">VLOOKUP($A146,'[2]Sheet 1'!$A$2:$Q$3504,10,FALSE())</f>
        <v>160</v>
      </c>
      <c r="K146" s="0" t="n">
        <f aca="false">VLOOKUP($A146,'[2]Sheet 1'!$A$2:$Q$3504,11,FALSE())</f>
        <v>0.415</v>
      </c>
      <c r="L146" s="0" t="n">
        <f aca="false">VLOOKUP($A146,'[2]Sheet 1'!$A$2:$Q$3504,12,FALSE())</f>
        <v>0</v>
      </c>
      <c r="M146" s="0" t="n">
        <f aca="false">VLOOKUP($A146,'[2]Sheet 1'!$A$2:$Q$3504,13,FALSE())</f>
        <v>687</v>
      </c>
      <c r="N146" s="0" t="n">
        <f aca="false">VLOOKUP($A146,'[2]Sheet 1'!$A$2:$Q$3504,14,FALSE())</f>
        <v>0</v>
      </c>
      <c r="O146" s="0" t="n">
        <f aca="false">VLOOKUP($A146,'[2]Sheet 1'!$A$2:$Q$3504,15,FALSE())</f>
        <v>0</v>
      </c>
      <c r="P146" s="0" t="n">
        <f aca="false">VLOOKUP($A146,'[2]Sheet 1'!$A$2:$Q$3504,16,FALSE())</f>
        <v>0</v>
      </c>
      <c r="Q146" s="0" t="n">
        <f aca="false">VLOOKUP($A146,'[2]Sheet 1'!$A$2:$Q$3504,17,FALSE())</f>
        <v>3</v>
      </c>
      <c r="S146" s="9"/>
    </row>
    <row r="147" customFormat="false" ht="14.25" hidden="false" customHeight="false" outlineLevel="0" collapsed="false">
      <c r="A147" s="9" t="n">
        <v>281</v>
      </c>
      <c r="B147" s="9" t="s">
        <v>379</v>
      </c>
      <c r="C147" s="9" t="n">
        <v>100</v>
      </c>
      <c r="D147" s="0" t="n">
        <f aca="false">VLOOKUP($A147,'[2]Sheet 1'!$A$2:$Q$3504,4,FALSE())</f>
        <v>884</v>
      </c>
      <c r="E147" s="0" t="n">
        <f aca="false">VLOOKUP($A147,'[2]Sheet 1'!$A$2:$Q$3504,5,FALSE())</f>
        <v>0</v>
      </c>
      <c r="F147" s="0" t="n">
        <f aca="false">VLOOKUP($A147,'[2]Sheet 1'!$A$2:$Q$3504,6,FALSE())</f>
        <v>0</v>
      </c>
      <c r="G147" s="0" t="n">
        <f aca="false">VLOOKUP($A147,'[2]Sheet 1'!$A$2:$Q$3504,7,FALSE())</f>
        <v>0</v>
      </c>
      <c r="H147" s="0" t="n">
        <f aca="false">VLOOKUP($A147,'[2]Sheet 1'!$A$2:$Q$3504,8,FALSE())</f>
        <v>0</v>
      </c>
      <c r="I147" s="0" t="n">
        <f aca="false">VLOOKUP($A147,'[2]Sheet 1'!$A$2:$Q$3504,9,FALSE())</f>
        <v>0</v>
      </c>
      <c r="J147" s="0" t="n">
        <f aca="false">VLOOKUP($A147,'[2]Sheet 1'!$A$2:$Q$3504,10,FALSE())</f>
        <v>0</v>
      </c>
      <c r="K147" s="0" t="n">
        <f aca="false">VLOOKUP($A147,'[2]Sheet 1'!$A$2:$Q$3504,11,FALSE())</f>
        <v>0</v>
      </c>
      <c r="L147" s="0" t="n">
        <f aca="false">VLOOKUP($A147,'[2]Sheet 1'!$A$2:$Q$3504,12,FALSE())</f>
        <v>0.2</v>
      </c>
      <c r="M147" s="0" t="n">
        <f aca="false">VLOOKUP($A147,'[2]Sheet 1'!$A$2:$Q$3504,13,FALSE())</f>
        <v>0</v>
      </c>
      <c r="N147" s="0" t="n">
        <f aca="false">VLOOKUP($A147,'[2]Sheet 1'!$A$2:$Q$3504,14,FALSE())</f>
        <v>34.1</v>
      </c>
      <c r="O147" s="0" t="n">
        <f aca="false">VLOOKUP($A147,'[2]Sheet 1'!$A$2:$Q$3504,15,FALSE())</f>
        <v>0</v>
      </c>
      <c r="P147" s="0" t="n">
        <f aca="false">VLOOKUP($A147,'[2]Sheet 1'!$A$2:$Q$3504,16,FALSE())</f>
        <v>7.1</v>
      </c>
      <c r="Q147" s="0" t="n">
        <f aca="false">VLOOKUP($A147,'[2]Sheet 1'!$A$2:$Q$3504,17,FALSE())</f>
        <v>0</v>
      </c>
      <c r="S147" s="9"/>
    </row>
    <row r="148" customFormat="false" ht="14.25" hidden="false" customHeight="false" outlineLevel="0" collapsed="false">
      <c r="A148" s="9" t="n">
        <v>282</v>
      </c>
      <c r="B148" s="9" t="s">
        <v>381</v>
      </c>
      <c r="C148" s="9" t="n">
        <v>90</v>
      </c>
      <c r="D148" s="0" t="n">
        <f aca="false">VLOOKUP($A148,'[2]Sheet 1'!$A$2:$Q$3504,4,FALSE())</f>
        <v>342</v>
      </c>
      <c r="E148" s="0" t="n">
        <f aca="false">VLOOKUP($A148,'[2]Sheet 1'!$A$2:$Q$3504,5,FALSE())</f>
        <v>35.62</v>
      </c>
      <c r="F148" s="0" t="n">
        <f aca="false">VLOOKUP($A148,'[2]Sheet 1'!$A$2:$Q$3504,6,FALSE())</f>
        <v>0</v>
      </c>
      <c r="G148" s="0" t="n">
        <f aca="false">VLOOKUP($A148,'[2]Sheet 1'!$A$2:$Q$3504,7,FALSE())</f>
        <v>5.01</v>
      </c>
      <c r="H148" s="0" t="n">
        <f aca="false">VLOOKUP($A148,'[2]Sheet 1'!$A$2:$Q$3504,8,FALSE())</f>
        <v>4.86</v>
      </c>
      <c r="I148" s="0" t="n">
        <f aca="false">VLOOKUP($A148,'[2]Sheet 1'!$A$2:$Q$3504,9,FALSE())</f>
        <v>77</v>
      </c>
      <c r="J148" s="0" t="n">
        <f aca="false">VLOOKUP($A148,'[2]Sheet 1'!$A$2:$Q$3504,10,FALSE())</f>
        <v>159</v>
      </c>
      <c r="K148" s="0" t="n">
        <f aca="false">VLOOKUP($A148,'[2]Sheet 1'!$A$2:$Q$3504,11,FALSE())</f>
        <v>0.412</v>
      </c>
      <c r="L148" s="0" t="n">
        <f aca="false">VLOOKUP($A148,'[2]Sheet 1'!$A$2:$Q$3504,12,FALSE())</f>
        <v>0</v>
      </c>
      <c r="M148" s="0" t="n">
        <f aca="false">VLOOKUP($A148,'[2]Sheet 1'!$A$2:$Q$3504,13,FALSE())</f>
        <v>68</v>
      </c>
      <c r="N148" s="0" t="n">
        <f aca="false">VLOOKUP($A148,'[2]Sheet 1'!$A$2:$Q$3504,14,FALSE())</f>
        <v>0</v>
      </c>
      <c r="O148" s="0" t="n">
        <f aca="false">VLOOKUP($A148,'[2]Sheet 1'!$A$2:$Q$3504,15,FALSE())</f>
        <v>0</v>
      </c>
      <c r="P148" s="0" t="n">
        <f aca="false">VLOOKUP($A148,'[2]Sheet 1'!$A$2:$Q$3504,16,FALSE())</f>
        <v>0</v>
      </c>
      <c r="Q148" s="0" t="n">
        <f aca="false">VLOOKUP($A148,'[2]Sheet 1'!$A$2:$Q$3504,17,FALSE())</f>
        <v>2</v>
      </c>
      <c r="S148" s="9"/>
    </row>
    <row r="149" customFormat="false" ht="14.25" hidden="false" customHeight="false" outlineLevel="0" collapsed="false">
      <c r="A149" s="9" t="n">
        <v>289</v>
      </c>
      <c r="B149" s="9" t="s">
        <v>382</v>
      </c>
      <c r="C149" s="9" t="n">
        <v>94</v>
      </c>
      <c r="D149" s="0" t="n">
        <f aca="false">VLOOKUP($A149,'[2]Sheet 1'!$A$2:$Q$3504,4,FALSE())</f>
        <v>561</v>
      </c>
      <c r="E149" s="0" t="n">
        <f aca="false">VLOOKUP($A149,'[2]Sheet 1'!$A$2:$Q$3504,5,FALSE())</f>
        <v>19.1</v>
      </c>
      <c r="F149" s="0" t="n">
        <f aca="false">VLOOKUP($A149,'[2]Sheet 1'!$A$2:$Q$3504,6,FALSE())</f>
        <v>11.7</v>
      </c>
      <c r="G149" s="0" t="n">
        <f aca="false">VLOOKUP($A149,'[2]Sheet 1'!$A$2:$Q$3504,7,FALSE())</f>
        <v>6.43</v>
      </c>
      <c r="H149" s="0" t="n">
        <f aca="false">VLOOKUP($A149,'[2]Sheet 1'!$A$2:$Q$3504,8,FALSE())</f>
        <v>9.5</v>
      </c>
      <c r="I149" s="0" t="n">
        <f aca="false">VLOOKUP($A149,'[2]Sheet 1'!$A$2:$Q$3504,9,FALSE())</f>
        <v>816</v>
      </c>
      <c r="J149" s="0" t="n">
        <f aca="false">VLOOKUP($A149,'[2]Sheet 1'!$A$2:$Q$3504,10,FALSE())</f>
        <v>115</v>
      </c>
      <c r="K149" s="0" t="n">
        <f aca="false">VLOOKUP($A149,'[2]Sheet 1'!$A$2:$Q$3504,11,FALSE())</f>
        <v>0.25</v>
      </c>
      <c r="L149" s="0" t="n">
        <f aca="false">VLOOKUP($A149,'[2]Sheet 1'!$A$2:$Q$3504,12,FALSE())</f>
        <v>25.6</v>
      </c>
      <c r="M149" s="0" t="n">
        <f aca="false">VLOOKUP($A149,'[2]Sheet 1'!$A$2:$Q$3504,13,FALSE())</f>
        <v>457</v>
      </c>
      <c r="N149" s="0" t="n">
        <f aca="false">VLOOKUP($A149,'[2]Sheet 1'!$A$2:$Q$3504,14,FALSE())</f>
        <v>0.25</v>
      </c>
      <c r="O149" s="0" t="n">
        <f aca="false">VLOOKUP($A149,'[2]Sheet 1'!$A$2:$Q$3504,15,FALSE())</f>
        <v>0</v>
      </c>
      <c r="P149" s="0" t="n">
        <f aca="false">VLOOKUP($A149,'[2]Sheet 1'!$A$2:$Q$3504,16,FALSE())</f>
        <v>0</v>
      </c>
      <c r="Q149" s="0" t="n">
        <f aca="false">VLOOKUP($A149,'[2]Sheet 1'!$A$2:$Q$3504,17,FALSE())</f>
        <v>2.5</v>
      </c>
      <c r="S149" s="9"/>
    </row>
    <row r="150" customFormat="false" ht="14.25" hidden="false" customHeight="false" outlineLevel="0" collapsed="false">
      <c r="A150" s="9" t="n">
        <v>290</v>
      </c>
      <c r="B150" s="9" t="s">
        <v>384</v>
      </c>
      <c r="C150" s="9" t="n">
        <v>100</v>
      </c>
      <c r="D150" s="0" t="n">
        <f aca="false">VLOOKUP($A150,'[2]Sheet 1'!$A$2:$Q$3504,4,FALSE())</f>
        <v>898</v>
      </c>
      <c r="E150" s="0" t="n">
        <f aca="false">VLOOKUP($A150,'[2]Sheet 1'!$A$2:$Q$3504,5,FALSE())</f>
        <v>0</v>
      </c>
      <c r="F150" s="0" t="n">
        <f aca="false">VLOOKUP($A150,'[2]Sheet 1'!$A$2:$Q$3504,6,FALSE())</f>
        <v>0</v>
      </c>
      <c r="G150" s="0" t="n">
        <f aca="false">VLOOKUP($A150,'[2]Sheet 1'!$A$2:$Q$3504,7,FALSE())</f>
        <v>0.085</v>
      </c>
      <c r="H150" s="0" t="n">
        <f aca="false">VLOOKUP($A150,'[2]Sheet 1'!$A$2:$Q$3504,8,FALSE())</f>
        <v>1.1</v>
      </c>
      <c r="I150" s="0" t="n">
        <f aca="false">VLOOKUP($A150,'[2]Sheet 1'!$A$2:$Q$3504,9,FALSE())</f>
        <v>4.5</v>
      </c>
      <c r="J150" s="0" t="n">
        <f aca="false">VLOOKUP($A150,'[2]Sheet 1'!$A$2:$Q$3504,10,FALSE())</f>
        <v>0</v>
      </c>
      <c r="K150" s="0" t="n">
        <f aca="false">VLOOKUP($A150,'[2]Sheet 1'!$A$2:$Q$3504,11,FALSE())</f>
        <v>0</v>
      </c>
      <c r="L150" s="0" t="n">
        <f aca="false">VLOOKUP($A150,'[2]Sheet 1'!$A$2:$Q$3504,12,FALSE())</f>
        <v>0.2</v>
      </c>
      <c r="M150" s="0" t="n">
        <f aca="false">VLOOKUP($A150,'[2]Sheet 1'!$A$2:$Q$3504,13,FALSE())</f>
        <v>0</v>
      </c>
      <c r="N150" s="0" t="n">
        <f aca="false">VLOOKUP($A150,'[2]Sheet 1'!$A$2:$Q$3504,14,FALSE())</f>
        <v>1.4</v>
      </c>
      <c r="O150" s="0" t="n">
        <f aca="false">VLOOKUP($A150,'[2]Sheet 1'!$A$2:$Q$3504,15,FALSE())</f>
        <v>0</v>
      </c>
      <c r="P150" s="0" t="n">
        <f aca="false">VLOOKUP($A150,'[2]Sheet 1'!$A$2:$Q$3504,16,FALSE())</f>
        <v>13.6</v>
      </c>
      <c r="Q150" s="0" t="n">
        <f aca="false">VLOOKUP($A150,'[2]Sheet 1'!$A$2:$Q$3504,17,FALSE())</f>
        <v>0</v>
      </c>
      <c r="S150" s="9"/>
    </row>
    <row r="151" customFormat="false" ht="14.25" hidden="false" customHeight="false" outlineLevel="0" collapsed="false">
      <c r="A151" s="9" t="n">
        <v>291</v>
      </c>
      <c r="B151" s="9" t="s">
        <v>386</v>
      </c>
      <c r="C151" s="9" t="n">
        <v>90</v>
      </c>
      <c r="D151" s="0" t="n">
        <f aca="false">VLOOKUP($A151,'[2]Sheet 1'!$A$2:$Q$3504,4,FALSE())</f>
        <v>567</v>
      </c>
      <c r="E151" s="0" t="n">
        <f aca="false">VLOOKUP($A151,'[2]Sheet 1'!$A$2:$Q$3504,5,FALSE())</f>
        <v>16.96</v>
      </c>
      <c r="F151" s="0" t="n">
        <f aca="false">VLOOKUP($A151,'[2]Sheet 1'!$A$2:$Q$3504,6,FALSE())</f>
        <v>0</v>
      </c>
      <c r="G151" s="0" t="n">
        <f aca="false">VLOOKUP($A151,'[2]Sheet 1'!$A$2:$Q$3504,7,FALSE())</f>
        <v>10.23</v>
      </c>
      <c r="H151" s="0" t="n">
        <f aca="false">VLOOKUP($A151,'[2]Sheet 1'!$A$2:$Q$3504,8,FALSE())</f>
        <v>14.55</v>
      </c>
      <c r="I151" s="0" t="n">
        <f aca="false">VLOOKUP($A151,'[2]Sheet 1'!$A$2:$Q$3504,9,FALSE())</f>
        <v>153</v>
      </c>
      <c r="J151" s="0" t="n">
        <f aca="false">VLOOKUP($A151,'[2]Sheet 1'!$A$2:$Q$3504,10,FALSE())</f>
        <v>30</v>
      </c>
      <c r="K151" s="0" t="n">
        <f aca="false">VLOOKUP($A151,'[2]Sheet 1'!$A$2:$Q$3504,11,FALSE())</f>
        <v>0.275</v>
      </c>
      <c r="L151" s="0" t="n">
        <f aca="false">VLOOKUP($A151,'[2]Sheet 1'!$A$2:$Q$3504,12,FALSE())</f>
        <v>0</v>
      </c>
      <c r="M151" s="0" t="n">
        <f aca="false">VLOOKUP($A151,'[2]Sheet 1'!$A$2:$Q$3504,13,FALSE())</f>
        <v>406</v>
      </c>
      <c r="N151" s="0" t="n">
        <f aca="false">VLOOKUP($A151,'[2]Sheet 1'!$A$2:$Q$3504,14,FALSE())</f>
        <v>0</v>
      </c>
      <c r="O151" s="0" t="n">
        <f aca="false">VLOOKUP($A151,'[2]Sheet 1'!$A$2:$Q$3504,15,FALSE())</f>
        <v>0</v>
      </c>
      <c r="P151" s="0" t="n">
        <f aca="false">VLOOKUP($A151,'[2]Sheet 1'!$A$2:$Q$3504,16,FALSE())</f>
        <v>0</v>
      </c>
      <c r="Q151" s="0" t="n">
        <f aca="false">VLOOKUP($A151,'[2]Sheet 1'!$A$2:$Q$3504,17,FALSE())</f>
        <v>3</v>
      </c>
      <c r="S151" s="9"/>
    </row>
    <row r="152" customFormat="false" ht="14.25" hidden="false" customHeight="false" outlineLevel="0" collapsed="false">
      <c r="A152" s="9" t="n">
        <v>292</v>
      </c>
      <c r="B152" s="9" t="s">
        <v>387</v>
      </c>
      <c r="C152" s="9" t="n">
        <v>90</v>
      </c>
      <c r="D152" s="0" t="n">
        <f aca="false">VLOOKUP($A152,'[2]Sheet 1'!$A$2:$Q$3504,4,FALSE())</f>
        <v>524.5</v>
      </c>
      <c r="E152" s="0" t="n">
        <f aca="false">VLOOKUP($A152,'[2]Sheet 1'!$A$2:$Q$3504,5,FALSE())</f>
        <v>23.04</v>
      </c>
      <c r="F152" s="0" t="n">
        <f aca="false">VLOOKUP($A152,'[2]Sheet 1'!$A$2:$Q$3504,6,FALSE())</f>
        <v>7.1</v>
      </c>
      <c r="G152" s="0" t="n">
        <f aca="false">VLOOKUP($A152,'[2]Sheet 1'!$A$2:$Q$3504,7,FALSE())</f>
        <v>5.54</v>
      </c>
      <c r="H152" s="0" t="n">
        <f aca="false">VLOOKUP($A152,'[2]Sheet 1'!$A$2:$Q$3504,8,FALSE())</f>
        <v>8.605</v>
      </c>
      <c r="I152" s="0" t="n">
        <f aca="false">VLOOKUP($A152,'[2]Sheet 1'!$A$2:$Q$3504,9,FALSE())</f>
        <v>378</v>
      </c>
      <c r="J152" s="0" t="n">
        <f aca="false">VLOOKUP($A152,'[2]Sheet 1'!$A$2:$Q$3504,10,FALSE())</f>
        <v>162</v>
      </c>
      <c r="K152" s="0" t="n">
        <f aca="false">VLOOKUP($A152,'[2]Sheet 1'!$A$2:$Q$3504,11,FALSE())</f>
        <v>0.1305</v>
      </c>
      <c r="L152" s="0" t="n">
        <f aca="false">VLOOKUP($A152,'[2]Sheet 1'!$A$2:$Q$3504,12,FALSE())</f>
        <v>166.85</v>
      </c>
      <c r="M152" s="0" t="n">
        <f aca="false">VLOOKUP($A152,'[2]Sheet 1'!$A$2:$Q$3504,13,FALSE())</f>
        <v>738</v>
      </c>
      <c r="N152" s="0" t="n">
        <f aca="false">VLOOKUP($A152,'[2]Sheet 1'!$A$2:$Q$3504,14,FALSE())</f>
        <v>0</v>
      </c>
      <c r="O152" s="0" t="n">
        <f aca="false">VLOOKUP($A152,'[2]Sheet 1'!$A$2:$Q$3504,15,FALSE())</f>
        <v>0</v>
      </c>
      <c r="P152" s="0" t="n">
        <f aca="false">VLOOKUP($A152,'[2]Sheet 1'!$A$2:$Q$3504,16,FALSE())</f>
        <v>0</v>
      </c>
      <c r="Q152" s="0" t="n">
        <f aca="false">VLOOKUP($A152,'[2]Sheet 1'!$A$2:$Q$3504,17,FALSE())</f>
        <v>2</v>
      </c>
      <c r="S152" s="9"/>
    </row>
    <row r="153" customFormat="false" ht="14.25" hidden="false" customHeight="false" outlineLevel="0" collapsed="false">
      <c r="A153" s="9" t="n">
        <v>294</v>
      </c>
      <c r="B153" s="9" t="s">
        <v>389</v>
      </c>
      <c r="C153" s="9" t="n">
        <v>90</v>
      </c>
      <c r="D153" s="0" t="n">
        <f aca="false">VLOOKUP($A153,'[2]Sheet 1'!$A$2:$Q$3504,4,FALSE())</f>
        <v>367</v>
      </c>
      <c r="E153" s="0" t="n">
        <f aca="false">VLOOKUP($A153,'[2]Sheet 1'!$A$2:$Q$3504,5,FALSE())</f>
        <v>49.1</v>
      </c>
      <c r="F153" s="0" t="n">
        <f aca="false">VLOOKUP($A153,'[2]Sheet 1'!$A$2:$Q$3504,6,FALSE())</f>
        <v>0</v>
      </c>
      <c r="G153" s="0" t="n">
        <f aca="false">VLOOKUP($A153,'[2]Sheet 1'!$A$2:$Q$3504,7,FALSE())</f>
        <v>12.32</v>
      </c>
      <c r="H153" s="0" t="n">
        <f aca="false">VLOOKUP($A153,'[2]Sheet 1'!$A$2:$Q$3504,8,FALSE())</f>
        <v>13.35</v>
      </c>
      <c r="I153" s="0" t="n">
        <f aca="false">VLOOKUP($A153,'[2]Sheet 1'!$A$2:$Q$3504,9,FALSE())</f>
        <v>504</v>
      </c>
      <c r="J153" s="0" t="n">
        <f aca="false">VLOOKUP($A153,'[2]Sheet 1'!$A$2:$Q$3504,10,FALSE())</f>
        <v>242</v>
      </c>
      <c r="K153" s="0" t="n">
        <f aca="false">VLOOKUP($A153,'[2]Sheet 1'!$A$2:$Q$3504,11,FALSE())</f>
        <v>0.42</v>
      </c>
      <c r="L153" s="0" t="n">
        <f aca="false">VLOOKUP($A153,'[2]Sheet 1'!$A$2:$Q$3504,12,FALSE())</f>
        <v>0</v>
      </c>
      <c r="M153" s="0" t="n">
        <f aca="false">VLOOKUP($A153,'[2]Sheet 1'!$A$2:$Q$3504,13,FALSE())</f>
        <v>1869</v>
      </c>
      <c r="N153" s="0" t="n">
        <f aca="false">VLOOKUP($A153,'[2]Sheet 1'!$A$2:$Q$3504,14,FALSE())</f>
        <v>0</v>
      </c>
      <c r="O153" s="0" t="n">
        <f aca="false">VLOOKUP($A153,'[2]Sheet 1'!$A$2:$Q$3504,15,FALSE())</f>
        <v>0</v>
      </c>
      <c r="P153" s="0" t="n">
        <f aca="false">VLOOKUP($A153,'[2]Sheet 1'!$A$2:$Q$3504,16,FALSE())</f>
        <v>0</v>
      </c>
      <c r="Q153" s="0" t="n">
        <f aca="false">VLOOKUP($A153,'[2]Sheet 1'!$A$2:$Q$3504,17,FALSE())</f>
        <v>23</v>
      </c>
      <c r="S153" s="9"/>
    </row>
    <row r="154" customFormat="false" ht="14.25" hidden="false" customHeight="false" outlineLevel="0" collapsed="false">
      <c r="A154" s="9" t="n">
        <v>295</v>
      </c>
      <c r="B154" s="9" t="s">
        <v>390</v>
      </c>
      <c r="C154" s="9" t="n">
        <v>90</v>
      </c>
      <c r="D154" s="0" t="n">
        <f aca="false">VLOOKUP($A154,'[2]Sheet 1'!$A$2:$Q$3504,4,FALSE())</f>
        <v>884</v>
      </c>
      <c r="E154" s="0" t="n">
        <f aca="false">VLOOKUP($A154,'[2]Sheet 1'!$A$2:$Q$3504,5,FALSE())</f>
        <v>0</v>
      </c>
      <c r="F154" s="0" t="n">
        <f aca="false">VLOOKUP($A154,'[2]Sheet 1'!$A$2:$Q$3504,6,FALSE())</f>
        <v>0</v>
      </c>
      <c r="G154" s="0" t="n">
        <f aca="false">VLOOKUP($A154,'[2]Sheet 1'!$A$2:$Q$3504,7,FALSE())</f>
        <v>0</v>
      </c>
      <c r="H154" s="0" t="n">
        <f aca="false">VLOOKUP($A154,'[2]Sheet 1'!$A$2:$Q$3504,8,FALSE())</f>
        <v>0</v>
      </c>
      <c r="I154" s="0" t="n">
        <f aca="false">VLOOKUP($A154,'[2]Sheet 1'!$A$2:$Q$3504,9,FALSE())</f>
        <v>0</v>
      </c>
      <c r="J154" s="0" t="n">
        <f aca="false">VLOOKUP($A154,'[2]Sheet 1'!$A$2:$Q$3504,10,FALSE())</f>
        <v>0</v>
      </c>
      <c r="K154" s="0" t="n">
        <f aca="false">VLOOKUP($A154,'[2]Sheet 1'!$A$2:$Q$3504,11,FALSE())</f>
        <v>0</v>
      </c>
      <c r="L154" s="0" t="n">
        <f aca="false">VLOOKUP($A154,'[2]Sheet 1'!$A$2:$Q$3504,12,FALSE())</f>
        <v>0</v>
      </c>
      <c r="M154" s="0" t="n">
        <f aca="false">VLOOKUP($A154,'[2]Sheet 1'!$A$2:$Q$3504,13,FALSE())</f>
        <v>0</v>
      </c>
      <c r="N154" s="0" t="n">
        <f aca="false">VLOOKUP($A154,'[2]Sheet 1'!$A$2:$Q$3504,14,FALSE())</f>
        <v>0</v>
      </c>
      <c r="O154" s="0" t="n">
        <f aca="false">VLOOKUP($A154,'[2]Sheet 1'!$A$2:$Q$3504,15,FALSE())</f>
        <v>0</v>
      </c>
      <c r="P154" s="0" t="n">
        <f aca="false">VLOOKUP($A154,'[2]Sheet 1'!$A$2:$Q$3504,16,FALSE())</f>
        <v>0</v>
      </c>
      <c r="Q154" s="0" t="n">
        <f aca="false">VLOOKUP($A154,'[2]Sheet 1'!$A$2:$Q$3504,17,FALSE())</f>
        <v>0</v>
      </c>
      <c r="S154" s="9"/>
    </row>
    <row r="155" customFormat="false" ht="14.25" hidden="false" customHeight="false" outlineLevel="0" collapsed="false">
      <c r="A155" s="9" t="n">
        <v>296</v>
      </c>
      <c r="B155" s="9" t="s">
        <v>392</v>
      </c>
      <c r="C155" s="9" t="n">
        <v>95</v>
      </c>
      <c r="D155" s="0" t="n">
        <f aca="false">VLOOKUP($A155,'[2]Sheet 1'!$A$2:$Q$3504,4,FALSE())</f>
        <v>525</v>
      </c>
      <c r="E155" s="0" t="n">
        <f aca="false">VLOOKUP($A155,'[2]Sheet 1'!$A$2:$Q$3504,5,FALSE())</f>
        <v>17.99</v>
      </c>
      <c r="F155" s="0" t="n">
        <f aca="false">VLOOKUP($A155,'[2]Sheet 1'!$A$2:$Q$3504,6,FALSE())</f>
        <v>19.5</v>
      </c>
      <c r="G155" s="0" t="n">
        <f aca="false">VLOOKUP($A155,'[2]Sheet 1'!$A$2:$Q$3504,7,FALSE())</f>
        <v>7.9</v>
      </c>
      <c r="H155" s="0" t="n">
        <f aca="false">VLOOKUP($A155,'[2]Sheet 1'!$A$2:$Q$3504,8,FALSE())</f>
        <v>9.76</v>
      </c>
      <c r="I155" s="0" t="n">
        <f aca="false">VLOOKUP($A155,'[2]Sheet 1'!$A$2:$Q$3504,9,FALSE())</f>
        <v>1438</v>
      </c>
      <c r="J155" s="0" t="n">
        <f aca="false">VLOOKUP($A155,'[2]Sheet 1'!$A$2:$Q$3504,10,FALSE())</f>
        <v>82</v>
      </c>
      <c r="K155" s="0" t="n">
        <f aca="false">VLOOKUP($A155,'[2]Sheet 1'!$A$2:$Q$3504,11,FALSE())</f>
        <v>0.1</v>
      </c>
      <c r="L155" s="0" t="n">
        <f aca="false">VLOOKUP($A155,'[2]Sheet 1'!$A$2:$Q$3504,12,FALSE())</f>
        <v>8.8</v>
      </c>
      <c r="M155" s="0" t="n">
        <f aca="false">VLOOKUP($A155,'[2]Sheet 1'!$A$2:$Q$3504,13,FALSE())</f>
        <v>719</v>
      </c>
      <c r="N155" s="0" t="n">
        <f aca="false">VLOOKUP($A155,'[2]Sheet 1'!$A$2:$Q$3504,14,FALSE())</f>
        <v>1.77</v>
      </c>
      <c r="O155" s="0" t="n">
        <f aca="false">VLOOKUP($A155,'[2]Sheet 1'!$A$2:$Q$3504,15,FALSE())</f>
        <v>0</v>
      </c>
      <c r="P155" s="0" t="n">
        <f aca="false">VLOOKUP($A155,'[2]Sheet 1'!$A$2:$Q$3504,16,FALSE())</f>
        <v>0</v>
      </c>
      <c r="Q155" s="0" t="n">
        <f aca="false">VLOOKUP($A155,'[2]Sheet 1'!$A$2:$Q$3504,17,FALSE())</f>
        <v>0</v>
      </c>
      <c r="S155" s="9"/>
    </row>
    <row r="156" customFormat="false" ht="14.25" hidden="false" customHeight="false" outlineLevel="0" collapsed="false">
      <c r="A156" s="9" t="n">
        <v>297</v>
      </c>
      <c r="B156" s="9" t="s">
        <v>394</v>
      </c>
      <c r="C156" s="9" t="n">
        <v>100</v>
      </c>
      <c r="D156" s="0" t="n">
        <f aca="false">VLOOKUP($A156,'[2]Sheet 1'!$A$2:$Q$3504,4,FALSE())</f>
        <v>884</v>
      </c>
      <c r="E156" s="0" t="n">
        <f aca="false">VLOOKUP($A156,'[2]Sheet 1'!$A$2:$Q$3504,5,FALSE())</f>
        <v>0</v>
      </c>
      <c r="F156" s="0" t="n">
        <f aca="false">VLOOKUP($A156,'[2]Sheet 1'!$A$2:$Q$3504,6,FALSE())</f>
        <v>0</v>
      </c>
      <c r="G156" s="0" t="n">
        <f aca="false">VLOOKUP($A156,'[2]Sheet 1'!$A$2:$Q$3504,7,FALSE())</f>
        <v>0</v>
      </c>
      <c r="H156" s="0" t="n">
        <f aca="false">VLOOKUP($A156,'[2]Sheet 1'!$A$2:$Q$3504,8,FALSE())</f>
        <v>0</v>
      </c>
      <c r="I156" s="0" t="n">
        <f aca="false">VLOOKUP($A156,'[2]Sheet 1'!$A$2:$Q$3504,9,FALSE())</f>
        <v>0</v>
      </c>
      <c r="J156" s="0" t="n">
        <f aca="false">VLOOKUP($A156,'[2]Sheet 1'!$A$2:$Q$3504,10,FALSE())</f>
        <v>0</v>
      </c>
      <c r="K156" s="0" t="n">
        <f aca="false">VLOOKUP($A156,'[2]Sheet 1'!$A$2:$Q$3504,11,FALSE())</f>
        <v>0</v>
      </c>
      <c r="L156" s="0" t="n">
        <f aca="false">VLOOKUP($A156,'[2]Sheet 1'!$A$2:$Q$3504,12,FALSE())</f>
        <v>0</v>
      </c>
      <c r="M156" s="0" t="n">
        <f aca="false">VLOOKUP($A156,'[2]Sheet 1'!$A$2:$Q$3504,13,FALSE())</f>
        <v>0</v>
      </c>
      <c r="N156" s="0" t="n">
        <f aca="false">VLOOKUP($A156,'[2]Sheet 1'!$A$2:$Q$3504,14,FALSE())</f>
        <v>11.4</v>
      </c>
      <c r="O156" s="0" t="n">
        <f aca="false">VLOOKUP($A156,'[2]Sheet 1'!$A$2:$Q$3504,15,FALSE())</f>
        <v>0</v>
      </c>
      <c r="P156" s="0" t="n">
        <f aca="false">VLOOKUP($A156,'[2]Sheet 1'!$A$2:$Q$3504,16,FALSE())</f>
        <v>0</v>
      </c>
      <c r="Q156" s="0" t="n">
        <f aca="false">VLOOKUP($A156,'[2]Sheet 1'!$A$2:$Q$3504,17,FALSE())</f>
        <v>0</v>
      </c>
      <c r="S156" s="9"/>
    </row>
    <row r="157" customFormat="false" ht="14.25" hidden="false" customHeight="false" outlineLevel="0" collapsed="false">
      <c r="A157" s="9" t="n">
        <v>299</v>
      </c>
      <c r="B157" s="9" t="s">
        <v>396</v>
      </c>
      <c r="C157" s="9" t="n">
        <v>50</v>
      </c>
      <c r="D157" s="0" t="e">
        <f aca="false">VLOOKUP($A157,'[2]Sheet 1'!$A$2:$Q$3504,4,FALSE())</f>
        <v>#N/A</v>
      </c>
      <c r="E157" s="0" t="e">
        <f aca="false">VLOOKUP($A157,'[2]Sheet 1'!$A$2:$Q$3504,5,FALSE())</f>
        <v>#N/A</v>
      </c>
      <c r="F157" s="0" t="e">
        <f aca="false">VLOOKUP($A157,'[2]Sheet 1'!$A$2:$Q$3504,6,FALSE())</f>
        <v>#N/A</v>
      </c>
      <c r="G157" s="0" t="e">
        <f aca="false">VLOOKUP($A157,'[2]Sheet 1'!$A$2:$Q$3504,7,FALSE())</f>
        <v>#N/A</v>
      </c>
      <c r="H157" s="0" t="e">
        <f aca="false">VLOOKUP($A157,'[2]Sheet 1'!$A$2:$Q$3504,8,FALSE())</f>
        <v>#N/A</v>
      </c>
      <c r="I157" s="0" t="e">
        <f aca="false">VLOOKUP($A157,'[2]Sheet 1'!$A$2:$Q$3504,9,FALSE())</f>
        <v>#N/A</v>
      </c>
      <c r="J157" s="0" t="e">
        <f aca="false">VLOOKUP($A157,'[2]Sheet 1'!$A$2:$Q$3504,10,FALSE())</f>
        <v>#N/A</v>
      </c>
      <c r="K157" s="0" t="e">
        <f aca="false">VLOOKUP($A157,'[2]Sheet 1'!$A$2:$Q$3504,11,FALSE())</f>
        <v>#N/A</v>
      </c>
      <c r="L157" s="0" t="e">
        <f aca="false">VLOOKUP($A157,'[2]Sheet 1'!$A$2:$Q$3504,12,FALSE())</f>
        <v>#N/A</v>
      </c>
      <c r="M157" s="0" t="e">
        <f aca="false">VLOOKUP($A157,'[2]Sheet 1'!$A$2:$Q$3504,13,FALSE())</f>
        <v>#N/A</v>
      </c>
      <c r="N157" s="0" t="e">
        <f aca="false">VLOOKUP($A157,'[2]Sheet 1'!$A$2:$Q$3504,14,FALSE())</f>
        <v>#N/A</v>
      </c>
      <c r="O157" s="0" t="e">
        <f aca="false">VLOOKUP($A157,'[2]Sheet 1'!$A$2:$Q$3504,15,FALSE())</f>
        <v>#N/A</v>
      </c>
      <c r="P157" s="0" t="e">
        <f aca="false">VLOOKUP($A157,'[2]Sheet 1'!$A$2:$Q$3504,16,FALSE())</f>
        <v>#N/A</v>
      </c>
      <c r="Q157" s="0" t="e">
        <f aca="false">VLOOKUP($A157,'[2]Sheet 1'!$A$2:$Q$3504,17,FALSE())</f>
        <v>#N/A</v>
      </c>
      <c r="S157" s="9"/>
    </row>
    <row r="158" customFormat="false" ht="14.25" hidden="false" customHeight="false" outlineLevel="0" collapsed="false">
      <c r="A158" s="9" t="n">
        <v>305</v>
      </c>
      <c r="B158" s="9" t="s">
        <v>398</v>
      </c>
      <c r="C158" s="9" t="n">
        <v>50</v>
      </c>
      <c r="D158" s="0" t="e">
        <f aca="false">VLOOKUP($A158,'[2]Sheet 1'!$A$2:$Q$3504,4,FALSE())</f>
        <v>#N/A</v>
      </c>
      <c r="E158" s="0" t="e">
        <f aca="false">VLOOKUP($A158,'[2]Sheet 1'!$A$2:$Q$3504,5,FALSE())</f>
        <v>#N/A</v>
      </c>
      <c r="F158" s="0" t="e">
        <f aca="false">VLOOKUP($A158,'[2]Sheet 1'!$A$2:$Q$3504,6,FALSE())</f>
        <v>#N/A</v>
      </c>
      <c r="G158" s="0" t="e">
        <f aca="false">VLOOKUP($A158,'[2]Sheet 1'!$A$2:$Q$3504,7,FALSE())</f>
        <v>#N/A</v>
      </c>
      <c r="H158" s="0" t="e">
        <f aca="false">VLOOKUP($A158,'[2]Sheet 1'!$A$2:$Q$3504,8,FALSE())</f>
        <v>#N/A</v>
      </c>
      <c r="I158" s="0" t="e">
        <f aca="false">VLOOKUP($A158,'[2]Sheet 1'!$A$2:$Q$3504,9,FALSE())</f>
        <v>#N/A</v>
      </c>
      <c r="J158" s="0" t="e">
        <f aca="false">VLOOKUP($A158,'[2]Sheet 1'!$A$2:$Q$3504,10,FALSE())</f>
        <v>#N/A</v>
      </c>
      <c r="K158" s="0" t="e">
        <f aca="false">VLOOKUP($A158,'[2]Sheet 1'!$A$2:$Q$3504,11,FALSE())</f>
        <v>#N/A</v>
      </c>
      <c r="L158" s="0" t="e">
        <f aca="false">VLOOKUP($A158,'[2]Sheet 1'!$A$2:$Q$3504,12,FALSE())</f>
        <v>#N/A</v>
      </c>
      <c r="M158" s="0" t="e">
        <f aca="false">VLOOKUP($A158,'[2]Sheet 1'!$A$2:$Q$3504,13,FALSE())</f>
        <v>#N/A</v>
      </c>
      <c r="N158" s="0" t="e">
        <f aca="false">VLOOKUP($A158,'[2]Sheet 1'!$A$2:$Q$3504,14,FALSE())</f>
        <v>#N/A</v>
      </c>
      <c r="O158" s="0" t="e">
        <f aca="false">VLOOKUP($A158,'[2]Sheet 1'!$A$2:$Q$3504,15,FALSE())</f>
        <v>#N/A</v>
      </c>
      <c r="P158" s="0" t="e">
        <f aca="false">VLOOKUP($A158,'[2]Sheet 1'!$A$2:$Q$3504,16,FALSE())</f>
        <v>#N/A</v>
      </c>
      <c r="Q158" s="0" t="e">
        <f aca="false">VLOOKUP($A158,'[2]Sheet 1'!$A$2:$Q$3504,17,FALSE())</f>
        <v>#N/A</v>
      </c>
      <c r="S158" s="9"/>
    </row>
    <row r="159" customFormat="false" ht="14.25" hidden="false" customHeight="false" outlineLevel="0" collapsed="false">
      <c r="A159" s="9" t="n">
        <v>306</v>
      </c>
      <c r="B159" s="9" t="s">
        <v>400</v>
      </c>
      <c r="C159" s="9" t="n">
        <v>100</v>
      </c>
      <c r="D159" s="0" t="e">
        <f aca="false">VLOOKUP($A159,'[2]Sheet 1'!$A$2:$Q$3504,4,FALSE())</f>
        <v>#N/A</v>
      </c>
      <c r="E159" s="0" t="e">
        <f aca="false">VLOOKUP($A159,'[2]Sheet 1'!$A$2:$Q$3504,5,FALSE())</f>
        <v>#N/A</v>
      </c>
      <c r="F159" s="0" t="e">
        <f aca="false">VLOOKUP($A159,'[2]Sheet 1'!$A$2:$Q$3504,6,FALSE())</f>
        <v>#N/A</v>
      </c>
      <c r="G159" s="0" t="e">
        <f aca="false">VLOOKUP($A159,'[2]Sheet 1'!$A$2:$Q$3504,7,FALSE())</f>
        <v>#N/A</v>
      </c>
      <c r="H159" s="0" t="e">
        <f aca="false">VLOOKUP($A159,'[2]Sheet 1'!$A$2:$Q$3504,8,FALSE())</f>
        <v>#N/A</v>
      </c>
      <c r="I159" s="0" t="e">
        <f aca="false">VLOOKUP($A159,'[2]Sheet 1'!$A$2:$Q$3504,9,FALSE())</f>
        <v>#N/A</v>
      </c>
      <c r="J159" s="0" t="e">
        <f aca="false">VLOOKUP($A159,'[2]Sheet 1'!$A$2:$Q$3504,10,FALSE())</f>
        <v>#N/A</v>
      </c>
      <c r="K159" s="0" t="e">
        <f aca="false">VLOOKUP($A159,'[2]Sheet 1'!$A$2:$Q$3504,11,FALSE())</f>
        <v>#N/A</v>
      </c>
      <c r="L159" s="0" t="e">
        <f aca="false">VLOOKUP($A159,'[2]Sheet 1'!$A$2:$Q$3504,12,FALSE())</f>
        <v>#N/A</v>
      </c>
      <c r="M159" s="0" t="e">
        <f aca="false">VLOOKUP($A159,'[2]Sheet 1'!$A$2:$Q$3504,13,FALSE())</f>
        <v>#N/A</v>
      </c>
      <c r="N159" s="0" t="e">
        <f aca="false">VLOOKUP($A159,'[2]Sheet 1'!$A$2:$Q$3504,14,FALSE())</f>
        <v>#N/A</v>
      </c>
      <c r="O159" s="0" t="e">
        <f aca="false">VLOOKUP($A159,'[2]Sheet 1'!$A$2:$Q$3504,15,FALSE())</f>
        <v>#N/A</v>
      </c>
      <c r="P159" s="0" t="e">
        <f aca="false">VLOOKUP($A159,'[2]Sheet 1'!$A$2:$Q$3504,16,FALSE())</f>
        <v>#N/A</v>
      </c>
      <c r="Q159" s="0" t="e">
        <f aca="false">VLOOKUP($A159,'[2]Sheet 1'!$A$2:$Q$3504,17,FALSE())</f>
        <v>#N/A</v>
      </c>
      <c r="S159" s="9"/>
    </row>
    <row r="160" customFormat="false" ht="14.25" hidden="false" customHeight="false" outlineLevel="0" collapsed="false">
      <c r="A160" s="9" t="n">
        <v>310</v>
      </c>
      <c r="B160" s="9" t="s">
        <v>402</v>
      </c>
      <c r="C160" s="9" t="n">
        <v>50</v>
      </c>
      <c r="D160" s="0" t="e">
        <f aca="false">VLOOKUP($A160,'[2]Sheet 1'!$A$2:$Q$3504,4,FALSE())</f>
        <v>#N/A</v>
      </c>
      <c r="E160" s="0" t="e">
        <f aca="false">VLOOKUP($A160,'[2]Sheet 1'!$A$2:$Q$3504,5,FALSE())</f>
        <v>#N/A</v>
      </c>
      <c r="F160" s="0" t="e">
        <f aca="false">VLOOKUP($A160,'[2]Sheet 1'!$A$2:$Q$3504,6,FALSE())</f>
        <v>#N/A</v>
      </c>
      <c r="G160" s="0" t="e">
        <f aca="false">VLOOKUP($A160,'[2]Sheet 1'!$A$2:$Q$3504,7,FALSE())</f>
        <v>#N/A</v>
      </c>
      <c r="H160" s="0" t="e">
        <f aca="false">VLOOKUP($A160,'[2]Sheet 1'!$A$2:$Q$3504,8,FALSE())</f>
        <v>#N/A</v>
      </c>
      <c r="I160" s="0" t="e">
        <f aca="false">VLOOKUP($A160,'[2]Sheet 1'!$A$2:$Q$3504,9,FALSE())</f>
        <v>#N/A</v>
      </c>
      <c r="J160" s="0" t="e">
        <f aca="false">VLOOKUP($A160,'[2]Sheet 1'!$A$2:$Q$3504,10,FALSE())</f>
        <v>#N/A</v>
      </c>
      <c r="K160" s="0" t="e">
        <f aca="false">VLOOKUP($A160,'[2]Sheet 1'!$A$2:$Q$3504,11,FALSE())</f>
        <v>#N/A</v>
      </c>
      <c r="L160" s="0" t="e">
        <f aca="false">VLOOKUP($A160,'[2]Sheet 1'!$A$2:$Q$3504,12,FALSE())</f>
        <v>#N/A</v>
      </c>
      <c r="M160" s="0" t="e">
        <f aca="false">VLOOKUP($A160,'[2]Sheet 1'!$A$2:$Q$3504,13,FALSE())</f>
        <v>#N/A</v>
      </c>
      <c r="N160" s="0" t="e">
        <f aca="false">VLOOKUP($A160,'[2]Sheet 1'!$A$2:$Q$3504,14,FALSE())</f>
        <v>#N/A</v>
      </c>
      <c r="O160" s="0" t="e">
        <f aca="false">VLOOKUP($A160,'[2]Sheet 1'!$A$2:$Q$3504,15,FALSE())</f>
        <v>#N/A</v>
      </c>
      <c r="P160" s="0" t="e">
        <f aca="false">VLOOKUP($A160,'[2]Sheet 1'!$A$2:$Q$3504,16,FALSE())</f>
        <v>#N/A</v>
      </c>
      <c r="Q160" s="0" t="e">
        <f aca="false">VLOOKUP($A160,'[2]Sheet 1'!$A$2:$Q$3504,17,FALSE())</f>
        <v>#N/A</v>
      </c>
      <c r="S160" s="9"/>
    </row>
    <row r="161" customFormat="false" ht="14.25" hidden="false" customHeight="false" outlineLevel="0" collapsed="false">
      <c r="A161" s="9" t="n">
        <v>311</v>
      </c>
      <c r="B161" s="9" t="s">
        <v>404</v>
      </c>
      <c r="C161" s="9" t="n">
        <v>90</v>
      </c>
      <c r="D161" s="0" t="n">
        <f aca="false">VLOOKUP($A161,'[2]Sheet 1'!$A$2:$Q$3504,4,FALSE())</f>
        <v>506</v>
      </c>
      <c r="E161" s="0" t="n">
        <f aca="false">VLOOKUP($A161,'[2]Sheet 1'!$A$2:$Q$3504,5,FALSE())</f>
        <v>32.59</v>
      </c>
      <c r="F161" s="0" t="n">
        <f aca="false">VLOOKUP($A161,'[2]Sheet 1'!$A$2:$Q$3504,6,FALSE())</f>
        <v>5.5</v>
      </c>
      <c r="G161" s="0" t="n">
        <f aca="false">VLOOKUP($A161,'[2]Sheet 1'!$A$2:$Q$3504,7,FALSE())</f>
        <v>6</v>
      </c>
      <c r="H161" s="0" t="n">
        <f aca="false">VLOOKUP($A161,'[2]Sheet 1'!$A$2:$Q$3504,8,FALSE())</f>
        <v>5.4</v>
      </c>
      <c r="I161" s="0" t="n">
        <f aca="false">VLOOKUP($A161,'[2]Sheet 1'!$A$2:$Q$3504,9,FALSE())</f>
        <v>100</v>
      </c>
      <c r="J161" s="0" t="n">
        <f aca="false">VLOOKUP($A161,'[2]Sheet 1'!$A$2:$Q$3504,10,FALSE())</f>
        <v>233</v>
      </c>
      <c r="K161" s="0" t="n">
        <f aca="false">VLOOKUP($A161,'[2]Sheet 1'!$A$2:$Q$3504,11,FALSE())</f>
        <v>0.255</v>
      </c>
      <c r="L161" s="0" t="n">
        <f aca="false">VLOOKUP($A161,'[2]Sheet 1'!$A$2:$Q$3504,12,FALSE())</f>
        <v>0</v>
      </c>
      <c r="M161" s="0" t="n">
        <f aca="false">VLOOKUP($A161,'[2]Sheet 1'!$A$2:$Q$3504,13,FALSE())</f>
        <v>1350</v>
      </c>
      <c r="N161" s="0" t="n">
        <f aca="false">VLOOKUP($A161,'[2]Sheet 1'!$A$2:$Q$3504,14,FALSE())</f>
        <v>0</v>
      </c>
      <c r="O161" s="0" t="n">
        <f aca="false">VLOOKUP($A161,'[2]Sheet 1'!$A$2:$Q$3504,15,FALSE())</f>
        <v>0</v>
      </c>
      <c r="P161" s="0" t="n">
        <f aca="false">VLOOKUP($A161,'[2]Sheet 1'!$A$2:$Q$3504,16,FALSE())</f>
        <v>0</v>
      </c>
      <c r="Q161" s="0" t="n">
        <f aca="false">VLOOKUP($A161,'[2]Sheet 1'!$A$2:$Q$3504,17,FALSE())</f>
        <v>22</v>
      </c>
      <c r="S161" s="9"/>
    </row>
    <row r="162" customFormat="false" ht="14.25" hidden="false" customHeight="false" outlineLevel="0" collapsed="false">
      <c r="A162" s="9" t="n">
        <v>313</v>
      </c>
      <c r="B162" s="9" t="s">
        <v>408</v>
      </c>
      <c r="C162" s="9" t="n">
        <v>100</v>
      </c>
      <c r="D162" s="0" t="n">
        <f aca="false">VLOOKUP($A162,'[2]Sheet 1'!$A$2:$Q$3504,4,FALSE())</f>
        <v>884</v>
      </c>
      <c r="E162" s="0" t="n">
        <f aca="false">VLOOKUP($A162,'[2]Sheet 1'!$A$2:$Q$3504,5,FALSE())</f>
        <v>0</v>
      </c>
      <c r="F162" s="0" t="n">
        <f aca="false">VLOOKUP($A162,'[2]Sheet 1'!$A$2:$Q$3504,6,FALSE())</f>
        <v>0</v>
      </c>
      <c r="G162" s="0" t="n">
        <f aca="false">VLOOKUP($A162,'[2]Sheet 1'!$A$2:$Q$3504,7,FALSE())</f>
        <v>0</v>
      </c>
      <c r="H162" s="0" t="n">
        <f aca="false">VLOOKUP($A162,'[2]Sheet 1'!$A$2:$Q$3504,8,FALSE())</f>
        <v>0</v>
      </c>
      <c r="I162" s="0" t="n">
        <f aca="false">VLOOKUP($A162,'[2]Sheet 1'!$A$2:$Q$3504,9,FALSE())</f>
        <v>0</v>
      </c>
      <c r="J162" s="0" t="n">
        <f aca="false">VLOOKUP($A162,'[2]Sheet 1'!$A$2:$Q$3504,10,FALSE())</f>
        <v>0</v>
      </c>
      <c r="K162" s="0" t="n">
        <f aca="false">VLOOKUP($A162,'[2]Sheet 1'!$A$2:$Q$3504,11,FALSE())</f>
        <v>0</v>
      </c>
      <c r="L162" s="0" t="n">
        <f aca="false">VLOOKUP($A162,'[2]Sheet 1'!$A$2:$Q$3504,12,FALSE())</f>
        <v>0.2</v>
      </c>
      <c r="M162" s="0" t="n">
        <f aca="false">VLOOKUP($A162,'[2]Sheet 1'!$A$2:$Q$3504,13,FALSE())</f>
        <v>0</v>
      </c>
      <c r="N162" s="0" t="n">
        <f aca="false">VLOOKUP($A162,'[2]Sheet 1'!$A$2:$Q$3504,14,FALSE())</f>
        <v>35.3</v>
      </c>
      <c r="O162" s="0" t="n">
        <f aca="false">VLOOKUP($A162,'[2]Sheet 1'!$A$2:$Q$3504,15,FALSE())</f>
        <v>0</v>
      </c>
      <c r="P162" s="0" t="n">
        <f aca="false">VLOOKUP($A162,'[2]Sheet 1'!$A$2:$Q$3504,16,FALSE())</f>
        <v>24.7</v>
      </c>
      <c r="Q162" s="0" t="n">
        <f aca="false">VLOOKUP($A162,'[2]Sheet 1'!$A$2:$Q$3504,17,FALSE())</f>
        <v>0</v>
      </c>
      <c r="S162" s="9"/>
    </row>
    <row r="163" customFormat="false" ht="14.25" hidden="false" customHeight="false" outlineLevel="0" collapsed="false">
      <c r="A163" s="9" t="n">
        <v>314</v>
      </c>
      <c r="B163" s="9" t="s">
        <v>410</v>
      </c>
      <c r="C163" s="9" t="n">
        <v>90</v>
      </c>
      <c r="D163" s="0" t="n">
        <f aca="false">VLOOKUP($A163,'[2]Sheet 1'!$A$2:$Q$3504,4,FALSE())</f>
        <v>367</v>
      </c>
      <c r="E163" s="0" t="n">
        <f aca="false">VLOOKUP($A163,'[2]Sheet 1'!$A$2:$Q$3504,5,FALSE())</f>
        <v>49.1</v>
      </c>
      <c r="F163" s="0" t="n">
        <f aca="false">VLOOKUP($A163,'[2]Sheet 1'!$A$2:$Q$3504,6,FALSE())</f>
        <v>0</v>
      </c>
      <c r="G163" s="0" t="n">
        <f aca="false">VLOOKUP($A163,'[2]Sheet 1'!$A$2:$Q$3504,7,FALSE())</f>
        <v>12.32</v>
      </c>
      <c r="H163" s="0" t="n">
        <f aca="false">VLOOKUP($A163,'[2]Sheet 1'!$A$2:$Q$3504,8,FALSE())</f>
        <v>13.35</v>
      </c>
      <c r="I163" s="0" t="n">
        <f aca="false">VLOOKUP($A163,'[2]Sheet 1'!$A$2:$Q$3504,9,FALSE())</f>
        <v>504</v>
      </c>
      <c r="J163" s="0" t="n">
        <f aca="false">VLOOKUP($A163,'[2]Sheet 1'!$A$2:$Q$3504,10,FALSE())</f>
        <v>242</v>
      </c>
      <c r="K163" s="0" t="n">
        <f aca="false">VLOOKUP($A163,'[2]Sheet 1'!$A$2:$Q$3504,11,FALSE())</f>
        <v>0.42</v>
      </c>
      <c r="L163" s="0" t="n">
        <f aca="false">VLOOKUP($A163,'[2]Sheet 1'!$A$2:$Q$3504,12,FALSE())</f>
        <v>0</v>
      </c>
      <c r="M163" s="0" t="n">
        <f aca="false">VLOOKUP($A163,'[2]Sheet 1'!$A$2:$Q$3504,13,FALSE())</f>
        <v>1869</v>
      </c>
      <c r="N163" s="0" t="n">
        <f aca="false">VLOOKUP($A163,'[2]Sheet 1'!$A$2:$Q$3504,14,FALSE())</f>
        <v>0</v>
      </c>
      <c r="O163" s="0" t="n">
        <f aca="false">VLOOKUP($A163,'[2]Sheet 1'!$A$2:$Q$3504,15,FALSE())</f>
        <v>0</v>
      </c>
      <c r="P163" s="0" t="n">
        <f aca="false">VLOOKUP($A163,'[2]Sheet 1'!$A$2:$Q$3504,16,FALSE())</f>
        <v>0</v>
      </c>
      <c r="Q163" s="0" t="n">
        <f aca="false">VLOOKUP($A163,'[2]Sheet 1'!$A$2:$Q$3504,17,FALSE())</f>
        <v>23</v>
      </c>
      <c r="S163" s="9"/>
    </row>
    <row r="164" customFormat="false" ht="14.25" hidden="false" customHeight="false" outlineLevel="0" collapsed="false">
      <c r="A164" s="9" t="n">
        <v>328</v>
      </c>
      <c r="B164" s="9" t="s">
        <v>411</v>
      </c>
      <c r="C164" s="9" t="n">
        <v>90</v>
      </c>
      <c r="D164" s="0" t="n">
        <f aca="false">VLOOKUP($A164,'[2]Sheet 1'!$A$2:$Q$3504,4,FALSE())</f>
        <v>506</v>
      </c>
      <c r="E164" s="0" t="n">
        <f aca="false">VLOOKUP($A164,'[2]Sheet 1'!$A$2:$Q$3504,5,FALSE())</f>
        <v>32.59</v>
      </c>
      <c r="F164" s="0" t="n">
        <f aca="false">VLOOKUP($A164,'[2]Sheet 1'!$A$2:$Q$3504,6,FALSE())</f>
        <v>5.5</v>
      </c>
      <c r="G164" s="0" t="n">
        <f aca="false">VLOOKUP($A164,'[2]Sheet 1'!$A$2:$Q$3504,7,FALSE())</f>
        <v>6</v>
      </c>
      <c r="H164" s="0" t="n">
        <f aca="false">VLOOKUP($A164,'[2]Sheet 1'!$A$2:$Q$3504,8,FALSE())</f>
        <v>5.4</v>
      </c>
      <c r="I164" s="0" t="n">
        <f aca="false">VLOOKUP($A164,'[2]Sheet 1'!$A$2:$Q$3504,9,FALSE())</f>
        <v>100</v>
      </c>
      <c r="J164" s="0" t="n">
        <f aca="false">VLOOKUP($A164,'[2]Sheet 1'!$A$2:$Q$3504,10,FALSE())</f>
        <v>233</v>
      </c>
      <c r="K164" s="0" t="n">
        <f aca="false">VLOOKUP($A164,'[2]Sheet 1'!$A$2:$Q$3504,11,FALSE())</f>
        <v>0.255</v>
      </c>
      <c r="L164" s="0" t="n">
        <f aca="false">VLOOKUP($A164,'[2]Sheet 1'!$A$2:$Q$3504,12,FALSE())</f>
        <v>0</v>
      </c>
      <c r="M164" s="0" t="n">
        <f aca="false">VLOOKUP($A164,'[2]Sheet 1'!$A$2:$Q$3504,13,FALSE())</f>
        <v>1350</v>
      </c>
      <c r="N164" s="0" t="n">
        <f aca="false">VLOOKUP($A164,'[2]Sheet 1'!$A$2:$Q$3504,14,FALSE())</f>
        <v>0</v>
      </c>
      <c r="O164" s="0" t="n">
        <f aca="false">VLOOKUP($A164,'[2]Sheet 1'!$A$2:$Q$3504,15,FALSE())</f>
        <v>0</v>
      </c>
      <c r="P164" s="0" t="n">
        <f aca="false">VLOOKUP($A164,'[2]Sheet 1'!$A$2:$Q$3504,16,FALSE())</f>
        <v>0</v>
      </c>
      <c r="Q164" s="0" t="n">
        <f aca="false">VLOOKUP($A164,'[2]Sheet 1'!$A$2:$Q$3504,17,FALSE())</f>
        <v>22</v>
      </c>
      <c r="S164" s="9"/>
    </row>
    <row r="165" customFormat="false" ht="14.25" hidden="false" customHeight="false" outlineLevel="0" collapsed="false">
      <c r="A165" s="9" t="n">
        <v>329</v>
      </c>
      <c r="B165" s="9" t="s">
        <v>413</v>
      </c>
      <c r="C165" s="9" t="n">
        <v>90</v>
      </c>
      <c r="D165" s="0" t="n">
        <f aca="false">VLOOKUP($A165,'[2]Sheet 1'!$A$2:$Q$3504,4,FALSE())</f>
        <v>471.5</v>
      </c>
      <c r="E165" s="0" t="n">
        <f aca="false">VLOOKUP($A165,'[2]Sheet 1'!$A$2:$Q$3504,5,FALSE())</f>
        <v>26.395</v>
      </c>
      <c r="F165" s="0" t="n">
        <f aca="false">VLOOKUP($A165,'[2]Sheet 1'!$A$2:$Q$3504,6,FALSE())</f>
        <v>12</v>
      </c>
      <c r="G165" s="0" t="n">
        <f aca="false">VLOOKUP($A165,'[2]Sheet 1'!$A$2:$Q$3504,7,FALSE())</f>
        <v>6</v>
      </c>
      <c r="H165" s="0" t="n">
        <f aca="false">VLOOKUP($A165,'[2]Sheet 1'!$A$2:$Q$3504,8,FALSE())</f>
        <v>5.4</v>
      </c>
      <c r="I165" s="0" t="n">
        <f aca="false">VLOOKUP($A165,'[2]Sheet 1'!$A$2:$Q$3504,9,FALSE())</f>
        <v>129</v>
      </c>
      <c r="J165" s="0" t="n">
        <f aca="false">VLOOKUP($A165,'[2]Sheet 1'!$A$2:$Q$3504,10,FALSE())</f>
        <v>233</v>
      </c>
      <c r="K165" s="0" t="n">
        <f aca="false">VLOOKUP($A165,'[2]Sheet 1'!$A$2:$Q$3504,11,FALSE())</f>
        <v>0.255</v>
      </c>
      <c r="L165" s="0" t="n">
        <f aca="false">VLOOKUP($A165,'[2]Sheet 1'!$A$2:$Q$3504,12,FALSE())</f>
        <v>0</v>
      </c>
      <c r="M165" s="0" t="n">
        <f aca="false">VLOOKUP($A165,'[2]Sheet 1'!$A$2:$Q$3504,13,FALSE())</f>
        <v>1350</v>
      </c>
      <c r="N165" s="0" t="n">
        <f aca="false">VLOOKUP($A165,'[2]Sheet 1'!$A$2:$Q$3504,14,FALSE())</f>
        <v>35.3</v>
      </c>
      <c r="O165" s="0" t="n">
        <f aca="false">VLOOKUP($A165,'[2]Sheet 1'!$A$2:$Q$3504,15,FALSE())</f>
        <v>0</v>
      </c>
      <c r="P165" s="0" t="n">
        <f aca="false">VLOOKUP($A165,'[2]Sheet 1'!$A$2:$Q$3504,16,FALSE())</f>
        <v>24.7</v>
      </c>
      <c r="Q165" s="0" t="n">
        <f aca="false">VLOOKUP($A165,'[2]Sheet 1'!$A$2:$Q$3504,17,FALSE())</f>
        <v>22</v>
      </c>
      <c r="S165" s="9"/>
    </row>
    <row r="166" customFormat="false" ht="14.25" hidden="false" customHeight="false" outlineLevel="0" collapsed="false">
      <c r="A166" s="9" t="n">
        <v>331</v>
      </c>
      <c r="B166" s="9" t="s">
        <v>415</v>
      </c>
      <c r="C166" s="9" t="n">
        <v>100</v>
      </c>
      <c r="D166" s="0" t="n">
        <f aca="false">VLOOKUP($A166,'[2]Sheet 1'!$A$2:$Q$3504,4,FALSE())</f>
        <v>900</v>
      </c>
      <c r="E166" s="0" t="n">
        <f aca="false">VLOOKUP($A166,'[2]Sheet 1'!$A$2:$Q$3504,5,FALSE())</f>
        <v>0</v>
      </c>
      <c r="F166" s="0" t="n">
        <f aca="false">VLOOKUP($A166,'[2]Sheet 1'!$A$2:$Q$3504,6,FALSE())</f>
        <v>0</v>
      </c>
      <c r="G166" s="0" t="n">
        <f aca="false">VLOOKUP($A166,'[2]Sheet 1'!$A$2:$Q$3504,7,FALSE())</f>
        <v>0</v>
      </c>
      <c r="H166" s="0" t="n">
        <f aca="false">VLOOKUP($A166,'[2]Sheet 1'!$A$2:$Q$3504,8,FALSE())</f>
        <v>0</v>
      </c>
      <c r="I166" s="0" t="n">
        <f aca="false">VLOOKUP($A166,'[2]Sheet 1'!$A$2:$Q$3504,9,FALSE())</f>
        <v>0</v>
      </c>
      <c r="J166" s="0" t="n">
        <f aca="false">VLOOKUP($A166,'[2]Sheet 1'!$A$2:$Q$3504,10,FALSE())</f>
        <v>0</v>
      </c>
      <c r="K166" s="0" t="n">
        <f aca="false">VLOOKUP($A166,'[2]Sheet 1'!$A$2:$Q$3504,11,FALSE())</f>
        <v>0</v>
      </c>
      <c r="L166" s="0" t="n">
        <f aca="false">VLOOKUP($A166,'[2]Sheet 1'!$A$2:$Q$3504,12,FALSE())</f>
        <v>0.2</v>
      </c>
      <c r="M166" s="0" t="n">
        <f aca="false">VLOOKUP($A166,'[2]Sheet 1'!$A$2:$Q$3504,13,FALSE())</f>
        <v>0</v>
      </c>
      <c r="N166" s="0" t="n">
        <f aca="false">VLOOKUP($A166,'[2]Sheet 1'!$A$2:$Q$3504,14,FALSE())</f>
        <v>35.3</v>
      </c>
      <c r="O166" s="0" t="n">
        <f aca="false">VLOOKUP($A166,'[2]Sheet 1'!$A$2:$Q$3504,15,FALSE())</f>
        <v>0</v>
      </c>
      <c r="P166" s="0" t="n">
        <f aca="false">VLOOKUP($A166,'[2]Sheet 1'!$A$2:$Q$3504,16,FALSE())</f>
        <v>24.7</v>
      </c>
      <c r="Q166" s="0" t="n">
        <f aca="false">VLOOKUP($A166,'[2]Sheet 1'!$A$2:$Q$3504,17,FALSE())</f>
        <v>0</v>
      </c>
      <c r="S166" s="9"/>
    </row>
    <row r="167" customFormat="false" ht="14.25" hidden="false" customHeight="false" outlineLevel="0" collapsed="false">
      <c r="A167" s="9" t="n">
        <v>332</v>
      </c>
      <c r="B167" s="9" t="s">
        <v>418</v>
      </c>
      <c r="C167" s="9" t="n">
        <v>90</v>
      </c>
      <c r="D167" s="0" t="n">
        <f aca="false">VLOOKUP($A167,'[2]Sheet 1'!$A$2:$Q$3504,4,FALSE())</f>
        <v>367</v>
      </c>
      <c r="E167" s="0" t="n">
        <f aca="false">VLOOKUP($A167,'[2]Sheet 1'!$A$2:$Q$3504,5,FALSE())</f>
        <v>49.1</v>
      </c>
      <c r="F167" s="0" t="n">
        <f aca="false">VLOOKUP($A167,'[2]Sheet 1'!$A$2:$Q$3504,6,FALSE())</f>
        <v>0</v>
      </c>
      <c r="G167" s="0" t="n">
        <f aca="false">VLOOKUP($A167,'[2]Sheet 1'!$A$2:$Q$3504,7,FALSE())</f>
        <v>12.32</v>
      </c>
      <c r="H167" s="0" t="n">
        <f aca="false">VLOOKUP($A167,'[2]Sheet 1'!$A$2:$Q$3504,8,FALSE())</f>
        <v>13.35</v>
      </c>
      <c r="I167" s="0" t="n">
        <f aca="false">VLOOKUP($A167,'[2]Sheet 1'!$A$2:$Q$3504,9,FALSE())</f>
        <v>504</v>
      </c>
      <c r="J167" s="0" t="n">
        <f aca="false">VLOOKUP($A167,'[2]Sheet 1'!$A$2:$Q$3504,10,FALSE())</f>
        <v>242</v>
      </c>
      <c r="K167" s="0" t="n">
        <f aca="false">VLOOKUP($A167,'[2]Sheet 1'!$A$2:$Q$3504,11,FALSE())</f>
        <v>0.42</v>
      </c>
      <c r="L167" s="0" t="n">
        <f aca="false">VLOOKUP($A167,'[2]Sheet 1'!$A$2:$Q$3504,12,FALSE())</f>
        <v>0</v>
      </c>
      <c r="M167" s="0" t="n">
        <f aca="false">VLOOKUP($A167,'[2]Sheet 1'!$A$2:$Q$3504,13,FALSE())</f>
        <v>1869</v>
      </c>
      <c r="N167" s="0" t="n">
        <f aca="false">VLOOKUP($A167,'[2]Sheet 1'!$A$2:$Q$3504,14,FALSE())</f>
        <v>0</v>
      </c>
      <c r="O167" s="0" t="n">
        <f aca="false">VLOOKUP($A167,'[2]Sheet 1'!$A$2:$Q$3504,15,FALSE())</f>
        <v>0</v>
      </c>
      <c r="P167" s="0" t="n">
        <f aca="false">VLOOKUP($A167,'[2]Sheet 1'!$A$2:$Q$3504,16,FALSE())</f>
        <v>0</v>
      </c>
      <c r="Q167" s="0" t="n">
        <f aca="false">VLOOKUP($A167,'[2]Sheet 1'!$A$2:$Q$3504,17,FALSE())</f>
        <v>23</v>
      </c>
      <c r="S167" s="9"/>
    </row>
    <row r="168" customFormat="false" ht="14.25" hidden="false" customHeight="false" outlineLevel="0" collapsed="false">
      <c r="A168" s="9" t="n">
        <v>333</v>
      </c>
      <c r="B168" s="9" t="s">
        <v>419</v>
      </c>
      <c r="C168" s="9" t="n">
        <v>90</v>
      </c>
      <c r="D168" s="0" t="n">
        <f aca="false">VLOOKUP($A168,'[2]Sheet 1'!$A$2:$Q$3504,4,FALSE())</f>
        <v>534</v>
      </c>
      <c r="E168" s="0" t="n">
        <f aca="false">VLOOKUP($A168,'[2]Sheet 1'!$A$2:$Q$3504,5,FALSE())</f>
        <v>18.29</v>
      </c>
      <c r="F168" s="0" t="n">
        <f aca="false">VLOOKUP($A168,'[2]Sheet 1'!$A$2:$Q$3504,6,FALSE())</f>
        <v>27.3</v>
      </c>
      <c r="G168" s="0" t="n">
        <f aca="false">VLOOKUP($A168,'[2]Sheet 1'!$A$2:$Q$3504,7,FALSE())</f>
        <v>4.34</v>
      </c>
      <c r="H168" s="0" t="n">
        <f aca="false">VLOOKUP($A168,'[2]Sheet 1'!$A$2:$Q$3504,8,FALSE())</f>
        <v>5.73</v>
      </c>
      <c r="I168" s="0" t="n">
        <f aca="false">VLOOKUP($A168,'[2]Sheet 1'!$A$2:$Q$3504,9,FALSE())</f>
        <v>255</v>
      </c>
      <c r="J168" s="0" t="n">
        <f aca="false">VLOOKUP($A168,'[2]Sheet 1'!$A$2:$Q$3504,10,FALSE())</f>
        <v>87</v>
      </c>
      <c r="K168" s="0" t="n">
        <f aca="false">VLOOKUP($A168,'[2]Sheet 1'!$A$2:$Q$3504,11,FALSE())</f>
        <v>0.161</v>
      </c>
      <c r="L168" s="0" t="n">
        <f aca="false">VLOOKUP($A168,'[2]Sheet 1'!$A$2:$Q$3504,12,FALSE())</f>
        <v>78.7</v>
      </c>
      <c r="M168" s="0" t="n">
        <f aca="false">VLOOKUP($A168,'[2]Sheet 1'!$A$2:$Q$3504,13,FALSE())</f>
        <v>813</v>
      </c>
      <c r="N168" s="0" t="n">
        <f aca="false">VLOOKUP($A168,'[2]Sheet 1'!$A$2:$Q$3504,14,FALSE())</f>
        <v>0.31</v>
      </c>
      <c r="O168" s="0" t="n">
        <f aca="false">VLOOKUP($A168,'[2]Sheet 1'!$A$2:$Q$3504,15,FALSE())</f>
        <v>0</v>
      </c>
      <c r="P168" s="0" t="n">
        <f aca="false">VLOOKUP($A168,'[2]Sheet 1'!$A$2:$Q$3504,16,FALSE())</f>
        <v>4.3</v>
      </c>
      <c r="Q168" s="0" t="n">
        <f aca="false">VLOOKUP($A168,'[2]Sheet 1'!$A$2:$Q$3504,17,FALSE())</f>
        <v>0</v>
      </c>
      <c r="S168" s="9"/>
    </row>
    <row r="169" customFormat="false" ht="14.25" hidden="false" customHeight="false" outlineLevel="0" collapsed="false">
      <c r="A169" s="9" t="n">
        <v>334</v>
      </c>
      <c r="B169" s="9" t="s">
        <v>421</v>
      </c>
      <c r="C169" s="9" t="n">
        <v>100</v>
      </c>
      <c r="D169" s="0" t="n">
        <f aca="false">VLOOKUP($A169,'[2]Sheet 1'!$A$2:$Q$3504,4,FALSE())</f>
        <v>878</v>
      </c>
      <c r="E169" s="0" t="n">
        <f aca="false">VLOOKUP($A169,'[2]Sheet 1'!$A$2:$Q$3504,5,FALSE())</f>
        <v>0.37</v>
      </c>
      <c r="F169" s="0" t="n">
        <f aca="false">VLOOKUP($A169,'[2]Sheet 1'!$A$2:$Q$3504,6,FALSE())</f>
        <v>0</v>
      </c>
      <c r="G169" s="0" t="n">
        <f aca="false">VLOOKUP($A169,'[2]Sheet 1'!$A$2:$Q$3504,7,FALSE())</f>
        <v>0.31</v>
      </c>
      <c r="H169" s="0" t="n">
        <f aca="false">VLOOKUP($A169,'[2]Sheet 1'!$A$2:$Q$3504,8,FALSE())</f>
        <v>0.34</v>
      </c>
      <c r="I169" s="0" t="n">
        <f aca="false">VLOOKUP($A169,'[2]Sheet 1'!$A$2:$Q$3504,9,FALSE())</f>
        <v>9</v>
      </c>
      <c r="J169" s="0" t="n">
        <f aca="false">VLOOKUP($A169,'[2]Sheet 1'!$A$2:$Q$3504,10,FALSE())</f>
        <v>0</v>
      </c>
      <c r="K169" s="0" t="n">
        <f aca="false">VLOOKUP($A169,'[2]Sheet 1'!$A$2:$Q$3504,11,FALSE())</f>
        <v>0</v>
      </c>
      <c r="L169" s="0" t="n">
        <f aca="false">VLOOKUP($A169,'[2]Sheet 1'!$A$2:$Q$3504,12,FALSE())</f>
        <v>0</v>
      </c>
      <c r="M169" s="0" t="n">
        <f aca="false">VLOOKUP($A169,'[2]Sheet 1'!$A$2:$Q$3504,13,FALSE())</f>
        <v>31</v>
      </c>
      <c r="N169" s="0" t="n">
        <f aca="false">VLOOKUP($A169,'[2]Sheet 1'!$A$2:$Q$3504,14,FALSE())</f>
        <v>0.71</v>
      </c>
      <c r="O169" s="0" t="n">
        <f aca="false">VLOOKUP($A169,'[2]Sheet 1'!$A$2:$Q$3504,15,FALSE())</f>
        <v>0</v>
      </c>
      <c r="P169" s="0" t="n">
        <f aca="false">VLOOKUP($A169,'[2]Sheet 1'!$A$2:$Q$3504,16,FALSE())</f>
        <v>3.3</v>
      </c>
      <c r="Q169" s="0" t="n">
        <f aca="false">VLOOKUP($A169,'[2]Sheet 1'!$A$2:$Q$3504,17,FALSE())</f>
        <v>0</v>
      </c>
      <c r="S169" s="9"/>
    </row>
    <row r="170" customFormat="false" ht="14.25" hidden="false" customHeight="false" outlineLevel="0" collapsed="false">
      <c r="A170" s="9" t="n">
        <v>335</v>
      </c>
      <c r="B170" s="9" t="s">
        <v>424</v>
      </c>
      <c r="C170" s="9" t="n">
        <v>90</v>
      </c>
      <c r="D170" s="0" t="n">
        <f aca="false">VLOOKUP($A170,'[2]Sheet 1'!$A$2:$Q$3504,4,FALSE())</f>
        <v>367</v>
      </c>
      <c r="E170" s="0" t="n">
        <f aca="false">VLOOKUP($A170,'[2]Sheet 1'!$A$2:$Q$3504,5,FALSE())</f>
        <v>49.1</v>
      </c>
      <c r="F170" s="0" t="n">
        <f aca="false">VLOOKUP($A170,'[2]Sheet 1'!$A$2:$Q$3504,6,FALSE())</f>
        <v>0</v>
      </c>
      <c r="G170" s="0" t="n">
        <f aca="false">VLOOKUP($A170,'[2]Sheet 1'!$A$2:$Q$3504,7,FALSE())</f>
        <v>12.32</v>
      </c>
      <c r="H170" s="0" t="n">
        <f aca="false">VLOOKUP($A170,'[2]Sheet 1'!$A$2:$Q$3504,8,FALSE())</f>
        <v>13.35</v>
      </c>
      <c r="I170" s="0" t="n">
        <f aca="false">VLOOKUP($A170,'[2]Sheet 1'!$A$2:$Q$3504,9,FALSE())</f>
        <v>504</v>
      </c>
      <c r="J170" s="0" t="n">
        <f aca="false">VLOOKUP($A170,'[2]Sheet 1'!$A$2:$Q$3504,10,FALSE())</f>
        <v>242</v>
      </c>
      <c r="K170" s="0" t="n">
        <f aca="false">VLOOKUP($A170,'[2]Sheet 1'!$A$2:$Q$3504,11,FALSE())</f>
        <v>0.42</v>
      </c>
      <c r="L170" s="0" t="n">
        <f aca="false">VLOOKUP($A170,'[2]Sheet 1'!$A$2:$Q$3504,12,FALSE())</f>
        <v>0</v>
      </c>
      <c r="M170" s="0" t="n">
        <f aca="false">VLOOKUP($A170,'[2]Sheet 1'!$A$2:$Q$3504,13,FALSE())</f>
        <v>1869</v>
      </c>
      <c r="N170" s="0" t="n">
        <f aca="false">VLOOKUP($A170,'[2]Sheet 1'!$A$2:$Q$3504,14,FALSE())</f>
        <v>0</v>
      </c>
      <c r="O170" s="0" t="n">
        <f aca="false">VLOOKUP($A170,'[2]Sheet 1'!$A$2:$Q$3504,15,FALSE())</f>
        <v>0</v>
      </c>
      <c r="P170" s="0" t="n">
        <f aca="false">VLOOKUP($A170,'[2]Sheet 1'!$A$2:$Q$3504,16,FALSE())</f>
        <v>0</v>
      </c>
      <c r="Q170" s="0" t="n">
        <f aca="false">VLOOKUP($A170,'[2]Sheet 1'!$A$2:$Q$3504,17,FALSE())</f>
        <v>23</v>
      </c>
      <c r="S170" s="9"/>
    </row>
    <row r="171" customFormat="false" ht="14.25" hidden="false" customHeight="false" outlineLevel="0" collapsed="false">
      <c r="A171" s="9" t="n">
        <v>336</v>
      </c>
      <c r="B171" s="9" t="s">
        <v>425</v>
      </c>
      <c r="C171" s="9" t="n">
        <v>95</v>
      </c>
      <c r="D171" s="0" t="n">
        <f aca="false">VLOOKUP($A171,'[2]Sheet 1'!$A$2:$Q$3504,4,FALSE())</f>
        <v>534</v>
      </c>
      <c r="E171" s="0" t="n">
        <f aca="false">VLOOKUP($A171,'[2]Sheet 1'!$A$2:$Q$3504,5,FALSE())</f>
        <v>18.29</v>
      </c>
      <c r="F171" s="0" t="n">
        <f aca="false">VLOOKUP($A171,'[2]Sheet 1'!$A$2:$Q$3504,6,FALSE())</f>
        <v>27.3</v>
      </c>
      <c r="G171" s="0" t="n">
        <f aca="false">VLOOKUP($A171,'[2]Sheet 1'!$A$2:$Q$3504,7,FALSE())</f>
        <v>4.34</v>
      </c>
      <c r="H171" s="0" t="n">
        <f aca="false">VLOOKUP($A171,'[2]Sheet 1'!$A$2:$Q$3504,8,FALSE())</f>
        <v>5.73</v>
      </c>
      <c r="I171" s="0" t="n">
        <f aca="false">VLOOKUP($A171,'[2]Sheet 1'!$A$2:$Q$3504,9,FALSE())</f>
        <v>255</v>
      </c>
      <c r="J171" s="0" t="n">
        <f aca="false">VLOOKUP($A171,'[2]Sheet 1'!$A$2:$Q$3504,10,FALSE())</f>
        <v>87</v>
      </c>
      <c r="K171" s="0" t="n">
        <f aca="false">VLOOKUP($A171,'[2]Sheet 1'!$A$2:$Q$3504,11,FALSE())</f>
        <v>0.161</v>
      </c>
      <c r="L171" s="0" t="n">
        <f aca="false">VLOOKUP($A171,'[2]Sheet 1'!$A$2:$Q$3504,12,FALSE())</f>
        <v>78.7</v>
      </c>
      <c r="M171" s="0" t="n">
        <f aca="false">VLOOKUP($A171,'[2]Sheet 1'!$A$2:$Q$3504,13,FALSE())</f>
        <v>813</v>
      </c>
      <c r="N171" s="0" t="n">
        <f aca="false">VLOOKUP($A171,'[2]Sheet 1'!$A$2:$Q$3504,14,FALSE())</f>
        <v>0.31</v>
      </c>
      <c r="O171" s="0" t="n">
        <f aca="false">VLOOKUP($A171,'[2]Sheet 1'!$A$2:$Q$3504,15,FALSE())</f>
        <v>0</v>
      </c>
      <c r="P171" s="0" t="n">
        <f aca="false">VLOOKUP($A171,'[2]Sheet 1'!$A$2:$Q$3504,16,FALSE())</f>
        <v>4.3</v>
      </c>
      <c r="Q171" s="0" t="n">
        <f aca="false">VLOOKUP($A171,'[2]Sheet 1'!$A$2:$Q$3504,17,FALSE())</f>
        <v>0</v>
      </c>
      <c r="S171" s="9"/>
    </row>
    <row r="172" customFormat="false" ht="14.25" hidden="false" customHeight="false" outlineLevel="0" collapsed="false">
      <c r="A172" s="9" t="n">
        <v>338</v>
      </c>
      <c r="B172" s="9" t="s">
        <v>427</v>
      </c>
      <c r="C172" s="9" t="n">
        <v>90</v>
      </c>
      <c r="D172" s="0" t="n">
        <f aca="false">VLOOKUP($A172,'[2]Sheet 1'!$A$2:$Q$3504,4,FALSE())</f>
        <v>367</v>
      </c>
      <c r="E172" s="0" t="n">
        <f aca="false">VLOOKUP($A172,'[2]Sheet 1'!$A$2:$Q$3504,5,FALSE())</f>
        <v>49.1</v>
      </c>
      <c r="F172" s="0" t="n">
        <f aca="false">VLOOKUP($A172,'[2]Sheet 1'!$A$2:$Q$3504,6,FALSE())</f>
        <v>0</v>
      </c>
      <c r="G172" s="0" t="n">
        <f aca="false">VLOOKUP($A172,'[2]Sheet 1'!$A$2:$Q$3504,7,FALSE())</f>
        <v>12.32</v>
      </c>
      <c r="H172" s="0" t="n">
        <f aca="false">VLOOKUP($A172,'[2]Sheet 1'!$A$2:$Q$3504,8,FALSE())</f>
        <v>13.35</v>
      </c>
      <c r="I172" s="0" t="n">
        <f aca="false">VLOOKUP($A172,'[2]Sheet 1'!$A$2:$Q$3504,9,FALSE())</f>
        <v>504</v>
      </c>
      <c r="J172" s="0" t="n">
        <f aca="false">VLOOKUP($A172,'[2]Sheet 1'!$A$2:$Q$3504,10,FALSE())</f>
        <v>242</v>
      </c>
      <c r="K172" s="0" t="n">
        <f aca="false">VLOOKUP($A172,'[2]Sheet 1'!$A$2:$Q$3504,11,FALSE())</f>
        <v>0.42</v>
      </c>
      <c r="L172" s="0" t="n">
        <f aca="false">VLOOKUP($A172,'[2]Sheet 1'!$A$2:$Q$3504,12,FALSE())</f>
        <v>0</v>
      </c>
      <c r="M172" s="0" t="n">
        <f aca="false">VLOOKUP($A172,'[2]Sheet 1'!$A$2:$Q$3504,13,FALSE())</f>
        <v>1869</v>
      </c>
      <c r="N172" s="0" t="n">
        <f aca="false">VLOOKUP($A172,'[2]Sheet 1'!$A$2:$Q$3504,14,FALSE())</f>
        <v>0</v>
      </c>
      <c r="O172" s="0" t="n">
        <f aca="false">VLOOKUP($A172,'[2]Sheet 1'!$A$2:$Q$3504,15,FALSE())</f>
        <v>0</v>
      </c>
      <c r="P172" s="0" t="n">
        <f aca="false">VLOOKUP($A172,'[2]Sheet 1'!$A$2:$Q$3504,16,FALSE())</f>
        <v>0</v>
      </c>
      <c r="Q172" s="0" t="n">
        <f aca="false">VLOOKUP($A172,'[2]Sheet 1'!$A$2:$Q$3504,17,FALSE())</f>
        <v>23</v>
      </c>
      <c r="S172" s="9"/>
    </row>
    <row r="173" customFormat="false" ht="14.25" hidden="false" customHeight="false" outlineLevel="0" collapsed="false">
      <c r="A173" s="9" t="n">
        <v>339</v>
      </c>
      <c r="B173" s="9" t="s">
        <v>428</v>
      </c>
      <c r="C173" s="9" t="n">
        <v>90</v>
      </c>
      <c r="D173" s="0" t="n">
        <f aca="false">VLOOKUP($A173,'[2]Sheet 1'!$A$2:$Q$3504,4,FALSE())</f>
        <v>576</v>
      </c>
      <c r="E173" s="0" t="n">
        <f aca="false">VLOOKUP($A173,'[2]Sheet 1'!$A$2:$Q$3504,5,FALSE())</f>
        <v>6.2</v>
      </c>
      <c r="F173" s="0" t="n">
        <f aca="false">VLOOKUP($A173,'[2]Sheet 1'!$A$2:$Q$3504,6,FALSE())</f>
        <v>0</v>
      </c>
      <c r="G173" s="0" t="n">
        <f aca="false">VLOOKUP($A173,'[2]Sheet 1'!$A$2:$Q$3504,7,FALSE())</f>
        <v>0.36</v>
      </c>
      <c r="H173" s="0" t="n">
        <f aca="false">VLOOKUP($A173,'[2]Sheet 1'!$A$2:$Q$3504,8,FALSE())</f>
        <v>2.46</v>
      </c>
      <c r="I173" s="0" t="n">
        <f aca="false">VLOOKUP($A173,'[2]Sheet 1'!$A$2:$Q$3504,9,FALSE())</f>
        <v>1</v>
      </c>
      <c r="J173" s="0" t="n">
        <f aca="false">VLOOKUP($A173,'[2]Sheet 1'!$A$2:$Q$3504,10,FALSE())</f>
        <v>113</v>
      </c>
      <c r="K173" s="0" t="n">
        <f aca="false">VLOOKUP($A173,'[2]Sheet 1'!$A$2:$Q$3504,11,FALSE())</f>
        <v>0.371</v>
      </c>
      <c r="L173" s="0" t="n">
        <f aca="false">VLOOKUP($A173,'[2]Sheet 1'!$A$2:$Q$3504,12,FALSE())</f>
        <v>0</v>
      </c>
      <c r="M173" s="0" t="n">
        <f aca="false">VLOOKUP($A173,'[2]Sheet 1'!$A$2:$Q$3504,13,FALSE())</f>
        <v>1017</v>
      </c>
      <c r="N173" s="0" t="n">
        <f aca="false">VLOOKUP($A173,'[2]Sheet 1'!$A$2:$Q$3504,14,FALSE())</f>
        <v>0</v>
      </c>
      <c r="O173" s="0" t="n">
        <f aca="false">VLOOKUP($A173,'[2]Sheet 1'!$A$2:$Q$3504,15,FALSE())</f>
        <v>0</v>
      </c>
      <c r="P173" s="0" t="n">
        <f aca="false">VLOOKUP($A173,'[2]Sheet 1'!$A$2:$Q$3504,16,FALSE())</f>
        <v>0</v>
      </c>
      <c r="Q173" s="0" t="n">
        <f aca="false">VLOOKUP($A173,'[2]Sheet 1'!$A$2:$Q$3504,17,FALSE())</f>
        <v>0</v>
      </c>
      <c r="S173" s="9"/>
    </row>
    <row r="174" customFormat="false" ht="14.25" hidden="false" customHeight="false" outlineLevel="0" collapsed="false">
      <c r="A174" s="9" t="n">
        <v>340</v>
      </c>
      <c r="B174" s="9" t="s">
        <v>430</v>
      </c>
      <c r="C174" s="9" t="n">
        <v>100</v>
      </c>
      <c r="D174" s="0" t="n">
        <f aca="false">VLOOKUP($A174,'[2]Sheet 1'!$A$2:$Q$3504,4,FALSE())</f>
        <v>899</v>
      </c>
      <c r="E174" s="0" t="n">
        <f aca="false">VLOOKUP($A174,'[2]Sheet 1'!$A$2:$Q$3504,5,FALSE())</f>
        <v>0</v>
      </c>
      <c r="F174" s="0" t="n">
        <f aca="false">VLOOKUP($A174,'[2]Sheet 1'!$A$2:$Q$3504,6,FALSE())</f>
        <v>0</v>
      </c>
      <c r="G174" s="0" t="n">
        <f aca="false">VLOOKUP($A174,'[2]Sheet 1'!$A$2:$Q$3504,7,FALSE())</f>
        <v>0</v>
      </c>
      <c r="H174" s="0" t="n">
        <f aca="false">VLOOKUP($A174,'[2]Sheet 1'!$A$2:$Q$3504,8,FALSE())</f>
        <v>0</v>
      </c>
      <c r="I174" s="0" t="n">
        <f aca="false">VLOOKUP($A174,'[2]Sheet 1'!$A$2:$Q$3504,9,FALSE())</f>
        <v>0</v>
      </c>
      <c r="J174" s="0" t="n">
        <f aca="false">VLOOKUP($A174,'[2]Sheet 1'!$A$2:$Q$3504,10,FALSE())</f>
        <v>0</v>
      </c>
      <c r="K174" s="0" t="n">
        <f aca="false">VLOOKUP($A174,'[2]Sheet 1'!$A$2:$Q$3504,11,FALSE())</f>
        <v>0</v>
      </c>
      <c r="L174" s="0" t="n">
        <f aca="false">VLOOKUP($A174,'[2]Sheet 1'!$A$2:$Q$3504,12,FALSE())</f>
        <v>0.3</v>
      </c>
      <c r="M174" s="0" t="n">
        <f aca="false">VLOOKUP($A174,'[2]Sheet 1'!$A$2:$Q$3504,13,FALSE())</f>
        <v>0</v>
      </c>
      <c r="N174" s="0" t="n">
        <f aca="false">VLOOKUP($A174,'[2]Sheet 1'!$A$2:$Q$3504,14,FALSE())</f>
        <v>7.75351004439155</v>
      </c>
      <c r="O174" s="0" t="n">
        <f aca="false">VLOOKUP($A174,'[2]Sheet 1'!$A$2:$Q$3504,15,FALSE())</f>
        <v>0.0408203396170381</v>
      </c>
      <c r="P174" s="0" t="n">
        <f aca="false">VLOOKUP($A174,'[2]Sheet 1'!$A$2:$Q$3504,16,FALSE())</f>
        <v>78.0699107464911</v>
      </c>
      <c r="Q174" s="0" t="n">
        <f aca="false">VLOOKUP($A174,'[2]Sheet 1'!$A$2:$Q$3504,17,FALSE())</f>
        <v>0</v>
      </c>
      <c r="S174" s="9"/>
    </row>
    <row r="175" customFormat="false" ht="14.25" hidden="false" customHeight="false" outlineLevel="0" collapsed="false">
      <c r="A175" s="9" t="n">
        <v>358</v>
      </c>
      <c r="B175" s="9" t="s">
        <v>433</v>
      </c>
      <c r="C175" s="9" t="n">
        <v>8</v>
      </c>
      <c r="D175" s="0" t="n">
        <f aca="false">VLOOKUP($A175,'[2]Sheet 1'!$A$2:$Q$3504,4,FALSE())</f>
        <v>25</v>
      </c>
      <c r="E175" s="0" t="n">
        <f aca="false">VLOOKUP($A175,'[2]Sheet 1'!$A$2:$Q$3504,5,FALSE())</f>
        <v>1.9</v>
      </c>
      <c r="F175" s="0" t="n">
        <f aca="false">VLOOKUP($A175,'[2]Sheet 1'!$A$2:$Q$3504,6,FALSE())</f>
        <v>2</v>
      </c>
      <c r="G175" s="0" t="n">
        <f aca="false">VLOOKUP($A175,'[2]Sheet 1'!$A$2:$Q$3504,7,FALSE())</f>
        <v>0.29</v>
      </c>
      <c r="H175" s="0" t="n">
        <f aca="false">VLOOKUP($A175,'[2]Sheet 1'!$A$2:$Q$3504,8,FALSE())</f>
        <v>1.2</v>
      </c>
      <c r="I175" s="0" t="n">
        <f aca="false">VLOOKUP($A175,'[2]Sheet 1'!$A$2:$Q$3504,9,FALSE())</f>
        <v>65.5</v>
      </c>
      <c r="J175" s="0" t="n">
        <f aca="false">VLOOKUP($A175,'[2]Sheet 1'!$A$2:$Q$3504,10,FALSE())</f>
        <v>54.6943734</v>
      </c>
      <c r="K175" s="0" t="n">
        <f aca="false">VLOOKUP($A175,'[2]Sheet 1'!$A$2:$Q$3504,11,FALSE())</f>
        <v>0.08</v>
      </c>
      <c r="L175" s="0" t="n">
        <f aca="false">VLOOKUP($A175,'[2]Sheet 1'!$A$2:$Q$3504,12,FALSE())</f>
        <v>12.3</v>
      </c>
      <c r="M175" s="0" t="n">
        <f aca="false">VLOOKUP($A175,'[2]Sheet 1'!$A$2:$Q$3504,13,FALSE())</f>
        <v>252</v>
      </c>
      <c r="N175" s="0" t="n">
        <f aca="false">VLOOKUP($A175,'[2]Sheet 1'!$A$2:$Q$3504,14,FALSE())</f>
        <v>0.14</v>
      </c>
      <c r="O175" s="0" t="n">
        <f aca="false">VLOOKUP($A175,'[2]Sheet 1'!$A$2:$Q$3504,15,FALSE())</f>
        <v>0</v>
      </c>
      <c r="P175" s="0" t="n">
        <f aca="false">VLOOKUP($A175,'[2]Sheet 1'!$A$2:$Q$3504,16,FALSE())</f>
        <v>108.7</v>
      </c>
      <c r="Q175" s="0" t="n">
        <f aca="false">VLOOKUP($A175,'[2]Sheet 1'!$A$2:$Q$3504,17,FALSE())</f>
        <v>102</v>
      </c>
      <c r="S175" s="9"/>
    </row>
    <row r="176" customFormat="false" ht="14.25" hidden="false" customHeight="false" outlineLevel="0" collapsed="false">
      <c r="A176" s="9" t="n">
        <v>366</v>
      </c>
      <c r="B176" s="9" t="s">
        <v>436</v>
      </c>
      <c r="C176" s="9" t="n">
        <v>15</v>
      </c>
      <c r="D176" s="0" t="n">
        <f aca="false">VLOOKUP($A176,'[2]Sheet 1'!$A$2:$Q$3504,4,FALSE())</f>
        <v>50.5</v>
      </c>
      <c r="E176" s="0" t="n">
        <f aca="false">VLOOKUP($A176,'[2]Sheet 1'!$A$2:$Q$3504,5,FALSE())</f>
        <v>2.75</v>
      </c>
      <c r="F176" s="0" t="n">
        <f aca="false">VLOOKUP($A176,'[2]Sheet 1'!$A$2:$Q$3504,6,FALSE())</f>
        <v>1.2</v>
      </c>
      <c r="G176" s="0" t="n">
        <f aca="false">VLOOKUP($A176,'[2]Sheet 1'!$A$2:$Q$3504,7,FALSE())</f>
        <v>0.44</v>
      </c>
      <c r="H176" s="0" t="n">
        <f aca="false">VLOOKUP($A176,'[2]Sheet 1'!$A$2:$Q$3504,8,FALSE())</f>
        <v>1.19</v>
      </c>
      <c r="I176" s="0" t="n">
        <f aca="false">VLOOKUP($A176,'[2]Sheet 1'!$A$2:$Q$3504,9,FALSE())</f>
        <v>45.5</v>
      </c>
      <c r="J176" s="0" t="n">
        <f aca="false">VLOOKUP($A176,'[2]Sheet 1'!$A$2:$Q$3504,10,FALSE())</f>
        <v>68</v>
      </c>
      <c r="K176" s="0" t="n">
        <f aca="false">VLOOKUP($A176,'[2]Sheet 1'!$A$2:$Q$3504,11,FALSE())</f>
        <v>0.055</v>
      </c>
      <c r="L176" s="0" t="n">
        <f aca="false">VLOOKUP($A176,'[2]Sheet 1'!$A$2:$Q$3504,12,FALSE())</f>
        <v>34.4</v>
      </c>
      <c r="M176" s="0" t="n">
        <f aca="false">VLOOKUP($A176,'[2]Sheet 1'!$A$2:$Q$3504,13,FALSE())</f>
        <v>339</v>
      </c>
      <c r="N176" s="0" t="n">
        <f aca="false">VLOOKUP($A176,'[2]Sheet 1'!$A$2:$Q$3504,14,FALSE())</f>
        <v>0.19</v>
      </c>
      <c r="O176" s="0" t="n">
        <f aca="false">VLOOKUP($A176,'[2]Sheet 1'!$A$2:$Q$3504,15,FALSE())</f>
        <v>0</v>
      </c>
      <c r="P176" s="0" t="n">
        <f aca="false">VLOOKUP($A176,'[2]Sheet 1'!$A$2:$Q$3504,16,FALSE())</f>
        <v>14.8</v>
      </c>
      <c r="Q176" s="0" t="n">
        <f aca="false">VLOOKUP($A176,'[2]Sheet 1'!$A$2:$Q$3504,17,FALSE())</f>
        <v>12.5</v>
      </c>
      <c r="S176" s="9"/>
    </row>
    <row r="177" customFormat="false" ht="14.25" hidden="false" customHeight="false" outlineLevel="0" collapsed="false">
      <c r="A177" s="9" t="n">
        <v>367</v>
      </c>
      <c r="B177" s="9" t="s">
        <v>438</v>
      </c>
      <c r="C177" s="9" t="n">
        <v>8</v>
      </c>
      <c r="D177" s="0" t="n">
        <f aca="false">VLOOKUP($A177,'[2]Sheet 1'!$A$2:$Q$3504,4,FALSE())</f>
        <v>20.5</v>
      </c>
      <c r="E177" s="0" t="n">
        <f aca="false">VLOOKUP($A177,'[2]Sheet 1'!$A$2:$Q$3504,5,FALSE())</f>
        <v>2.2</v>
      </c>
      <c r="F177" s="0" t="n">
        <f aca="false">VLOOKUP($A177,'[2]Sheet 1'!$A$2:$Q$3504,6,FALSE())</f>
        <v>2.4</v>
      </c>
      <c r="G177" s="0" t="n">
        <f aca="false">VLOOKUP($A177,'[2]Sheet 1'!$A$2:$Q$3504,7,FALSE())</f>
        <v>0.52</v>
      </c>
      <c r="H177" s="0" t="n">
        <f aca="false">VLOOKUP($A177,'[2]Sheet 1'!$A$2:$Q$3504,8,FALSE())</f>
        <v>1</v>
      </c>
      <c r="I177" s="0" t="n">
        <f aca="false">VLOOKUP($A177,'[2]Sheet 1'!$A$2:$Q$3504,9,FALSE())</f>
        <v>22</v>
      </c>
      <c r="J177" s="0" t="n">
        <f aca="false">VLOOKUP($A177,'[2]Sheet 1'!$A$2:$Q$3504,10,FALSE())</f>
        <v>52</v>
      </c>
      <c r="K177" s="0" t="n">
        <f aca="false">VLOOKUP($A177,'[2]Sheet 1'!$A$2:$Q$3504,11,FALSE())</f>
        <v>0.1505</v>
      </c>
      <c r="L177" s="0" t="n">
        <f aca="false">VLOOKUP($A177,'[2]Sheet 1'!$A$2:$Q$3504,12,FALSE())</f>
        <v>16</v>
      </c>
      <c r="M177" s="0" t="n">
        <f aca="false">VLOOKUP($A177,'[2]Sheet 1'!$A$2:$Q$3504,13,FALSE())</f>
        <v>199</v>
      </c>
      <c r="N177" s="0" t="n">
        <f aca="false">VLOOKUP($A177,'[2]Sheet 1'!$A$2:$Q$3504,14,FALSE())</f>
        <v>1.5</v>
      </c>
      <c r="O177" s="0" t="n">
        <f aca="false">VLOOKUP($A177,'[2]Sheet 1'!$A$2:$Q$3504,15,FALSE())</f>
        <v>0</v>
      </c>
      <c r="P177" s="0" t="n">
        <f aca="false">VLOOKUP($A177,'[2]Sheet 1'!$A$2:$Q$3504,16,FALSE())</f>
        <v>50.6</v>
      </c>
      <c r="Q177" s="0" t="n">
        <f aca="false">VLOOKUP($A177,'[2]Sheet 1'!$A$2:$Q$3504,17,FALSE())</f>
        <v>17</v>
      </c>
      <c r="S177" s="9"/>
    </row>
    <row r="178" customFormat="false" ht="14.25" hidden="false" customHeight="false" outlineLevel="0" collapsed="false">
      <c r="A178" s="9" t="n">
        <v>372</v>
      </c>
      <c r="B178" s="9" t="s">
        <v>440</v>
      </c>
      <c r="C178" s="9" t="n">
        <v>5</v>
      </c>
      <c r="D178" s="0" t="n">
        <f aca="false">VLOOKUP($A178,'[2]Sheet 1'!$A$2:$Q$3504,4,FALSE())</f>
        <v>17</v>
      </c>
      <c r="E178" s="0" t="n">
        <f aca="false">VLOOKUP($A178,'[2]Sheet 1'!$A$2:$Q$3504,5,FALSE())</f>
        <v>1.35</v>
      </c>
      <c r="F178" s="0" t="n">
        <f aca="false">VLOOKUP($A178,'[2]Sheet 1'!$A$2:$Q$3504,6,FALSE())</f>
        <v>1.5</v>
      </c>
      <c r="G178" s="0" t="n">
        <f aca="false">VLOOKUP($A178,'[2]Sheet 1'!$A$2:$Q$3504,7,FALSE())</f>
        <v>0.36</v>
      </c>
      <c r="H178" s="0" t="n">
        <f aca="false">VLOOKUP($A178,'[2]Sheet 1'!$A$2:$Q$3504,8,FALSE())</f>
        <v>1</v>
      </c>
      <c r="I178" s="0" t="n">
        <f aca="false">VLOOKUP($A178,'[2]Sheet 1'!$A$2:$Q$3504,9,FALSE())</f>
        <v>44</v>
      </c>
      <c r="J178" s="0" t="n">
        <f aca="false">VLOOKUP($A178,'[2]Sheet 1'!$A$2:$Q$3504,10,FALSE())</f>
        <v>73</v>
      </c>
      <c r="K178" s="0" t="n">
        <f aca="false">VLOOKUP($A178,'[2]Sheet 1'!$A$2:$Q$3504,11,FALSE())</f>
        <v>0.07</v>
      </c>
      <c r="L178" s="0" t="n">
        <f aca="false">VLOOKUP($A178,'[2]Sheet 1'!$A$2:$Q$3504,12,FALSE())</f>
        <v>12.3</v>
      </c>
      <c r="M178" s="0" t="n">
        <f aca="false">VLOOKUP($A178,'[2]Sheet 1'!$A$2:$Q$3504,13,FALSE())</f>
        <v>247</v>
      </c>
      <c r="N178" s="0" t="n">
        <f aca="false">VLOOKUP($A178,'[2]Sheet 1'!$A$2:$Q$3504,14,FALSE())</f>
        <v>2.26</v>
      </c>
      <c r="O178" s="0" t="n">
        <f aca="false">VLOOKUP($A178,'[2]Sheet 1'!$A$2:$Q$3504,15,FALSE())</f>
        <v>0</v>
      </c>
      <c r="P178" s="0" t="n">
        <f aca="false">VLOOKUP($A178,'[2]Sheet 1'!$A$2:$Q$3504,16,FALSE())</f>
        <v>297.6</v>
      </c>
      <c r="Q178" s="0" t="n">
        <f aca="false">VLOOKUP($A178,'[2]Sheet 1'!$A$2:$Q$3504,17,FALSE())</f>
        <v>147</v>
      </c>
      <c r="S178" s="9"/>
    </row>
    <row r="179" customFormat="false" ht="14.25" hidden="false" customHeight="false" outlineLevel="0" collapsed="false">
      <c r="A179" s="9" t="n">
        <v>373</v>
      </c>
      <c r="B179" s="9" t="s">
        <v>443</v>
      </c>
      <c r="C179" s="9" t="n">
        <v>10</v>
      </c>
      <c r="D179" s="0" t="n">
        <f aca="false">VLOOKUP($A179,'[2]Sheet 1'!$A$2:$Q$3504,4,FALSE())</f>
        <v>23</v>
      </c>
      <c r="E179" s="0" t="n">
        <f aca="false">VLOOKUP($A179,'[2]Sheet 1'!$A$2:$Q$3504,5,FALSE())</f>
        <v>2.55</v>
      </c>
      <c r="F179" s="0" t="n">
        <f aca="false">VLOOKUP($A179,'[2]Sheet 1'!$A$2:$Q$3504,6,FALSE())</f>
        <v>2.3</v>
      </c>
      <c r="G179" s="0" t="n">
        <f aca="false">VLOOKUP($A179,'[2]Sheet 1'!$A$2:$Q$3504,7,FALSE())</f>
        <v>0.515</v>
      </c>
      <c r="H179" s="0" t="n">
        <f aca="false">VLOOKUP($A179,'[2]Sheet 1'!$A$2:$Q$3504,8,FALSE())</f>
        <v>3.1</v>
      </c>
      <c r="I179" s="0" t="n">
        <f aca="false">VLOOKUP($A179,'[2]Sheet 1'!$A$2:$Q$3504,9,FALSE())</f>
        <v>99</v>
      </c>
      <c r="J179" s="0" t="n">
        <f aca="false">VLOOKUP($A179,'[2]Sheet 1'!$A$2:$Q$3504,10,FALSE())</f>
        <v>176</v>
      </c>
      <c r="K179" s="0" t="n">
        <f aca="false">VLOOKUP($A179,'[2]Sheet 1'!$A$2:$Q$3504,11,FALSE())</f>
        <v>0.2</v>
      </c>
      <c r="L179" s="0" t="n">
        <f aca="false">VLOOKUP($A179,'[2]Sheet 1'!$A$2:$Q$3504,12,FALSE())</f>
        <v>19.3</v>
      </c>
      <c r="M179" s="0" t="n">
        <f aca="false">VLOOKUP($A179,'[2]Sheet 1'!$A$2:$Q$3504,13,FALSE())</f>
        <v>517.5</v>
      </c>
      <c r="N179" s="0" t="n">
        <f aca="false">VLOOKUP($A179,'[2]Sheet 1'!$A$2:$Q$3504,14,FALSE())</f>
        <v>2.08</v>
      </c>
      <c r="O179" s="0" t="n">
        <f aca="false">VLOOKUP($A179,'[2]Sheet 1'!$A$2:$Q$3504,15,FALSE())</f>
        <v>0</v>
      </c>
      <c r="P179" s="0" t="n">
        <f aca="false">VLOOKUP($A179,'[2]Sheet 1'!$A$2:$Q$3504,16,FALSE())</f>
        <v>493.6</v>
      </c>
      <c r="Q179" s="0" t="n">
        <f aca="false">VLOOKUP($A179,'[2]Sheet 1'!$A$2:$Q$3504,17,FALSE())</f>
        <v>325</v>
      </c>
      <c r="S179" s="9"/>
    </row>
    <row r="180" customFormat="false" ht="14.25" hidden="false" customHeight="false" outlineLevel="0" collapsed="false">
      <c r="A180" s="9" t="n">
        <v>378</v>
      </c>
      <c r="B180" s="9" t="s">
        <v>445</v>
      </c>
      <c r="C180" s="9" t="n">
        <v>50</v>
      </c>
      <c r="D180" s="0" t="e">
        <f aca="false">VLOOKUP($A180,'[2]Sheet 1'!$A$2:$Q$3504,4,FALSE())</f>
        <v>#N/A</v>
      </c>
      <c r="E180" s="0" t="e">
        <f aca="false">VLOOKUP($A180,'[2]Sheet 1'!$A$2:$Q$3504,5,FALSE())</f>
        <v>#N/A</v>
      </c>
      <c r="F180" s="0" t="e">
        <f aca="false">VLOOKUP($A180,'[2]Sheet 1'!$A$2:$Q$3504,6,FALSE())</f>
        <v>#N/A</v>
      </c>
      <c r="G180" s="0" t="e">
        <f aca="false">VLOOKUP($A180,'[2]Sheet 1'!$A$2:$Q$3504,7,FALSE())</f>
        <v>#N/A</v>
      </c>
      <c r="H180" s="0" t="e">
        <f aca="false">VLOOKUP($A180,'[2]Sheet 1'!$A$2:$Q$3504,8,FALSE())</f>
        <v>#N/A</v>
      </c>
      <c r="I180" s="0" t="e">
        <f aca="false">VLOOKUP($A180,'[2]Sheet 1'!$A$2:$Q$3504,9,FALSE())</f>
        <v>#N/A</v>
      </c>
      <c r="J180" s="0" t="e">
        <f aca="false">VLOOKUP($A180,'[2]Sheet 1'!$A$2:$Q$3504,10,FALSE())</f>
        <v>#N/A</v>
      </c>
      <c r="K180" s="0" t="e">
        <f aca="false">VLOOKUP($A180,'[2]Sheet 1'!$A$2:$Q$3504,11,FALSE())</f>
        <v>#N/A</v>
      </c>
      <c r="L180" s="0" t="e">
        <f aca="false">VLOOKUP($A180,'[2]Sheet 1'!$A$2:$Q$3504,12,FALSE())</f>
        <v>#N/A</v>
      </c>
      <c r="M180" s="0" t="e">
        <f aca="false">VLOOKUP($A180,'[2]Sheet 1'!$A$2:$Q$3504,13,FALSE())</f>
        <v>#N/A</v>
      </c>
      <c r="N180" s="0" t="e">
        <f aca="false">VLOOKUP($A180,'[2]Sheet 1'!$A$2:$Q$3504,14,FALSE())</f>
        <v>#N/A</v>
      </c>
      <c r="O180" s="0" t="e">
        <f aca="false">VLOOKUP($A180,'[2]Sheet 1'!$A$2:$Q$3504,15,FALSE())</f>
        <v>#N/A</v>
      </c>
      <c r="P180" s="0" t="e">
        <f aca="false">VLOOKUP($A180,'[2]Sheet 1'!$A$2:$Q$3504,16,FALSE())</f>
        <v>#N/A</v>
      </c>
      <c r="Q180" s="0" t="e">
        <f aca="false">VLOOKUP($A180,'[2]Sheet 1'!$A$2:$Q$3504,17,FALSE())</f>
        <v>#N/A</v>
      </c>
      <c r="S180" s="9"/>
    </row>
    <row r="181" customFormat="false" ht="14.25" hidden="false" customHeight="false" outlineLevel="0" collapsed="false">
      <c r="A181" s="9" t="n">
        <v>388</v>
      </c>
      <c r="B181" s="9" t="s">
        <v>447</v>
      </c>
      <c r="C181" s="9" t="n">
        <v>6.00000000000001</v>
      </c>
      <c r="D181" s="0" t="n">
        <f aca="false">VLOOKUP($A181,'[2]Sheet 1'!$A$2:$Q$3504,4,FALSE())</f>
        <v>20</v>
      </c>
      <c r="E181" s="0" t="n">
        <f aca="false">VLOOKUP($A181,'[2]Sheet 1'!$A$2:$Q$3504,5,FALSE())</f>
        <v>1</v>
      </c>
      <c r="F181" s="0" t="n">
        <f aca="false">VLOOKUP($A181,'[2]Sheet 1'!$A$2:$Q$3504,6,FALSE())</f>
        <v>1.2</v>
      </c>
      <c r="G181" s="0" t="n">
        <f aca="false">VLOOKUP($A181,'[2]Sheet 1'!$A$2:$Q$3504,7,FALSE())</f>
        <v>0.17</v>
      </c>
      <c r="H181" s="0" t="n">
        <f aca="false">VLOOKUP($A181,'[2]Sheet 1'!$A$2:$Q$3504,8,FALSE())</f>
        <v>0.6</v>
      </c>
      <c r="I181" s="0" t="n">
        <f aca="false">VLOOKUP($A181,'[2]Sheet 1'!$A$2:$Q$3504,9,FALSE())</f>
        <v>12.96792</v>
      </c>
      <c r="J181" s="0" t="n">
        <f aca="false">VLOOKUP($A181,'[2]Sheet 1'!$A$2:$Q$3504,10,FALSE())</f>
        <v>21.25</v>
      </c>
      <c r="K181" s="0" t="n">
        <f aca="false">VLOOKUP($A181,'[2]Sheet 1'!$A$2:$Q$3504,11,FALSE())</f>
        <v>0.04</v>
      </c>
      <c r="L181" s="0" t="n">
        <f aca="false">VLOOKUP($A181,'[2]Sheet 1'!$A$2:$Q$3504,12,FALSE())</f>
        <v>6.7</v>
      </c>
      <c r="M181" s="0" t="n">
        <f aca="false">VLOOKUP($A181,'[2]Sheet 1'!$A$2:$Q$3504,13,FALSE())</f>
        <v>204</v>
      </c>
      <c r="N181" s="0" t="n">
        <f aca="false">VLOOKUP($A181,'[2]Sheet 1'!$A$2:$Q$3504,14,FALSE())</f>
        <v>1.51648472861679</v>
      </c>
      <c r="O181" s="0" t="n">
        <f aca="false">VLOOKUP($A181,'[2]Sheet 1'!$A$2:$Q$3504,15,FALSE())</f>
        <v>0</v>
      </c>
      <c r="P181" s="0" t="n">
        <f aca="false">VLOOKUP($A181,'[2]Sheet 1'!$A$2:$Q$3504,16,FALSE())</f>
        <v>4.9018248676005</v>
      </c>
      <c r="Q181" s="0" t="n">
        <f aca="false">VLOOKUP($A181,'[2]Sheet 1'!$A$2:$Q$3504,17,FALSE())</f>
        <v>65</v>
      </c>
      <c r="S181" s="9"/>
    </row>
    <row r="182" customFormat="false" ht="14.25" hidden="false" customHeight="false" outlineLevel="0" collapsed="false">
      <c r="A182" s="9" t="n">
        <v>390</v>
      </c>
      <c r="B182" s="9" t="s">
        <v>449</v>
      </c>
      <c r="C182" s="9" t="n">
        <v>7</v>
      </c>
      <c r="D182" s="0" t="n">
        <f aca="false">VLOOKUP($A182,'[2]Sheet 1'!$A$2:$Q$3504,4,FALSE())</f>
        <v>17</v>
      </c>
      <c r="E182" s="0" t="n">
        <f aca="false">VLOOKUP($A182,'[2]Sheet 1'!$A$2:$Q$3504,5,FALSE())</f>
        <v>0.85</v>
      </c>
      <c r="F182" s="0" t="n">
        <f aca="false">VLOOKUP($A182,'[2]Sheet 1'!$A$2:$Q$3504,6,FALSE())</f>
        <v>0.4</v>
      </c>
      <c r="G182" s="0" t="n">
        <f aca="false">VLOOKUP($A182,'[2]Sheet 1'!$A$2:$Q$3504,7,FALSE())</f>
        <v>0.11</v>
      </c>
      <c r="H182" s="0" t="n">
        <f aca="false">VLOOKUP($A182,'[2]Sheet 1'!$A$2:$Q$3504,8,FALSE())</f>
        <v>0.39</v>
      </c>
      <c r="I182" s="0" t="n">
        <f aca="false">VLOOKUP($A182,'[2]Sheet 1'!$A$2:$Q$3504,9,FALSE())</f>
        <v>10</v>
      </c>
      <c r="J182" s="0" t="n">
        <f aca="false">VLOOKUP($A182,'[2]Sheet 1'!$A$2:$Q$3504,10,FALSE())</f>
        <v>20</v>
      </c>
      <c r="K182" s="0" t="n">
        <f aca="false">VLOOKUP($A182,'[2]Sheet 1'!$A$2:$Q$3504,11,FALSE())</f>
        <v>0.078</v>
      </c>
      <c r="L182" s="0" t="n">
        <f aca="false">VLOOKUP($A182,'[2]Sheet 1'!$A$2:$Q$3504,12,FALSE())</f>
        <v>6.8</v>
      </c>
      <c r="M182" s="0" t="n">
        <f aca="false">VLOOKUP($A182,'[2]Sheet 1'!$A$2:$Q$3504,13,FALSE())</f>
        <v>217</v>
      </c>
      <c r="N182" s="0" t="n">
        <f aca="false">VLOOKUP($A182,'[2]Sheet 1'!$A$2:$Q$3504,14,FALSE())</f>
        <v>0.32</v>
      </c>
      <c r="O182" s="0" t="n">
        <f aca="false">VLOOKUP($A182,'[2]Sheet 1'!$A$2:$Q$3504,15,FALSE())</f>
        <v>0</v>
      </c>
      <c r="P182" s="0" t="n">
        <f aca="false">VLOOKUP($A182,'[2]Sheet 1'!$A$2:$Q$3504,16,FALSE())</f>
        <v>2.3</v>
      </c>
      <c r="Q182" s="0" t="n">
        <f aca="false">VLOOKUP($A182,'[2]Sheet 1'!$A$2:$Q$3504,17,FALSE())</f>
        <v>23</v>
      </c>
      <c r="S182" s="9"/>
    </row>
    <row r="183" customFormat="false" ht="14.25" hidden="false" customHeight="false" outlineLevel="0" collapsed="false">
      <c r="A183" s="5" t="n">
        <v>391</v>
      </c>
      <c r="B183" s="5" t="s">
        <v>451</v>
      </c>
      <c r="C183" s="5" t="n">
        <v>25</v>
      </c>
      <c r="D183" s="0" t="n">
        <f aca="false">VLOOKUP($A183,'[2]Sheet 1'!$A$2:$Q$3504,4,FALSE())</f>
        <v>82</v>
      </c>
      <c r="E183" s="0" t="n">
        <f aca="false">VLOOKUP($A183,'[2]Sheet 1'!$A$2:$Q$3504,5,FALSE())</f>
        <v>4.32</v>
      </c>
      <c r="F183" s="0" t="n">
        <f aca="false">VLOOKUP($A183,'[2]Sheet 1'!$A$2:$Q$3504,6,FALSE())</f>
        <v>4.1</v>
      </c>
      <c r="G183" s="0" t="n">
        <f aca="false">VLOOKUP($A183,'[2]Sheet 1'!$A$2:$Q$3504,7,FALSE())</f>
        <v>0.63</v>
      </c>
      <c r="H183" s="0" t="n">
        <f aca="false">VLOOKUP($A183,'[2]Sheet 1'!$A$2:$Q$3504,8,FALSE())</f>
        <v>2.98</v>
      </c>
      <c r="I183" s="0" t="n">
        <f aca="false">VLOOKUP($A183,'[2]Sheet 1'!$A$2:$Q$3504,9,FALSE())</f>
        <v>36</v>
      </c>
      <c r="J183" s="0" t="n">
        <f aca="false">VLOOKUP($A183,'[2]Sheet 1'!$A$2:$Q$3504,10,FALSE())</f>
        <v>12</v>
      </c>
      <c r="K183" s="0" t="n">
        <f aca="false">VLOOKUP($A183,'[2]Sheet 1'!$A$2:$Q$3504,11,FALSE())</f>
        <v>0.153</v>
      </c>
      <c r="L183" s="0" t="n">
        <f aca="false">VLOOKUP($A183,'[2]Sheet 1'!$A$2:$Q$3504,12,FALSE())</f>
        <v>38.5</v>
      </c>
      <c r="M183" s="0" t="n">
        <f aca="false">VLOOKUP($A183,'[2]Sheet 1'!$A$2:$Q$3504,13,FALSE())</f>
        <v>1014</v>
      </c>
      <c r="N183" s="0" t="n">
        <f aca="false">VLOOKUP($A183,'[2]Sheet 1'!$A$2:$Q$3504,14,FALSE())</f>
        <v>4.3</v>
      </c>
      <c r="O183" s="0" t="n">
        <f aca="false">VLOOKUP($A183,'[2]Sheet 1'!$A$2:$Q$3504,15,FALSE())</f>
        <v>0</v>
      </c>
      <c r="P183" s="0" t="n">
        <f aca="false">VLOOKUP($A183,'[2]Sheet 1'!$A$2:$Q$3504,16,FALSE())</f>
        <v>11.4</v>
      </c>
      <c r="Q183" s="0" t="n">
        <f aca="false">VLOOKUP($A183,'[2]Sheet 1'!$A$2:$Q$3504,17,FALSE())</f>
        <v>76</v>
      </c>
      <c r="S183" s="5"/>
    </row>
    <row r="184" customFormat="false" ht="14.25" hidden="false" customHeight="false" outlineLevel="0" collapsed="false">
      <c r="A184" s="5" t="n">
        <v>392</v>
      </c>
      <c r="B184" s="5" t="s">
        <v>453</v>
      </c>
      <c r="C184" s="5" t="n">
        <v>13</v>
      </c>
      <c r="D184" s="0" t="n">
        <f aca="false">VLOOKUP($A184,'[2]Sheet 1'!$A$2:$Q$3504,4,FALSE())</f>
        <v>20</v>
      </c>
      <c r="E184" s="0" t="n">
        <f aca="false">VLOOKUP($A184,'[2]Sheet 1'!$A$2:$Q$3504,5,FALSE())</f>
        <v>1</v>
      </c>
      <c r="F184" s="0" t="n">
        <f aca="false">VLOOKUP($A184,'[2]Sheet 1'!$A$2:$Q$3504,6,FALSE())</f>
        <v>1.2</v>
      </c>
      <c r="G184" s="0" t="n">
        <f aca="false">VLOOKUP($A184,'[2]Sheet 1'!$A$2:$Q$3504,7,FALSE())</f>
        <v>0.17</v>
      </c>
      <c r="H184" s="0" t="n">
        <f aca="false">VLOOKUP($A184,'[2]Sheet 1'!$A$2:$Q$3504,8,FALSE())</f>
        <v>0.6</v>
      </c>
      <c r="I184" s="0" t="n">
        <f aca="false">VLOOKUP($A184,'[2]Sheet 1'!$A$2:$Q$3504,9,FALSE())</f>
        <v>12.96792</v>
      </c>
      <c r="J184" s="0" t="n">
        <f aca="false">VLOOKUP($A184,'[2]Sheet 1'!$A$2:$Q$3504,10,FALSE())</f>
        <v>21.25</v>
      </c>
      <c r="K184" s="0" t="n">
        <f aca="false">VLOOKUP($A184,'[2]Sheet 1'!$A$2:$Q$3504,11,FALSE())</f>
        <v>0.04</v>
      </c>
      <c r="L184" s="0" t="n">
        <f aca="false">VLOOKUP($A184,'[2]Sheet 1'!$A$2:$Q$3504,12,FALSE())</f>
        <v>6.7</v>
      </c>
      <c r="M184" s="0" t="n">
        <f aca="false">VLOOKUP($A184,'[2]Sheet 1'!$A$2:$Q$3504,13,FALSE())</f>
        <v>204</v>
      </c>
      <c r="N184" s="0" t="n">
        <f aca="false">VLOOKUP($A184,'[2]Sheet 1'!$A$2:$Q$3504,14,FALSE())</f>
        <v>1.51648472861679</v>
      </c>
      <c r="O184" s="0" t="n">
        <f aca="false">VLOOKUP($A184,'[2]Sheet 1'!$A$2:$Q$3504,15,FALSE())</f>
        <v>0</v>
      </c>
      <c r="P184" s="0" t="n">
        <f aca="false">VLOOKUP($A184,'[2]Sheet 1'!$A$2:$Q$3504,16,FALSE())</f>
        <v>4.9018248676005</v>
      </c>
      <c r="Q184" s="0" t="n">
        <f aca="false">VLOOKUP($A184,'[2]Sheet 1'!$A$2:$Q$3504,17,FALSE())</f>
        <v>65</v>
      </c>
      <c r="S184" s="5"/>
    </row>
    <row r="185" customFormat="false" ht="14.25" hidden="false" customHeight="false" outlineLevel="0" collapsed="false">
      <c r="A185" s="5" t="n">
        <v>393</v>
      </c>
      <c r="B185" s="5" t="s">
        <v>455</v>
      </c>
      <c r="C185" s="5" t="n">
        <v>9</v>
      </c>
      <c r="D185" s="0" t="n">
        <f aca="false">VLOOKUP($A185,'[2]Sheet 1'!$A$2:$Q$3504,4,FALSE())</f>
        <v>27.32</v>
      </c>
      <c r="E185" s="0" t="n">
        <f aca="false">VLOOKUP($A185,'[2]Sheet 1'!$A$2:$Q$3504,5,FALSE())</f>
        <v>3.2</v>
      </c>
      <c r="F185" s="0" t="n">
        <f aca="false">VLOOKUP($A185,'[2]Sheet 1'!$A$2:$Q$3504,6,FALSE())</f>
        <v>1.85</v>
      </c>
      <c r="G185" s="0" t="n">
        <f aca="false">VLOOKUP($A185,'[2]Sheet 1'!$A$2:$Q$3504,7,FALSE())</f>
        <v>0.4</v>
      </c>
      <c r="H185" s="0" t="n">
        <f aca="false">VLOOKUP($A185,'[2]Sheet 1'!$A$2:$Q$3504,8,FALSE())</f>
        <v>1</v>
      </c>
      <c r="I185" s="0" t="n">
        <f aca="false">VLOOKUP($A185,'[2]Sheet 1'!$A$2:$Q$3504,9,FALSE())</f>
        <v>35</v>
      </c>
      <c r="J185" s="0" t="n">
        <f aca="false">VLOOKUP($A185,'[2]Sheet 1'!$A$2:$Q$3504,10,FALSE())</f>
        <v>60</v>
      </c>
      <c r="K185" s="0" t="n">
        <f aca="false">VLOOKUP($A185,'[2]Sheet 1'!$A$2:$Q$3504,11,FALSE())</f>
        <v>0.1</v>
      </c>
      <c r="L185" s="0" t="n">
        <f aca="false">VLOOKUP($A185,'[2]Sheet 1'!$A$2:$Q$3504,12,FALSE())</f>
        <v>44.3</v>
      </c>
      <c r="M185" s="0" t="n">
        <f aca="false">VLOOKUP($A185,'[2]Sheet 1'!$A$2:$Q$3504,13,FALSE())</f>
        <v>313</v>
      </c>
      <c r="N185" s="0" t="n">
        <f aca="false">VLOOKUP($A185,'[2]Sheet 1'!$A$2:$Q$3504,14,FALSE())</f>
        <v>0.07</v>
      </c>
      <c r="O185" s="0" t="n">
        <f aca="false">VLOOKUP($A185,'[2]Sheet 1'!$A$2:$Q$3504,15,FALSE())</f>
        <v>0</v>
      </c>
      <c r="P185" s="0" t="n">
        <f aca="false">VLOOKUP($A185,'[2]Sheet 1'!$A$2:$Q$3504,16,FALSE())</f>
        <v>13.8</v>
      </c>
      <c r="Q185" s="0" t="n">
        <f aca="false">VLOOKUP($A185,'[2]Sheet 1'!$A$2:$Q$3504,17,FALSE())</f>
        <v>115</v>
      </c>
      <c r="S185" s="5"/>
    </row>
    <row r="186" customFormat="false" ht="14.25" hidden="false" customHeight="false" outlineLevel="0" collapsed="false">
      <c r="A186" s="5" t="n">
        <v>394</v>
      </c>
      <c r="B186" s="5" t="s">
        <v>457</v>
      </c>
      <c r="C186" s="5" t="n">
        <v>9</v>
      </c>
      <c r="D186" s="0" t="n">
        <f aca="false">VLOOKUP($A186,'[2]Sheet 1'!$A$2:$Q$3504,4,FALSE())</f>
        <v>19</v>
      </c>
      <c r="E186" s="0" t="n">
        <f aca="false">VLOOKUP($A186,'[2]Sheet 1'!$A$2:$Q$3504,5,FALSE())</f>
        <v>1</v>
      </c>
      <c r="F186" s="0" t="n">
        <f aca="false">VLOOKUP($A186,'[2]Sheet 1'!$A$2:$Q$3504,6,FALSE())</f>
        <v>1.2</v>
      </c>
      <c r="G186" s="0" t="n">
        <f aca="false">VLOOKUP($A186,'[2]Sheet 1'!$A$2:$Q$3504,7,FALSE())</f>
        <v>0.2</v>
      </c>
      <c r="H186" s="0" t="n">
        <f aca="false">VLOOKUP($A186,'[2]Sheet 1'!$A$2:$Q$3504,8,FALSE())</f>
        <v>0.645</v>
      </c>
      <c r="I186" s="0" t="n">
        <f aca="false">VLOOKUP($A186,'[2]Sheet 1'!$A$2:$Q$3504,9,FALSE())</f>
        <v>23</v>
      </c>
      <c r="J186" s="0" t="n">
        <f aca="false">VLOOKUP($A186,'[2]Sheet 1'!$A$2:$Q$3504,10,FALSE())</f>
        <v>16</v>
      </c>
      <c r="K186" s="0" t="n">
        <f aca="false">VLOOKUP($A186,'[2]Sheet 1'!$A$2:$Q$3504,11,FALSE())</f>
        <v>0.04</v>
      </c>
      <c r="L186" s="0" t="n">
        <f aca="false">VLOOKUP($A186,'[2]Sheet 1'!$A$2:$Q$3504,12,FALSE())</f>
        <v>9.1</v>
      </c>
      <c r="M186" s="0" t="n">
        <f aca="false">VLOOKUP($A186,'[2]Sheet 1'!$A$2:$Q$3504,13,FALSE())</f>
        <v>162</v>
      </c>
      <c r="N186" s="0" t="n">
        <f aca="false">VLOOKUP($A186,'[2]Sheet 1'!$A$2:$Q$3504,14,FALSE())</f>
        <v>0.8</v>
      </c>
      <c r="O186" s="0" t="n">
        <f aca="false">VLOOKUP($A186,'[2]Sheet 1'!$A$2:$Q$3504,15,FALSE())</f>
        <v>0</v>
      </c>
      <c r="P186" s="0" t="n">
        <f aca="false">VLOOKUP($A186,'[2]Sheet 1'!$A$2:$Q$3504,16,FALSE())</f>
        <v>0.8</v>
      </c>
      <c r="Q186" s="0" t="n">
        <f aca="false">VLOOKUP($A186,'[2]Sheet 1'!$A$2:$Q$3504,17,FALSE())</f>
        <v>32</v>
      </c>
      <c r="S186" s="5"/>
    </row>
    <row r="187" customFormat="false" ht="14.25" hidden="false" customHeight="false" outlineLevel="0" collapsed="false">
      <c r="A187" s="5" t="n">
        <v>397</v>
      </c>
      <c r="B187" s="5" t="s">
        <v>459</v>
      </c>
      <c r="C187" s="5" t="n">
        <v>5</v>
      </c>
      <c r="D187" s="0" t="n">
        <f aca="false">VLOOKUP($A187,'[2]Sheet 1'!$A$2:$Q$3504,4,FALSE())</f>
        <v>15</v>
      </c>
      <c r="E187" s="0" t="n">
        <f aca="false">VLOOKUP($A187,'[2]Sheet 1'!$A$2:$Q$3504,5,FALSE())</f>
        <v>0.7</v>
      </c>
      <c r="F187" s="0" t="n">
        <f aca="false">VLOOKUP($A187,'[2]Sheet 1'!$A$2:$Q$3504,6,FALSE())</f>
        <v>0.7</v>
      </c>
      <c r="G187" s="0" t="n">
        <f aca="false">VLOOKUP($A187,'[2]Sheet 1'!$A$2:$Q$3504,7,FALSE())</f>
        <v>0.19</v>
      </c>
      <c r="H187" s="0" t="n">
        <f aca="false">VLOOKUP($A187,'[2]Sheet 1'!$A$2:$Q$3504,8,FALSE())</f>
        <v>0.4</v>
      </c>
      <c r="I187" s="0" t="n">
        <f aca="false">VLOOKUP($A187,'[2]Sheet 1'!$A$2:$Q$3504,9,FALSE())</f>
        <v>16</v>
      </c>
      <c r="J187" s="0" t="n">
        <f aca="false">VLOOKUP($A187,'[2]Sheet 1'!$A$2:$Q$3504,10,FALSE())</f>
        <v>7</v>
      </c>
      <c r="K187" s="0" t="n">
        <f aca="false">VLOOKUP($A187,'[2]Sheet 1'!$A$2:$Q$3504,11,FALSE())</f>
        <v>0.0365</v>
      </c>
      <c r="L187" s="0" t="n">
        <f aca="false">VLOOKUP($A187,'[2]Sheet 1'!$A$2:$Q$3504,12,FALSE())</f>
        <v>6</v>
      </c>
      <c r="M187" s="0" t="n">
        <f aca="false">VLOOKUP($A187,'[2]Sheet 1'!$A$2:$Q$3504,13,FALSE())</f>
        <v>144</v>
      </c>
      <c r="N187" s="0" t="n">
        <f aca="false">VLOOKUP($A187,'[2]Sheet 1'!$A$2:$Q$3504,14,FALSE())</f>
        <v>0.03</v>
      </c>
      <c r="O187" s="0" t="n">
        <f aca="false">VLOOKUP($A187,'[2]Sheet 1'!$A$2:$Q$3504,15,FALSE())</f>
        <v>0</v>
      </c>
      <c r="P187" s="0" t="n">
        <f aca="false">VLOOKUP($A187,'[2]Sheet 1'!$A$2:$Q$3504,16,FALSE())</f>
        <v>7.2</v>
      </c>
      <c r="Q187" s="0" t="n">
        <f aca="false">VLOOKUP($A187,'[2]Sheet 1'!$A$2:$Q$3504,17,FALSE())</f>
        <v>4.5</v>
      </c>
      <c r="S187" s="5"/>
    </row>
    <row r="188" customFormat="false" ht="14.25" hidden="false" customHeight="false" outlineLevel="0" collapsed="false">
      <c r="A188" s="5" t="n">
        <v>399</v>
      </c>
      <c r="B188" s="5" t="s">
        <v>461</v>
      </c>
      <c r="C188" s="5" t="n">
        <v>8</v>
      </c>
      <c r="D188" s="0" t="n">
        <f aca="false">VLOOKUP($A188,'[2]Sheet 1'!$A$2:$Q$3504,4,FALSE())</f>
        <v>27.5</v>
      </c>
      <c r="E188" s="0" t="n">
        <f aca="false">VLOOKUP($A188,'[2]Sheet 1'!$A$2:$Q$3504,5,FALSE())</f>
        <v>1.1</v>
      </c>
      <c r="F188" s="0" t="n">
        <f aca="false">VLOOKUP($A188,'[2]Sheet 1'!$A$2:$Q$3504,6,FALSE())</f>
        <v>2.3</v>
      </c>
      <c r="G188" s="0" t="n">
        <f aca="false">VLOOKUP($A188,'[2]Sheet 1'!$A$2:$Q$3504,7,FALSE())</f>
        <v>0.18</v>
      </c>
      <c r="H188" s="0" t="n">
        <f aca="false">VLOOKUP($A188,'[2]Sheet 1'!$A$2:$Q$3504,8,FALSE())</f>
        <v>0.5</v>
      </c>
      <c r="I188" s="0" t="n">
        <f aca="false">VLOOKUP($A188,'[2]Sheet 1'!$A$2:$Q$3504,9,FALSE())</f>
        <v>14.5</v>
      </c>
      <c r="J188" s="0" t="n">
        <f aca="false">VLOOKUP($A188,'[2]Sheet 1'!$A$2:$Q$3504,10,FALSE())</f>
        <v>26.33333333</v>
      </c>
      <c r="K188" s="0" t="n">
        <f aca="false">VLOOKUP($A188,'[2]Sheet 1'!$A$2:$Q$3504,11,FALSE())</f>
        <v>0.05</v>
      </c>
      <c r="L188" s="0" t="n">
        <f aca="false">VLOOKUP($A188,'[2]Sheet 1'!$A$2:$Q$3504,12,FALSE())</f>
        <v>29.45</v>
      </c>
      <c r="M188" s="0" t="n">
        <f aca="false">VLOOKUP($A188,'[2]Sheet 1'!$A$2:$Q$3504,13,FALSE())</f>
        <v>229</v>
      </c>
      <c r="N188" s="0" t="n">
        <f aca="false">VLOOKUP($A188,'[2]Sheet 1'!$A$2:$Q$3504,14,FALSE())</f>
        <v>0.41</v>
      </c>
      <c r="O188" s="0" t="n">
        <f aca="false">VLOOKUP($A188,'[2]Sheet 1'!$A$2:$Q$3504,15,FALSE())</f>
        <v>0</v>
      </c>
      <c r="P188" s="0" t="n">
        <f aca="false">VLOOKUP($A188,'[2]Sheet 1'!$A$2:$Q$3504,16,FALSE())</f>
        <v>2.9</v>
      </c>
      <c r="Q188" s="0" t="n">
        <f aca="false">VLOOKUP($A188,'[2]Sheet 1'!$A$2:$Q$3504,17,FALSE())</f>
        <v>5</v>
      </c>
      <c r="S188" s="5"/>
    </row>
    <row r="189" customFormat="false" ht="14.25" hidden="false" customHeight="false" outlineLevel="0" collapsed="false">
      <c r="A189" s="5" t="n">
        <v>401</v>
      </c>
      <c r="B189" s="5" t="s">
        <v>463</v>
      </c>
      <c r="C189" s="5" t="n">
        <v>20</v>
      </c>
      <c r="D189" s="0" t="n">
        <f aca="false">VLOOKUP($A189,'[2]Sheet 1'!$A$2:$Q$3504,4,FALSE())</f>
        <v>29</v>
      </c>
      <c r="E189" s="0" t="n">
        <f aca="false">VLOOKUP($A189,'[2]Sheet 1'!$A$2:$Q$3504,5,FALSE())</f>
        <v>1.5</v>
      </c>
      <c r="F189" s="0" t="n">
        <f aca="false">VLOOKUP($A189,'[2]Sheet 1'!$A$2:$Q$3504,6,FALSE())</f>
        <v>2.166666667</v>
      </c>
      <c r="G189" s="0" t="n">
        <f aca="false">VLOOKUP($A189,'[2]Sheet 1'!$A$2:$Q$3504,7,FALSE())</f>
        <v>0.3</v>
      </c>
      <c r="H189" s="0" t="n">
        <f aca="false">VLOOKUP($A189,'[2]Sheet 1'!$A$2:$Q$3504,8,FALSE())</f>
        <v>1.2</v>
      </c>
      <c r="I189" s="0" t="n">
        <f aca="false">VLOOKUP($A189,'[2]Sheet 1'!$A$2:$Q$3504,9,FALSE())</f>
        <v>18</v>
      </c>
      <c r="J189" s="0" t="n">
        <f aca="false">VLOOKUP($A189,'[2]Sheet 1'!$A$2:$Q$3504,10,FALSE())</f>
        <v>26</v>
      </c>
      <c r="K189" s="0" t="n">
        <f aca="false">VLOOKUP($A189,'[2]Sheet 1'!$A$2:$Q$3504,11,FALSE())</f>
        <v>0.0805</v>
      </c>
      <c r="L189" s="0" t="n">
        <f aca="false">VLOOKUP($A189,'[2]Sheet 1'!$A$2:$Q$3504,12,FALSE())</f>
        <v>7.6</v>
      </c>
      <c r="M189" s="0" t="n">
        <f aca="false">VLOOKUP($A189,'[2]Sheet 1'!$A$2:$Q$3504,13,FALSE())</f>
        <v>322</v>
      </c>
      <c r="N189" s="0" t="n">
        <f aca="false">VLOOKUP($A189,'[2]Sheet 1'!$A$2:$Q$3504,14,FALSE())</f>
        <v>0</v>
      </c>
      <c r="O189" s="0" t="n">
        <f aca="false">VLOOKUP($A189,'[2]Sheet 1'!$A$2:$Q$3504,15,FALSE())</f>
        <v>0</v>
      </c>
      <c r="P189" s="0" t="n">
        <f aca="false">VLOOKUP($A189,'[2]Sheet 1'!$A$2:$Q$3504,16,FALSE())</f>
        <v>0</v>
      </c>
      <c r="Q189" s="0" t="n">
        <f aca="false">VLOOKUP($A189,'[2]Sheet 1'!$A$2:$Q$3504,17,FALSE())</f>
        <v>54</v>
      </c>
      <c r="S189" s="5"/>
    </row>
    <row r="190" customFormat="false" ht="14.25" hidden="false" customHeight="false" outlineLevel="0" collapsed="false">
      <c r="A190" s="5" t="n">
        <v>402</v>
      </c>
      <c r="B190" s="5" t="s">
        <v>465</v>
      </c>
      <c r="C190" s="5" t="n">
        <v>11</v>
      </c>
      <c r="D190" s="0" t="n">
        <f aca="false">VLOOKUP($A190,'[2]Sheet 1'!$A$2:$Q$3504,4,FALSE())</f>
        <v>34</v>
      </c>
      <c r="E190" s="0" t="n">
        <f aca="false">VLOOKUP($A190,'[2]Sheet 1'!$A$2:$Q$3504,5,FALSE())</f>
        <v>1.6</v>
      </c>
      <c r="F190" s="0" t="n">
        <f aca="false">VLOOKUP($A190,'[2]Sheet 1'!$A$2:$Q$3504,6,FALSE())</f>
        <v>2.35</v>
      </c>
      <c r="G190" s="0" t="n">
        <f aca="false">VLOOKUP($A190,'[2]Sheet 1'!$A$2:$Q$3504,7,FALSE())</f>
        <v>0.395</v>
      </c>
      <c r="H190" s="0" t="n">
        <f aca="false">VLOOKUP($A190,'[2]Sheet 1'!$A$2:$Q$3504,8,FALSE())</f>
        <v>1.21</v>
      </c>
      <c r="I190" s="0" t="n">
        <f aca="false">VLOOKUP($A190,'[2]Sheet 1'!$A$2:$Q$3504,9,FALSE())</f>
        <v>42</v>
      </c>
      <c r="J190" s="0" t="n">
        <f aca="false">VLOOKUP($A190,'[2]Sheet 1'!$A$2:$Q$3504,10,FALSE())</f>
        <v>34</v>
      </c>
      <c r="K190" s="0" t="n">
        <f aca="false">VLOOKUP($A190,'[2]Sheet 1'!$A$2:$Q$3504,11,FALSE())</f>
        <v>0.07</v>
      </c>
      <c r="L190" s="0" t="n">
        <f aca="false">VLOOKUP($A190,'[2]Sheet 1'!$A$2:$Q$3504,12,FALSE())</f>
        <v>5.7</v>
      </c>
      <c r="M190" s="0" t="n">
        <f aca="false">VLOOKUP($A190,'[2]Sheet 1'!$A$2:$Q$3504,13,FALSE())</f>
        <v>234</v>
      </c>
      <c r="N190" s="0" t="n">
        <f aca="false">VLOOKUP($A190,'[2]Sheet 1'!$A$2:$Q$3504,14,FALSE())</f>
        <v>0.04</v>
      </c>
      <c r="O190" s="0" t="n">
        <f aca="false">VLOOKUP($A190,'[2]Sheet 1'!$A$2:$Q$3504,15,FALSE())</f>
        <v>0</v>
      </c>
      <c r="P190" s="0" t="n">
        <f aca="false">VLOOKUP($A190,'[2]Sheet 1'!$A$2:$Q$3504,16,FALSE())</f>
        <v>0.8</v>
      </c>
      <c r="Q190" s="0" t="n">
        <f aca="false">VLOOKUP($A190,'[2]Sheet 1'!$A$2:$Q$3504,17,FALSE())</f>
        <v>41</v>
      </c>
      <c r="S190" s="5"/>
    </row>
    <row r="191" customFormat="false" ht="14.25" hidden="false" customHeight="false" outlineLevel="0" collapsed="false">
      <c r="A191" s="5" t="n">
        <v>403</v>
      </c>
      <c r="B191" s="5" t="s">
        <v>467</v>
      </c>
      <c r="C191" s="5" t="n">
        <v>11</v>
      </c>
      <c r="D191" s="0" t="n">
        <f aca="false">VLOOKUP($A191,'[2]Sheet 1'!$A$2:$Q$3504,4,FALSE())</f>
        <v>40</v>
      </c>
      <c r="E191" s="0" t="n">
        <f aca="false">VLOOKUP($A191,'[2]Sheet 1'!$A$2:$Q$3504,5,FALSE())</f>
        <v>1.1</v>
      </c>
      <c r="F191" s="0" t="n">
        <f aca="false">VLOOKUP($A191,'[2]Sheet 1'!$A$2:$Q$3504,6,FALSE())</f>
        <v>1.6</v>
      </c>
      <c r="G191" s="0" t="n">
        <f aca="false">VLOOKUP($A191,'[2]Sheet 1'!$A$2:$Q$3504,7,FALSE())</f>
        <v>0.17</v>
      </c>
      <c r="H191" s="0" t="n">
        <f aca="false">VLOOKUP($A191,'[2]Sheet 1'!$A$2:$Q$3504,8,FALSE())</f>
        <v>0.65</v>
      </c>
      <c r="I191" s="0" t="n">
        <f aca="false">VLOOKUP($A191,'[2]Sheet 1'!$A$2:$Q$3504,9,FALSE())</f>
        <v>30.55</v>
      </c>
      <c r="J191" s="0" t="n">
        <f aca="false">VLOOKUP($A191,'[2]Sheet 1'!$A$2:$Q$3504,10,FALSE())</f>
        <v>16</v>
      </c>
      <c r="K191" s="0" t="n">
        <f aca="false">VLOOKUP($A191,'[2]Sheet 1'!$A$2:$Q$3504,11,FALSE())</f>
        <v>0.04</v>
      </c>
      <c r="L191" s="0" t="n">
        <f aca="false">VLOOKUP($A191,'[2]Sheet 1'!$A$2:$Q$3504,12,FALSE())</f>
        <v>6.1</v>
      </c>
      <c r="M191" s="0" t="n">
        <f aca="false">VLOOKUP($A191,'[2]Sheet 1'!$A$2:$Q$3504,13,FALSE())</f>
        <v>149.6</v>
      </c>
      <c r="N191" s="0" t="n">
        <f aca="false">VLOOKUP($A191,'[2]Sheet 1'!$A$2:$Q$3504,14,FALSE())</f>
        <v>0.02</v>
      </c>
      <c r="O191" s="0" t="n">
        <f aca="false">VLOOKUP($A191,'[2]Sheet 1'!$A$2:$Q$3504,15,FALSE())</f>
        <v>0</v>
      </c>
      <c r="P191" s="0" t="n">
        <f aca="false">VLOOKUP($A191,'[2]Sheet 1'!$A$2:$Q$3504,16,FALSE())</f>
        <v>0.4</v>
      </c>
      <c r="Q191" s="0" t="n">
        <f aca="false">VLOOKUP($A191,'[2]Sheet 1'!$A$2:$Q$3504,17,FALSE())</f>
        <v>0</v>
      </c>
      <c r="S191" s="5"/>
    </row>
    <row r="192" customFormat="false" ht="14.25" hidden="false" customHeight="false" outlineLevel="0" collapsed="false">
      <c r="A192" s="5" t="n">
        <v>406</v>
      </c>
      <c r="B192" s="5" t="s">
        <v>469</v>
      </c>
      <c r="C192" s="5" t="n">
        <v>39</v>
      </c>
      <c r="D192" s="0" t="n">
        <f aca="false">VLOOKUP($A192,'[2]Sheet 1'!$A$2:$Q$3504,4,FALSE())</f>
        <v>129.5</v>
      </c>
      <c r="E192" s="0" t="n">
        <f aca="false">VLOOKUP($A192,'[2]Sheet 1'!$A$2:$Q$3504,5,FALSE())</f>
        <v>5.2</v>
      </c>
      <c r="F192" s="0" t="n">
        <f aca="false">VLOOKUP($A192,'[2]Sheet 1'!$A$2:$Q$3504,6,FALSE())</f>
        <v>1.55</v>
      </c>
      <c r="G192" s="0" t="n">
        <f aca="false">VLOOKUP($A192,'[2]Sheet 1'!$A$2:$Q$3504,7,FALSE())</f>
        <v>1</v>
      </c>
      <c r="H192" s="0" t="n">
        <f aca="false">VLOOKUP($A192,'[2]Sheet 1'!$A$2:$Q$3504,8,FALSE())</f>
        <v>1.5</v>
      </c>
      <c r="I192" s="0" t="n">
        <f aca="false">VLOOKUP($A192,'[2]Sheet 1'!$A$2:$Q$3504,9,FALSE())</f>
        <v>32.5</v>
      </c>
      <c r="J192" s="0" t="n">
        <f aca="false">VLOOKUP($A192,'[2]Sheet 1'!$A$2:$Q$3504,10,FALSE())</f>
        <v>3.5</v>
      </c>
      <c r="K192" s="0" t="n">
        <f aca="false">VLOOKUP($A192,'[2]Sheet 1'!$A$2:$Q$3504,11,FALSE())</f>
        <v>0.07</v>
      </c>
      <c r="L192" s="0" t="n">
        <f aca="false">VLOOKUP($A192,'[2]Sheet 1'!$A$2:$Q$3504,12,FALSE())</f>
        <v>23.2</v>
      </c>
      <c r="M192" s="0" t="n">
        <f aca="false">VLOOKUP($A192,'[2]Sheet 1'!$A$2:$Q$3504,13,FALSE())</f>
        <v>465</v>
      </c>
      <c r="N192" s="0" t="n">
        <f aca="false">VLOOKUP($A192,'[2]Sheet 1'!$A$2:$Q$3504,14,FALSE())</f>
        <v>0.08</v>
      </c>
      <c r="O192" s="0" t="n">
        <f aca="false">VLOOKUP($A192,'[2]Sheet 1'!$A$2:$Q$3504,15,FALSE())</f>
        <v>0</v>
      </c>
      <c r="P192" s="0" t="n">
        <f aca="false">VLOOKUP($A192,'[2]Sheet 1'!$A$2:$Q$3504,16,FALSE())</f>
        <v>1.7</v>
      </c>
      <c r="Q192" s="0" t="n">
        <f aca="false">VLOOKUP($A192,'[2]Sheet 1'!$A$2:$Q$3504,17,FALSE())</f>
        <v>0</v>
      </c>
      <c r="S192" s="5"/>
    </row>
    <row r="193" customFormat="false" ht="14.25" hidden="false" customHeight="false" outlineLevel="0" collapsed="false">
      <c r="A193" s="5" t="n">
        <v>407</v>
      </c>
      <c r="B193" s="5" t="s">
        <v>471</v>
      </c>
      <c r="C193" s="5" t="n">
        <v>15</v>
      </c>
      <c r="D193" s="0" t="n">
        <f aca="false">VLOOKUP($A193,'[2]Sheet 1'!$A$2:$Q$3504,4,FALSE())</f>
        <v>37</v>
      </c>
      <c r="E193" s="0" t="n">
        <f aca="false">VLOOKUP($A193,'[2]Sheet 1'!$A$2:$Q$3504,5,FALSE())</f>
        <v>2.1</v>
      </c>
      <c r="F193" s="0" t="n">
        <f aca="false">VLOOKUP($A193,'[2]Sheet 1'!$A$2:$Q$3504,6,FALSE())</f>
        <v>1.8</v>
      </c>
      <c r="G193" s="0" t="n">
        <f aca="false">VLOOKUP($A193,'[2]Sheet 1'!$A$2:$Q$3504,7,FALSE())</f>
        <v>0.4</v>
      </c>
      <c r="H193" s="0" t="n">
        <f aca="false">VLOOKUP($A193,'[2]Sheet 1'!$A$2:$Q$3504,8,FALSE())</f>
        <v>2</v>
      </c>
      <c r="I193" s="0" t="n">
        <f aca="false">VLOOKUP($A193,'[2]Sheet 1'!$A$2:$Q$3504,9,FALSE())</f>
        <v>58</v>
      </c>
      <c r="J193" s="0" t="n">
        <f aca="false">VLOOKUP($A193,'[2]Sheet 1'!$A$2:$Q$3504,10,FALSE())</f>
        <v>84.5</v>
      </c>
      <c r="K193" s="0" t="n">
        <f aca="false">VLOOKUP($A193,'[2]Sheet 1'!$A$2:$Q$3504,11,FALSE())</f>
        <v>0.08</v>
      </c>
      <c r="L193" s="0" t="n">
        <f aca="false">VLOOKUP($A193,'[2]Sheet 1'!$A$2:$Q$3504,12,FALSE())</f>
        <v>7.35</v>
      </c>
      <c r="M193" s="0" t="n">
        <f aca="false">VLOOKUP($A193,'[2]Sheet 1'!$A$2:$Q$3504,13,FALSE())</f>
        <v>189.5</v>
      </c>
      <c r="N193" s="0" t="n">
        <f aca="false">VLOOKUP($A193,'[2]Sheet 1'!$A$2:$Q$3504,14,FALSE())</f>
        <v>0.5</v>
      </c>
      <c r="O193" s="0" t="n">
        <f aca="false">VLOOKUP($A193,'[2]Sheet 1'!$A$2:$Q$3504,15,FALSE())</f>
        <v>0</v>
      </c>
      <c r="P193" s="0" t="n">
        <f aca="false">VLOOKUP($A193,'[2]Sheet 1'!$A$2:$Q$3504,16,FALSE())</f>
        <v>25.4</v>
      </c>
      <c r="Q193" s="0" t="n">
        <f aca="false">VLOOKUP($A193,'[2]Sheet 1'!$A$2:$Q$3504,17,FALSE())</f>
        <v>60</v>
      </c>
      <c r="S193" s="5"/>
    </row>
    <row r="194" customFormat="false" ht="14.25" hidden="false" customHeight="false" outlineLevel="0" collapsed="false">
      <c r="A194" s="5" t="n">
        <v>414</v>
      </c>
      <c r="B194" s="5" t="s">
        <v>473</v>
      </c>
      <c r="C194" s="5" t="n">
        <v>20</v>
      </c>
      <c r="D194" s="0" t="n">
        <f aca="false">VLOOKUP($A194,'[2]Sheet 1'!$A$2:$Q$3504,4,FALSE())</f>
        <v>35.5</v>
      </c>
      <c r="E194" s="0" t="n">
        <f aca="false">VLOOKUP($A194,'[2]Sheet 1'!$A$2:$Q$3504,5,FALSE())</f>
        <v>3</v>
      </c>
      <c r="F194" s="0" t="n">
        <f aca="false">VLOOKUP($A194,'[2]Sheet 1'!$A$2:$Q$3504,6,FALSE())</f>
        <v>2</v>
      </c>
      <c r="G194" s="0" t="n">
        <f aca="false">VLOOKUP($A194,'[2]Sheet 1'!$A$2:$Q$3504,7,FALSE())</f>
        <v>0.4</v>
      </c>
      <c r="H194" s="0" t="n">
        <f aca="false">VLOOKUP($A194,'[2]Sheet 1'!$A$2:$Q$3504,8,FALSE())</f>
        <v>1.345</v>
      </c>
      <c r="I194" s="0" t="n">
        <f aca="false">VLOOKUP($A194,'[2]Sheet 1'!$A$2:$Q$3504,9,FALSE())</f>
        <v>49.5</v>
      </c>
      <c r="J194" s="0" t="n">
        <f aca="false">VLOOKUP($A194,'[2]Sheet 1'!$A$2:$Q$3504,10,FALSE())</f>
        <v>45</v>
      </c>
      <c r="K194" s="0" t="n">
        <f aca="false">VLOOKUP($A194,'[2]Sheet 1'!$A$2:$Q$3504,11,FALSE())</f>
        <v>0.09</v>
      </c>
      <c r="L194" s="0" t="n">
        <f aca="false">VLOOKUP($A194,'[2]Sheet 1'!$A$2:$Q$3504,12,FALSE())</f>
        <v>5</v>
      </c>
      <c r="M194" s="0" t="n">
        <f aca="false">VLOOKUP($A194,'[2]Sheet 1'!$A$2:$Q$3504,13,FALSE())</f>
        <v>183.5</v>
      </c>
      <c r="N194" s="0" t="n">
        <f aca="false">VLOOKUP($A194,'[2]Sheet 1'!$A$2:$Q$3504,14,FALSE())</f>
        <v>0.45</v>
      </c>
      <c r="O194" s="0" t="n">
        <f aca="false">VLOOKUP($A194,'[2]Sheet 1'!$A$2:$Q$3504,15,FALSE())</f>
        <v>0</v>
      </c>
      <c r="P194" s="0" t="n">
        <f aca="false">VLOOKUP($A194,'[2]Sheet 1'!$A$2:$Q$3504,16,FALSE())</f>
        <v>16</v>
      </c>
      <c r="Q194" s="0" t="n">
        <f aca="false">VLOOKUP($A194,'[2]Sheet 1'!$A$2:$Q$3504,17,FALSE())</f>
        <v>27</v>
      </c>
      <c r="S194" s="5"/>
    </row>
    <row r="195" customFormat="false" ht="14.25" hidden="false" customHeight="false" outlineLevel="0" collapsed="false">
      <c r="A195" s="5" t="n">
        <v>417</v>
      </c>
      <c r="B195" s="5" t="s">
        <v>475</v>
      </c>
      <c r="C195" s="5" t="n">
        <v>22</v>
      </c>
      <c r="D195" s="0" t="n">
        <f aca="false">VLOOKUP($A195,'[2]Sheet 1'!$A$2:$Q$3504,4,FALSE())</f>
        <v>69</v>
      </c>
      <c r="E195" s="0" t="n">
        <f aca="false">VLOOKUP($A195,'[2]Sheet 1'!$A$2:$Q$3504,5,FALSE())</f>
        <v>7</v>
      </c>
      <c r="F195" s="0" t="n">
        <f aca="false">VLOOKUP($A195,'[2]Sheet 1'!$A$2:$Q$3504,6,FALSE())</f>
        <v>2.6</v>
      </c>
      <c r="G195" s="0" t="n">
        <f aca="false">VLOOKUP($A195,'[2]Sheet 1'!$A$2:$Q$3504,7,FALSE())</f>
        <v>0.8</v>
      </c>
      <c r="H195" s="0" t="n">
        <f aca="false">VLOOKUP($A195,'[2]Sheet 1'!$A$2:$Q$3504,8,FALSE())</f>
        <v>1.7</v>
      </c>
      <c r="I195" s="0" t="n">
        <f aca="false">VLOOKUP($A195,'[2]Sheet 1'!$A$2:$Q$3504,9,FALSE())</f>
        <v>36</v>
      </c>
      <c r="J195" s="0" t="n">
        <f aca="false">VLOOKUP($A195,'[2]Sheet 1'!$A$2:$Q$3504,10,FALSE())</f>
        <v>53.5</v>
      </c>
      <c r="K195" s="0" t="n">
        <f aca="false">VLOOKUP($A195,'[2]Sheet 1'!$A$2:$Q$3504,11,FALSE())</f>
        <v>0.125</v>
      </c>
      <c r="L195" s="0" t="n">
        <f aca="false">VLOOKUP($A195,'[2]Sheet 1'!$A$2:$Q$3504,12,FALSE())</f>
        <v>22.9</v>
      </c>
      <c r="M195" s="0" t="n">
        <f aca="false">VLOOKUP($A195,'[2]Sheet 1'!$A$2:$Q$3504,13,FALSE())</f>
        <v>222</v>
      </c>
      <c r="N195" s="0" t="n">
        <f aca="false">VLOOKUP($A195,'[2]Sheet 1'!$A$2:$Q$3504,14,FALSE())</f>
        <v>0.14</v>
      </c>
      <c r="O195" s="0" t="n">
        <f aca="false">VLOOKUP($A195,'[2]Sheet 1'!$A$2:$Q$3504,15,FALSE())</f>
        <v>0</v>
      </c>
      <c r="P195" s="0" t="n">
        <f aca="false">VLOOKUP($A195,'[2]Sheet 1'!$A$2:$Q$3504,16,FALSE())</f>
        <v>25.9</v>
      </c>
      <c r="Q195" s="0" t="n">
        <f aca="false">VLOOKUP($A195,'[2]Sheet 1'!$A$2:$Q$3504,17,FALSE())</f>
        <v>54</v>
      </c>
      <c r="S195" s="5"/>
    </row>
    <row r="196" customFormat="false" ht="14.25" hidden="false" customHeight="false" outlineLevel="0" collapsed="false">
      <c r="A196" s="5" t="n">
        <v>420</v>
      </c>
      <c r="B196" s="5" t="s">
        <v>477</v>
      </c>
      <c r="C196" s="7" t="n">
        <v>50</v>
      </c>
      <c r="D196" s="0" t="e">
        <f aca="false">VLOOKUP($A196,'[2]Sheet 1'!$A$2:$Q$3504,4,FALSE())</f>
        <v>#N/A</v>
      </c>
      <c r="E196" s="0" t="e">
        <f aca="false">VLOOKUP($A196,'[2]Sheet 1'!$A$2:$Q$3504,5,FALSE())</f>
        <v>#N/A</v>
      </c>
      <c r="F196" s="0" t="e">
        <f aca="false">VLOOKUP($A196,'[2]Sheet 1'!$A$2:$Q$3504,6,FALSE())</f>
        <v>#N/A</v>
      </c>
      <c r="G196" s="0" t="e">
        <f aca="false">VLOOKUP($A196,'[2]Sheet 1'!$A$2:$Q$3504,7,FALSE())</f>
        <v>#N/A</v>
      </c>
      <c r="H196" s="0" t="e">
        <f aca="false">VLOOKUP($A196,'[2]Sheet 1'!$A$2:$Q$3504,8,FALSE())</f>
        <v>#N/A</v>
      </c>
      <c r="I196" s="0" t="e">
        <f aca="false">VLOOKUP($A196,'[2]Sheet 1'!$A$2:$Q$3504,9,FALSE())</f>
        <v>#N/A</v>
      </c>
      <c r="J196" s="0" t="e">
        <f aca="false">VLOOKUP($A196,'[2]Sheet 1'!$A$2:$Q$3504,10,FALSE())</f>
        <v>#N/A</v>
      </c>
      <c r="K196" s="0" t="e">
        <f aca="false">VLOOKUP($A196,'[2]Sheet 1'!$A$2:$Q$3504,11,FALSE())</f>
        <v>#N/A</v>
      </c>
      <c r="L196" s="0" t="e">
        <f aca="false">VLOOKUP($A196,'[2]Sheet 1'!$A$2:$Q$3504,12,FALSE())</f>
        <v>#N/A</v>
      </c>
      <c r="M196" s="0" t="e">
        <f aca="false">VLOOKUP($A196,'[2]Sheet 1'!$A$2:$Q$3504,13,FALSE())</f>
        <v>#N/A</v>
      </c>
      <c r="N196" s="0" t="e">
        <f aca="false">VLOOKUP($A196,'[2]Sheet 1'!$A$2:$Q$3504,14,FALSE())</f>
        <v>#N/A</v>
      </c>
      <c r="O196" s="0" t="e">
        <f aca="false">VLOOKUP($A196,'[2]Sheet 1'!$A$2:$Q$3504,15,FALSE())</f>
        <v>#N/A</v>
      </c>
      <c r="P196" s="0" t="e">
        <f aca="false">VLOOKUP($A196,'[2]Sheet 1'!$A$2:$Q$3504,16,FALSE())</f>
        <v>#N/A</v>
      </c>
      <c r="Q196" s="0" t="e">
        <f aca="false">VLOOKUP($A196,'[2]Sheet 1'!$A$2:$Q$3504,17,FALSE())</f>
        <v>#N/A</v>
      </c>
      <c r="S196" s="7"/>
    </row>
    <row r="197" customFormat="false" ht="14.25" hidden="false" customHeight="false" outlineLevel="0" collapsed="false">
      <c r="A197" s="5" t="n">
        <v>423</v>
      </c>
      <c r="B197" s="5" t="s">
        <v>479</v>
      </c>
      <c r="C197" s="7" t="n">
        <v>50</v>
      </c>
      <c r="D197" s="0" t="e">
        <f aca="false">VLOOKUP($A197,'[2]Sheet 1'!$A$2:$Q$3504,4,FALSE())</f>
        <v>#N/A</v>
      </c>
      <c r="E197" s="0" t="e">
        <f aca="false">VLOOKUP($A197,'[2]Sheet 1'!$A$2:$Q$3504,5,FALSE())</f>
        <v>#N/A</v>
      </c>
      <c r="F197" s="0" t="e">
        <f aca="false">VLOOKUP($A197,'[2]Sheet 1'!$A$2:$Q$3504,6,FALSE())</f>
        <v>#N/A</v>
      </c>
      <c r="G197" s="0" t="e">
        <f aca="false">VLOOKUP($A197,'[2]Sheet 1'!$A$2:$Q$3504,7,FALSE())</f>
        <v>#N/A</v>
      </c>
      <c r="H197" s="0" t="e">
        <f aca="false">VLOOKUP($A197,'[2]Sheet 1'!$A$2:$Q$3504,8,FALSE())</f>
        <v>#N/A</v>
      </c>
      <c r="I197" s="0" t="e">
        <f aca="false">VLOOKUP($A197,'[2]Sheet 1'!$A$2:$Q$3504,9,FALSE())</f>
        <v>#N/A</v>
      </c>
      <c r="J197" s="0" t="e">
        <f aca="false">VLOOKUP($A197,'[2]Sheet 1'!$A$2:$Q$3504,10,FALSE())</f>
        <v>#N/A</v>
      </c>
      <c r="K197" s="0" t="e">
        <f aca="false">VLOOKUP($A197,'[2]Sheet 1'!$A$2:$Q$3504,11,FALSE())</f>
        <v>#N/A</v>
      </c>
      <c r="L197" s="0" t="e">
        <f aca="false">VLOOKUP($A197,'[2]Sheet 1'!$A$2:$Q$3504,12,FALSE())</f>
        <v>#N/A</v>
      </c>
      <c r="M197" s="0" t="e">
        <f aca="false">VLOOKUP($A197,'[2]Sheet 1'!$A$2:$Q$3504,13,FALSE())</f>
        <v>#N/A</v>
      </c>
      <c r="N197" s="0" t="e">
        <f aca="false">VLOOKUP($A197,'[2]Sheet 1'!$A$2:$Q$3504,14,FALSE())</f>
        <v>#N/A</v>
      </c>
      <c r="O197" s="0" t="e">
        <f aca="false">VLOOKUP($A197,'[2]Sheet 1'!$A$2:$Q$3504,15,FALSE())</f>
        <v>#N/A</v>
      </c>
      <c r="P197" s="0" t="e">
        <f aca="false">VLOOKUP($A197,'[2]Sheet 1'!$A$2:$Q$3504,16,FALSE())</f>
        <v>#N/A</v>
      </c>
      <c r="Q197" s="0" t="e">
        <f aca="false">VLOOKUP($A197,'[2]Sheet 1'!$A$2:$Q$3504,17,FALSE())</f>
        <v>#N/A</v>
      </c>
      <c r="S197" s="7"/>
    </row>
    <row r="198" customFormat="false" ht="14.25" hidden="false" customHeight="false" outlineLevel="0" collapsed="false">
      <c r="A198" s="5" t="n">
        <v>426</v>
      </c>
      <c r="B198" s="5" t="s">
        <v>481</v>
      </c>
      <c r="C198" s="5" t="n">
        <v>12</v>
      </c>
      <c r="D198" s="0" t="n">
        <f aca="false">VLOOKUP($A198,'[2]Sheet 1'!$A$2:$Q$3504,4,FALSE())</f>
        <v>31.28</v>
      </c>
      <c r="E198" s="0" t="n">
        <f aca="false">VLOOKUP($A198,'[2]Sheet 1'!$A$2:$Q$3504,5,FALSE())</f>
        <v>0.9766666655</v>
      </c>
      <c r="F198" s="0" t="n">
        <f aca="false">VLOOKUP($A198,'[2]Sheet 1'!$A$2:$Q$3504,6,FALSE())</f>
        <v>1.4</v>
      </c>
      <c r="G198" s="0" t="n">
        <f aca="false">VLOOKUP($A198,'[2]Sheet 1'!$A$2:$Q$3504,7,FALSE())</f>
        <v>0.23</v>
      </c>
      <c r="H198" s="0" t="n">
        <f aca="false">VLOOKUP($A198,'[2]Sheet 1'!$A$2:$Q$3504,8,FALSE())</f>
        <v>0.6491249995</v>
      </c>
      <c r="I198" s="0" t="n">
        <f aca="false">VLOOKUP($A198,'[2]Sheet 1'!$A$2:$Q$3504,9,FALSE())</f>
        <v>33</v>
      </c>
      <c r="J198" s="0" t="n">
        <f aca="false">VLOOKUP($A198,'[2]Sheet 1'!$A$2:$Q$3504,10,FALSE())</f>
        <v>19</v>
      </c>
      <c r="K198" s="0" t="n">
        <f aca="false">VLOOKUP($A198,'[2]Sheet 1'!$A$2:$Q$3504,11,FALSE())</f>
        <v>0.04</v>
      </c>
      <c r="L198" s="0" t="n">
        <f aca="false">VLOOKUP($A198,'[2]Sheet 1'!$A$2:$Q$3504,12,FALSE())</f>
        <v>137</v>
      </c>
      <c r="M198" s="0" t="n">
        <f aca="false">VLOOKUP($A198,'[2]Sheet 1'!$A$2:$Q$3504,13,FALSE())</f>
        <v>304</v>
      </c>
      <c r="N198" s="0" t="n">
        <f aca="false">VLOOKUP($A198,'[2]Sheet 1'!$A$2:$Q$3504,14,FALSE())</f>
        <v>1.03</v>
      </c>
      <c r="O198" s="0" t="n">
        <f aca="false">VLOOKUP($A198,'[2]Sheet 1'!$A$2:$Q$3504,15,FALSE())</f>
        <v>0</v>
      </c>
      <c r="P198" s="0" t="n">
        <f aca="false">VLOOKUP($A198,'[2]Sheet 1'!$A$2:$Q$3504,16,FALSE())</f>
        <v>13.7</v>
      </c>
      <c r="Q198" s="0" t="n">
        <f aca="false">VLOOKUP($A198,'[2]Sheet 1'!$A$2:$Q$3504,17,FALSE())</f>
        <v>606</v>
      </c>
      <c r="S198" s="5"/>
    </row>
    <row r="199" customFormat="false" ht="14.25" hidden="false" customHeight="false" outlineLevel="0" collapsed="false">
      <c r="A199" s="5" t="n">
        <v>430</v>
      </c>
      <c r="B199" s="5" t="s">
        <v>483</v>
      </c>
      <c r="C199" s="7" t="n">
        <v>50</v>
      </c>
      <c r="D199" s="0" t="e">
        <f aca="false">VLOOKUP($A199,'[2]Sheet 1'!$A$2:$Q$3504,4,FALSE())</f>
        <v>#N/A</v>
      </c>
      <c r="E199" s="0" t="e">
        <f aca="false">VLOOKUP($A199,'[2]Sheet 1'!$A$2:$Q$3504,5,FALSE())</f>
        <v>#N/A</v>
      </c>
      <c r="F199" s="0" t="e">
        <f aca="false">VLOOKUP($A199,'[2]Sheet 1'!$A$2:$Q$3504,6,FALSE())</f>
        <v>#N/A</v>
      </c>
      <c r="G199" s="0" t="e">
        <f aca="false">VLOOKUP($A199,'[2]Sheet 1'!$A$2:$Q$3504,7,FALSE())</f>
        <v>#N/A</v>
      </c>
      <c r="H199" s="0" t="e">
        <f aca="false">VLOOKUP($A199,'[2]Sheet 1'!$A$2:$Q$3504,8,FALSE())</f>
        <v>#N/A</v>
      </c>
      <c r="I199" s="0" t="e">
        <f aca="false">VLOOKUP($A199,'[2]Sheet 1'!$A$2:$Q$3504,9,FALSE())</f>
        <v>#N/A</v>
      </c>
      <c r="J199" s="0" t="e">
        <f aca="false">VLOOKUP($A199,'[2]Sheet 1'!$A$2:$Q$3504,10,FALSE())</f>
        <v>#N/A</v>
      </c>
      <c r="K199" s="0" t="e">
        <f aca="false">VLOOKUP($A199,'[2]Sheet 1'!$A$2:$Q$3504,11,FALSE())</f>
        <v>#N/A</v>
      </c>
      <c r="L199" s="0" t="e">
        <f aca="false">VLOOKUP($A199,'[2]Sheet 1'!$A$2:$Q$3504,12,FALSE())</f>
        <v>#N/A</v>
      </c>
      <c r="M199" s="0" t="e">
        <f aca="false">VLOOKUP($A199,'[2]Sheet 1'!$A$2:$Q$3504,13,FALSE())</f>
        <v>#N/A</v>
      </c>
      <c r="N199" s="0" t="e">
        <f aca="false">VLOOKUP($A199,'[2]Sheet 1'!$A$2:$Q$3504,14,FALSE())</f>
        <v>#N/A</v>
      </c>
      <c r="O199" s="0" t="e">
        <f aca="false">VLOOKUP($A199,'[2]Sheet 1'!$A$2:$Q$3504,15,FALSE())</f>
        <v>#N/A</v>
      </c>
      <c r="P199" s="0" t="e">
        <f aca="false">VLOOKUP($A199,'[2]Sheet 1'!$A$2:$Q$3504,16,FALSE())</f>
        <v>#N/A</v>
      </c>
      <c r="Q199" s="0" t="e">
        <f aca="false">VLOOKUP($A199,'[2]Sheet 1'!$A$2:$Q$3504,17,FALSE())</f>
        <v>#N/A</v>
      </c>
      <c r="S199" s="7"/>
    </row>
    <row r="200" customFormat="false" ht="14.25" hidden="false" customHeight="false" outlineLevel="0" collapsed="false">
      <c r="A200" s="5" t="n">
        <v>446</v>
      </c>
      <c r="B200" s="5" t="s">
        <v>485</v>
      </c>
      <c r="C200" s="5" t="n">
        <v>28</v>
      </c>
      <c r="D200" s="0" t="n">
        <f aca="false">VLOOKUP($A200,'[2]Sheet 1'!$A$2:$Q$3504,4,FALSE())</f>
        <v>118.5</v>
      </c>
      <c r="E200" s="0" t="n">
        <f aca="false">VLOOKUP($A200,'[2]Sheet 1'!$A$2:$Q$3504,5,FALSE())</f>
        <v>3.8</v>
      </c>
      <c r="F200" s="0" t="n">
        <f aca="false">VLOOKUP($A200,'[2]Sheet 1'!$A$2:$Q$3504,6,FALSE())</f>
        <v>2</v>
      </c>
      <c r="G200" s="0" t="n">
        <f aca="false">VLOOKUP($A200,'[2]Sheet 1'!$A$2:$Q$3504,7,FALSE())</f>
        <v>0.455</v>
      </c>
      <c r="H200" s="0" t="n">
        <f aca="false">VLOOKUP($A200,'[2]Sheet 1'!$A$2:$Q$3504,8,FALSE())</f>
        <v>1.05</v>
      </c>
      <c r="I200" s="0" t="n">
        <f aca="false">VLOOKUP($A200,'[2]Sheet 1'!$A$2:$Q$3504,9,FALSE())</f>
        <v>9</v>
      </c>
      <c r="J200" s="0" t="n">
        <f aca="false">VLOOKUP($A200,'[2]Sheet 1'!$A$2:$Q$3504,10,FALSE())</f>
        <v>42</v>
      </c>
      <c r="K200" s="0" t="n">
        <f aca="false">VLOOKUP($A200,'[2]Sheet 1'!$A$2:$Q$3504,11,FALSE())</f>
        <v>0.08</v>
      </c>
      <c r="L200" s="0" t="n">
        <f aca="false">VLOOKUP($A200,'[2]Sheet 1'!$A$2:$Q$3504,12,FALSE())</f>
        <v>23</v>
      </c>
      <c r="M200" s="0" t="n">
        <f aca="false">VLOOKUP($A200,'[2]Sheet 1'!$A$2:$Q$3504,13,FALSE())</f>
        <v>270</v>
      </c>
      <c r="N200" s="0" t="n">
        <f aca="false">VLOOKUP($A200,'[2]Sheet 1'!$A$2:$Q$3504,14,FALSE())</f>
        <v>0.07</v>
      </c>
      <c r="O200" s="0" t="n">
        <f aca="false">VLOOKUP($A200,'[2]Sheet 1'!$A$2:$Q$3504,15,FALSE())</f>
        <v>0</v>
      </c>
      <c r="P200" s="0" t="n">
        <f aca="false">VLOOKUP($A200,'[2]Sheet 1'!$A$2:$Q$3504,16,FALSE())</f>
        <v>0.3</v>
      </c>
      <c r="Q200" s="0" t="n">
        <f aca="false">VLOOKUP($A200,'[2]Sheet 1'!$A$2:$Q$3504,17,FALSE())</f>
        <v>9</v>
      </c>
      <c r="S200" s="5"/>
    </row>
    <row r="201" customFormat="false" ht="14.25" hidden="false" customHeight="false" outlineLevel="0" collapsed="false">
      <c r="A201" s="5" t="n">
        <v>447</v>
      </c>
      <c r="B201" s="5" t="s">
        <v>487</v>
      </c>
      <c r="C201" s="5" t="n">
        <v>28</v>
      </c>
      <c r="D201" s="0" t="n">
        <f aca="false">VLOOKUP($A201,'[2]Sheet 1'!$A$2:$Q$3504,4,FALSE())</f>
        <v>94</v>
      </c>
      <c r="E201" s="0" t="n">
        <f aca="false">VLOOKUP($A201,'[2]Sheet 1'!$A$2:$Q$3504,5,FALSE())</f>
        <v>3.11</v>
      </c>
      <c r="F201" s="0" t="n">
        <f aca="false">VLOOKUP($A201,'[2]Sheet 1'!$A$2:$Q$3504,6,FALSE())</f>
        <v>2.8</v>
      </c>
      <c r="G201" s="0" t="n">
        <f aca="false">VLOOKUP($A201,'[2]Sheet 1'!$A$2:$Q$3504,7,FALSE())</f>
        <v>0.63</v>
      </c>
      <c r="H201" s="0" t="n">
        <f aca="false">VLOOKUP($A201,'[2]Sheet 1'!$A$2:$Q$3504,8,FALSE())</f>
        <v>0.61</v>
      </c>
      <c r="I201" s="0" t="n">
        <f aca="false">VLOOKUP($A201,'[2]Sheet 1'!$A$2:$Q$3504,9,FALSE())</f>
        <v>3</v>
      </c>
      <c r="J201" s="0" t="n">
        <f aca="false">VLOOKUP($A201,'[2]Sheet 1'!$A$2:$Q$3504,10,FALSE())</f>
        <v>31</v>
      </c>
      <c r="K201" s="0" t="n">
        <f aca="false">VLOOKUP($A201,'[2]Sheet 1'!$A$2:$Q$3504,11,FALSE())</f>
        <v>0.069</v>
      </c>
      <c r="L201" s="0" t="n">
        <f aca="false">VLOOKUP($A201,'[2]Sheet 1'!$A$2:$Q$3504,12,FALSE())</f>
        <v>0</v>
      </c>
      <c r="M201" s="0" t="n">
        <f aca="false">VLOOKUP($A201,'[2]Sheet 1'!$A$2:$Q$3504,13,FALSE())</f>
        <v>251</v>
      </c>
      <c r="N201" s="0" t="n">
        <f aca="false">VLOOKUP($A201,'[2]Sheet 1'!$A$2:$Q$3504,14,FALSE())</f>
        <v>0.08</v>
      </c>
      <c r="O201" s="0" t="n">
        <f aca="false">VLOOKUP($A201,'[2]Sheet 1'!$A$2:$Q$3504,15,FALSE())</f>
        <v>0</v>
      </c>
      <c r="P201" s="0" t="n">
        <f aca="false">VLOOKUP($A201,'[2]Sheet 1'!$A$2:$Q$3504,16,FALSE())</f>
        <v>0.4</v>
      </c>
      <c r="Q201" s="0" t="n">
        <f aca="false">VLOOKUP($A201,'[2]Sheet 1'!$A$2:$Q$3504,17,FALSE())</f>
        <v>12</v>
      </c>
      <c r="S201" s="5"/>
    </row>
    <row r="202" customFormat="false" ht="14.25" hidden="false" customHeight="false" outlineLevel="0" collapsed="false">
      <c r="A202" s="5" t="n">
        <v>448</v>
      </c>
      <c r="B202" s="5" t="s">
        <v>489</v>
      </c>
      <c r="C202" s="5" t="n">
        <v>28</v>
      </c>
      <c r="D202" s="0" t="n">
        <f aca="false">VLOOKUP($A202,'[2]Sheet 1'!$A$2:$Q$3504,4,FALSE())</f>
        <v>79</v>
      </c>
      <c r="E202" s="0" t="n">
        <f aca="false">VLOOKUP($A202,'[2]Sheet 1'!$A$2:$Q$3504,5,FALSE())</f>
        <v>2.41</v>
      </c>
      <c r="F202" s="0" t="n">
        <f aca="false">VLOOKUP($A202,'[2]Sheet 1'!$A$2:$Q$3504,6,FALSE())</f>
        <v>2</v>
      </c>
      <c r="G202" s="0" t="n">
        <f aca="false">VLOOKUP($A202,'[2]Sheet 1'!$A$2:$Q$3504,7,FALSE())</f>
        <v>0.46</v>
      </c>
      <c r="H202" s="0" t="n">
        <f aca="false">VLOOKUP($A202,'[2]Sheet 1'!$A$2:$Q$3504,8,FALSE())</f>
        <v>0.42</v>
      </c>
      <c r="I202" s="0" t="n">
        <f aca="false">VLOOKUP($A202,'[2]Sheet 1'!$A$2:$Q$3504,9,FALSE())</f>
        <v>5</v>
      </c>
      <c r="J202" s="0" t="n">
        <f aca="false">VLOOKUP($A202,'[2]Sheet 1'!$A$2:$Q$3504,10,FALSE())</f>
        <v>49</v>
      </c>
      <c r="K202" s="0" t="n">
        <f aca="false">VLOOKUP($A202,'[2]Sheet 1'!$A$2:$Q$3504,11,FALSE())</f>
        <v>0.073</v>
      </c>
      <c r="L202" s="0" t="n">
        <f aca="false">VLOOKUP($A202,'[2]Sheet 1'!$A$2:$Q$3504,12,FALSE())</f>
        <v>22.4</v>
      </c>
      <c r="M202" s="0" t="n">
        <f aca="false">VLOOKUP($A202,'[2]Sheet 1'!$A$2:$Q$3504,13,FALSE())</f>
        <v>186</v>
      </c>
      <c r="N202" s="0" t="n">
        <f aca="false">VLOOKUP($A202,'[2]Sheet 1'!$A$2:$Q$3504,14,FALSE())</f>
        <v>0.04</v>
      </c>
      <c r="O202" s="0" t="n">
        <f aca="false">VLOOKUP($A202,'[2]Sheet 1'!$A$2:$Q$3504,15,FALSE())</f>
        <v>0</v>
      </c>
      <c r="P202" s="0" t="n">
        <f aca="false">VLOOKUP($A202,'[2]Sheet 1'!$A$2:$Q$3504,16,FALSE())</f>
        <v>0</v>
      </c>
      <c r="Q202" s="0" t="n">
        <f aca="false">VLOOKUP($A202,'[2]Sheet 1'!$A$2:$Q$3504,17,FALSE())</f>
        <v>4</v>
      </c>
      <c r="S202" s="5"/>
    </row>
    <row r="203" customFormat="false" ht="14.25" hidden="false" customHeight="false" outlineLevel="0" collapsed="false">
      <c r="A203" s="5" t="n">
        <v>449</v>
      </c>
      <c r="B203" s="5" t="s">
        <v>491</v>
      </c>
      <c r="C203" s="5" t="n">
        <v>10</v>
      </c>
      <c r="D203" s="0" t="n">
        <f aca="false">VLOOKUP($A203,'[2]Sheet 1'!$A$2:$Q$3504,4,FALSE())</f>
        <v>31</v>
      </c>
      <c r="E203" s="0" t="n">
        <f aca="false">VLOOKUP($A203,'[2]Sheet 1'!$A$2:$Q$3504,5,FALSE())</f>
        <v>2.66</v>
      </c>
      <c r="F203" s="0" t="n">
        <f aca="false">VLOOKUP($A203,'[2]Sheet 1'!$A$2:$Q$3504,6,FALSE())</f>
        <v>1.95</v>
      </c>
      <c r="G203" s="0" t="n">
        <f aca="false">VLOOKUP($A203,'[2]Sheet 1'!$A$2:$Q$3504,7,FALSE())</f>
        <v>0.655</v>
      </c>
      <c r="H203" s="0" t="n">
        <f aca="false">VLOOKUP($A203,'[2]Sheet 1'!$A$2:$Q$3504,8,FALSE())</f>
        <v>1.175</v>
      </c>
      <c r="I203" s="0" t="n">
        <f aca="false">VLOOKUP($A203,'[2]Sheet 1'!$A$2:$Q$3504,9,FALSE())</f>
        <v>6</v>
      </c>
      <c r="J203" s="0" t="n">
        <f aca="false">VLOOKUP($A203,'[2]Sheet 1'!$A$2:$Q$3504,10,FALSE())</f>
        <v>19</v>
      </c>
      <c r="K203" s="0" t="n">
        <f aca="false">VLOOKUP($A203,'[2]Sheet 1'!$A$2:$Q$3504,11,FALSE())</f>
        <v>0.242</v>
      </c>
      <c r="L203" s="0" t="n">
        <f aca="false">VLOOKUP($A203,'[2]Sheet 1'!$A$2:$Q$3504,12,FALSE())</f>
        <v>22.1</v>
      </c>
      <c r="M203" s="0" t="n">
        <f aca="false">VLOOKUP($A203,'[2]Sheet 1'!$A$2:$Q$3504,13,FALSE())</f>
        <v>338.5</v>
      </c>
      <c r="N203" s="0" t="n">
        <f aca="false">VLOOKUP($A203,'[2]Sheet 1'!$A$2:$Q$3504,14,FALSE())</f>
        <v>0</v>
      </c>
      <c r="O203" s="0" t="n">
        <f aca="false">VLOOKUP($A203,'[2]Sheet 1'!$A$2:$Q$3504,15,FALSE())</f>
        <v>0</v>
      </c>
      <c r="P203" s="0" t="n">
        <f aca="false">VLOOKUP($A203,'[2]Sheet 1'!$A$2:$Q$3504,16,FALSE())</f>
        <v>0</v>
      </c>
      <c r="Q203" s="0" t="n">
        <f aca="false">VLOOKUP($A203,'[2]Sheet 1'!$A$2:$Q$3504,17,FALSE())</f>
        <v>0</v>
      </c>
      <c r="S203" s="5"/>
    </row>
    <row r="204" customFormat="false" ht="14.25" hidden="false" customHeight="false" outlineLevel="0" collapsed="false">
      <c r="A204" s="5" t="n">
        <v>451</v>
      </c>
      <c r="B204" s="5" t="s">
        <v>494</v>
      </c>
      <c r="C204" s="5" t="n">
        <v>20</v>
      </c>
      <c r="D204" s="0" t="n">
        <f aca="false">VLOOKUP($A204,'[2]Sheet 1'!$A$2:$Q$3504,4,FALSE())</f>
        <v>31</v>
      </c>
      <c r="E204" s="0" t="n">
        <f aca="false">VLOOKUP($A204,'[2]Sheet 1'!$A$2:$Q$3504,5,FALSE())</f>
        <v>2.66</v>
      </c>
      <c r="F204" s="0" t="n">
        <f aca="false">VLOOKUP($A204,'[2]Sheet 1'!$A$2:$Q$3504,6,FALSE())</f>
        <v>1.95</v>
      </c>
      <c r="G204" s="0" t="n">
        <f aca="false">VLOOKUP($A204,'[2]Sheet 1'!$A$2:$Q$3504,7,FALSE())</f>
        <v>0.655</v>
      </c>
      <c r="H204" s="0" t="n">
        <f aca="false">VLOOKUP($A204,'[2]Sheet 1'!$A$2:$Q$3504,8,FALSE())</f>
        <v>1.175</v>
      </c>
      <c r="I204" s="0" t="n">
        <f aca="false">VLOOKUP($A204,'[2]Sheet 1'!$A$2:$Q$3504,9,FALSE())</f>
        <v>6</v>
      </c>
      <c r="J204" s="0" t="n">
        <f aca="false">VLOOKUP($A204,'[2]Sheet 1'!$A$2:$Q$3504,10,FALSE())</f>
        <v>19</v>
      </c>
      <c r="K204" s="0" t="n">
        <f aca="false">VLOOKUP($A204,'[2]Sheet 1'!$A$2:$Q$3504,11,FALSE())</f>
        <v>0.242</v>
      </c>
      <c r="L204" s="0" t="n">
        <f aca="false">VLOOKUP($A204,'[2]Sheet 1'!$A$2:$Q$3504,12,FALSE())</f>
        <v>22.1</v>
      </c>
      <c r="M204" s="0" t="n">
        <f aca="false">VLOOKUP($A204,'[2]Sheet 1'!$A$2:$Q$3504,13,FALSE())</f>
        <v>338.5</v>
      </c>
      <c r="N204" s="0" t="n">
        <f aca="false">VLOOKUP($A204,'[2]Sheet 1'!$A$2:$Q$3504,14,FALSE())</f>
        <v>0</v>
      </c>
      <c r="O204" s="0" t="n">
        <f aca="false">VLOOKUP($A204,'[2]Sheet 1'!$A$2:$Q$3504,15,FALSE())</f>
        <v>0</v>
      </c>
      <c r="P204" s="0" t="n">
        <f aca="false">VLOOKUP($A204,'[2]Sheet 1'!$A$2:$Q$3504,16,FALSE())</f>
        <v>0</v>
      </c>
      <c r="Q204" s="0" t="n">
        <f aca="false">VLOOKUP($A204,'[2]Sheet 1'!$A$2:$Q$3504,17,FALSE())</f>
        <v>0</v>
      </c>
      <c r="S204" s="5"/>
    </row>
    <row r="205" customFormat="false" ht="14.25" hidden="false" customHeight="false" outlineLevel="0" collapsed="false">
      <c r="A205" s="5" t="n">
        <v>459</v>
      </c>
      <c r="B205" s="5" t="s">
        <v>498</v>
      </c>
      <c r="C205" s="7" t="n">
        <v>50</v>
      </c>
      <c r="D205" s="0" t="e">
        <f aca="false">VLOOKUP($A205,'[2]Sheet 1'!$A$2:$Q$3504,4,FALSE())</f>
        <v>#N/A</v>
      </c>
      <c r="E205" s="0" t="e">
        <f aca="false">VLOOKUP($A205,'[2]Sheet 1'!$A$2:$Q$3504,5,FALSE())</f>
        <v>#N/A</v>
      </c>
      <c r="F205" s="0" t="e">
        <f aca="false">VLOOKUP($A205,'[2]Sheet 1'!$A$2:$Q$3504,6,FALSE())</f>
        <v>#N/A</v>
      </c>
      <c r="G205" s="0" t="e">
        <f aca="false">VLOOKUP($A205,'[2]Sheet 1'!$A$2:$Q$3504,7,FALSE())</f>
        <v>#N/A</v>
      </c>
      <c r="H205" s="0" t="e">
        <f aca="false">VLOOKUP($A205,'[2]Sheet 1'!$A$2:$Q$3504,8,FALSE())</f>
        <v>#N/A</v>
      </c>
      <c r="I205" s="0" t="e">
        <f aca="false">VLOOKUP($A205,'[2]Sheet 1'!$A$2:$Q$3504,9,FALSE())</f>
        <v>#N/A</v>
      </c>
      <c r="J205" s="0" t="e">
        <f aca="false">VLOOKUP($A205,'[2]Sheet 1'!$A$2:$Q$3504,10,FALSE())</f>
        <v>#N/A</v>
      </c>
      <c r="K205" s="0" t="e">
        <f aca="false">VLOOKUP($A205,'[2]Sheet 1'!$A$2:$Q$3504,11,FALSE())</f>
        <v>#N/A</v>
      </c>
      <c r="L205" s="0" t="e">
        <f aca="false">VLOOKUP($A205,'[2]Sheet 1'!$A$2:$Q$3504,12,FALSE())</f>
        <v>#N/A</v>
      </c>
      <c r="M205" s="0" t="e">
        <f aca="false">VLOOKUP($A205,'[2]Sheet 1'!$A$2:$Q$3504,13,FALSE())</f>
        <v>#N/A</v>
      </c>
      <c r="N205" s="0" t="e">
        <f aca="false">VLOOKUP($A205,'[2]Sheet 1'!$A$2:$Q$3504,14,FALSE())</f>
        <v>#N/A</v>
      </c>
      <c r="O205" s="0" t="e">
        <f aca="false">VLOOKUP($A205,'[2]Sheet 1'!$A$2:$Q$3504,15,FALSE())</f>
        <v>#N/A</v>
      </c>
      <c r="P205" s="0" t="e">
        <f aca="false">VLOOKUP($A205,'[2]Sheet 1'!$A$2:$Q$3504,16,FALSE())</f>
        <v>#N/A</v>
      </c>
      <c r="Q205" s="0" t="e">
        <f aca="false">VLOOKUP($A205,'[2]Sheet 1'!$A$2:$Q$3504,17,FALSE())</f>
        <v>#N/A</v>
      </c>
      <c r="S205" s="7"/>
    </row>
    <row r="206" customFormat="false" ht="14.25" hidden="false" customHeight="false" outlineLevel="0" collapsed="false">
      <c r="A206" s="5" t="n">
        <v>460</v>
      </c>
      <c r="B206" s="5" t="s">
        <v>500</v>
      </c>
      <c r="C206" s="5" t="n">
        <v>50</v>
      </c>
      <c r="D206" s="0" t="n">
        <f aca="false">VLOOKUP($A206,'[2]Sheet 1'!$A$2:$Q$3504,4,FALSE())</f>
        <v>290</v>
      </c>
      <c r="E206" s="0" t="n">
        <f aca="false">VLOOKUP($A206,'[2]Sheet 1'!$A$2:$Q$3504,5,FALSE())</f>
        <v>12.105</v>
      </c>
      <c r="F206" s="0" t="n">
        <f aca="false">VLOOKUP($A206,'[2]Sheet 1'!$A$2:$Q$3504,6,FALSE())</f>
        <v>25.45</v>
      </c>
      <c r="G206" s="0" t="n">
        <f aca="false">VLOOKUP($A206,'[2]Sheet 1'!$A$2:$Q$3504,7,FALSE())</f>
        <v>2.415000024</v>
      </c>
      <c r="H206" s="0" t="n">
        <f aca="false">VLOOKUP($A206,'[2]Sheet 1'!$A$2:$Q$3504,8,FALSE())</f>
        <v>9.46</v>
      </c>
      <c r="I206" s="0" t="n">
        <f aca="false">VLOOKUP($A206,'[2]Sheet 1'!$A$2:$Q$3504,9,FALSE())</f>
        <v>244.5</v>
      </c>
      <c r="J206" s="0" t="n">
        <f aca="false">VLOOKUP($A206,'[2]Sheet 1'!$A$2:$Q$3504,10,FALSE())</f>
        <v>166.5</v>
      </c>
      <c r="K206" s="0" t="n">
        <f aca="false">VLOOKUP($A206,'[2]Sheet 1'!$A$2:$Q$3504,11,FALSE())</f>
        <v>0.762</v>
      </c>
      <c r="L206" s="0" t="n">
        <f aca="false">VLOOKUP($A206,'[2]Sheet 1'!$A$2:$Q$3504,12,FALSE())</f>
        <v>109.7</v>
      </c>
      <c r="M206" s="0" t="n">
        <f aca="false">VLOOKUP($A206,'[2]Sheet 1'!$A$2:$Q$3504,13,FALSE())</f>
        <v>2046</v>
      </c>
      <c r="N206" s="0" t="n">
        <f aca="false">VLOOKUP($A206,'[2]Sheet 1'!$A$2:$Q$3504,14,FALSE())</f>
        <v>0</v>
      </c>
      <c r="O206" s="0" t="n">
        <f aca="false">VLOOKUP($A206,'[2]Sheet 1'!$A$2:$Q$3504,15,FALSE())</f>
        <v>0</v>
      </c>
      <c r="P206" s="0" t="n">
        <f aca="false">VLOOKUP($A206,'[2]Sheet 1'!$A$2:$Q$3504,16,FALSE())</f>
        <v>0</v>
      </c>
      <c r="Q206" s="0" t="n">
        <f aca="false">VLOOKUP($A206,'[2]Sheet 1'!$A$2:$Q$3504,17,FALSE())</f>
        <v>98</v>
      </c>
      <c r="S206" s="5"/>
    </row>
    <row r="207" customFormat="false" ht="14.25" hidden="false" customHeight="false" outlineLevel="0" collapsed="false">
      <c r="A207" s="5" t="n">
        <v>461</v>
      </c>
      <c r="B207" s="5" t="s">
        <v>502</v>
      </c>
      <c r="C207" s="7" t="n">
        <v>50</v>
      </c>
      <c r="D207" s="0" t="e">
        <f aca="false">VLOOKUP($A207,'[2]Sheet 1'!$A$2:$Q$3504,4,FALSE())</f>
        <v>#N/A</v>
      </c>
      <c r="E207" s="0" t="e">
        <f aca="false">VLOOKUP($A207,'[2]Sheet 1'!$A$2:$Q$3504,5,FALSE())</f>
        <v>#N/A</v>
      </c>
      <c r="F207" s="0" t="e">
        <f aca="false">VLOOKUP($A207,'[2]Sheet 1'!$A$2:$Q$3504,6,FALSE())</f>
        <v>#N/A</v>
      </c>
      <c r="G207" s="0" t="e">
        <f aca="false">VLOOKUP($A207,'[2]Sheet 1'!$A$2:$Q$3504,7,FALSE())</f>
        <v>#N/A</v>
      </c>
      <c r="H207" s="0" t="e">
        <f aca="false">VLOOKUP($A207,'[2]Sheet 1'!$A$2:$Q$3504,8,FALSE())</f>
        <v>#N/A</v>
      </c>
      <c r="I207" s="0" t="e">
        <f aca="false">VLOOKUP($A207,'[2]Sheet 1'!$A$2:$Q$3504,9,FALSE())</f>
        <v>#N/A</v>
      </c>
      <c r="J207" s="0" t="e">
        <f aca="false">VLOOKUP($A207,'[2]Sheet 1'!$A$2:$Q$3504,10,FALSE())</f>
        <v>#N/A</v>
      </c>
      <c r="K207" s="0" t="e">
        <f aca="false">VLOOKUP($A207,'[2]Sheet 1'!$A$2:$Q$3504,11,FALSE())</f>
        <v>#N/A</v>
      </c>
      <c r="L207" s="0" t="e">
        <f aca="false">VLOOKUP($A207,'[2]Sheet 1'!$A$2:$Q$3504,12,FALSE())</f>
        <v>#N/A</v>
      </c>
      <c r="M207" s="0" t="e">
        <f aca="false">VLOOKUP($A207,'[2]Sheet 1'!$A$2:$Q$3504,13,FALSE())</f>
        <v>#N/A</v>
      </c>
      <c r="N207" s="0" t="e">
        <f aca="false">VLOOKUP($A207,'[2]Sheet 1'!$A$2:$Q$3504,14,FALSE())</f>
        <v>#N/A</v>
      </c>
      <c r="O207" s="0" t="e">
        <f aca="false">VLOOKUP($A207,'[2]Sheet 1'!$A$2:$Q$3504,15,FALSE())</f>
        <v>#N/A</v>
      </c>
      <c r="P207" s="0" t="e">
        <f aca="false">VLOOKUP($A207,'[2]Sheet 1'!$A$2:$Q$3504,16,FALSE())</f>
        <v>#N/A</v>
      </c>
      <c r="Q207" s="0" t="e">
        <f aca="false">VLOOKUP($A207,'[2]Sheet 1'!$A$2:$Q$3504,17,FALSE())</f>
        <v>#N/A</v>
      </c>
      <c r="S207" s="7"/>
    </row>
    <row r="208" customFormat="false" ht="14.25" hidden="false" customHeight="false" outlineLevel="0" collapsed="false">
      <c r="A208" s="5" t="n">
        <v>463</v>
      </c>
      <c r="B208" s="5" t="s">
        <v>504</v>
      </c>
      <c r="C208" s="5" t="n">
        <v>5</v>
      </c>
      <c r="D208" s="0" t="n">
        <f aca="false">VLOOKUP($A208,'[2]Sheet 1'!$A$2:$Q$3504,4,FALSE())</f>
        <v>42</v>
      </c>
      <c r="E208" s="0" t="n">
        <f aca="false">VLOOKUP($A208,'[2]Sheet 1'!$A$2:$Q$3504,5,FALSE())</f>
        <v>2.9</v>
      </c>
      <c r="F208" s="0" t="n">
        <f aca="false">VLOOKUP($A208,'[2]Sheet 1'!$A$2:$Q$3504,6,FALSE())</f>
        <v>2</v>
      </c>
      <c r="G208" s="0" t="n">
        <f aca="false">VLOOKUP($A208,'[2]Sheet 1'!$A$2:$Q$3504,7,FALSE())</f>
        <v>0.4</v>
      </c>
      <c r="H208" s="0" t="n">
        <f aca="false">VLOOKUP($A208,'[2]Sheet 1'!$A$2:$Q$3504,8,FALSE())</f>
        <v>2.4</v>
      </c>
      <c r="I208" s="0" t="n">
        <f aca="false">VLOOKUP($A208,'[2]Sheet 1'!$A$2:$Q$3504,9,FALSE())</f>
        <v>132</v>
      </c>
      <c r="J208" s="0" t="n">
        <f aca="false">VLOOKUP($A208,'[2]Sheet 1'!$A$2:$Q$3504,10,FALSE())</f>
        <v>70</v>
      </c>
      <c r="K208" s="0" t="n">
        <f aca="false">VLOOKUP($A208,'[2]Sheet 1'!$A$2:$Q$3504,11,FALSE())</f>
        <v>0.136</v>
      </c>
      <c r="L208" s="0" t="n">
        <f aca="false">VLOOKUP($A208,'[2]Sheet 1'!$A$2:$Q$3504,12,FALSE())</f>
        <v>12.8</v>
      </c>
      <c r="M208" s="0" t="n">
        <f aca="false">VLOOKUP($A208,'[2]Sheet 1'!$A$2:$Q$3504,13,FALSE())</f>
        <v>372.5</v>
      </c>
      <c r="N208" s="0" t="n">
        <f aca="false">VLOOKUP($A208,'[2]Sheet 1'!$A$2:$Q$3504,14,FALSE())</f>
        <v>0</v>
      </c>
      <c r="O208" s="0" t="n">
        <f aca="false">VLOOKUP($A208,'[2]Sheet 1'!$A$2:$Q$3504,15,FALSE())</f>
        <v>0</v>
      </c>
      <c r="P208" s="0" t="n">
        <f aca="false">VLOOKUP($A208,'[2]Sheet 1'!$A$2:$Q$3504,16,FALSE())</f>
        <v>0</v>
      </c>
      <c r="Q208" s="0" t="n">
        <f aca="false">VLOOKUP($A208,'[2]Sheet 1'!$A$2:$Q$3504,17,FALSE())</f>
        <v>205</v>
      </c>
      <c r="S208" s="5"/>
    </row>
    <row r="209" customFormat="false" ht="14.25" hidden="false" customHeight="false" outlineLevel="0" collapsed="false">
      <c r="A209" s="5" t="n">
        <v>464</v>
      </c>
      <c r="B209" s="5" t="s">
        <v>508</v>
      </c>
      <c r="C209" s="5" t="n">
        <v>70</v>
      </c>
      <c r="D209" s="0" t="n">
        <f aca="false">VLOOKUP($A209,'[2]Sheet 1'!$A$2:$Q$3504,4,FALSE())</f>
        <v>12</v>
      </c>
      <c r="E209" s="0" t="n">
        <f aca="false">VLOOKUP($A209,'[2]Sheet 1'!$A$2:$Q$3504,5,FALSE())</f>
        <v>1.53</v>
      </c>
      <c r="F209" s="0" t="n">
        <f aca="false">VLOOKUP($A209,'[2]Sheet 1'!$A$2:$Q$3504,6,FALSE())</f>
        <v>1</v>
      </c>
      <c r="G209" s="0" t="n">
        <f aca="false">VLOOKUP($A209,'[2]Sheet 1'!$A$2:$Q$3504,7,FALSE())</f>
        <v>0.47</v>
      </c>
      <c r="H209" s="0" t="n">
        <f aca="false">VLOOKUP($A209,'[2]Sheet 1'!$A$2:$Q$3504,8,FALSE())</f>
        <v>0.24</v>
      </c>
      <c r="I209" s="0" t="n">
        <f aca="false">VLOOKUP($A209,'[2]Sheet 1'!$A$2:$Q$3504,9,FALSE())</f>
        <v>12</v>
      </c>
      <c r="J209" s="0" t="n">
        <f aca="false">VLOOKUP($A209,'[2]Sheet 1'!$A$2:$Q$3504,10,FALSE())</f>
        <v>2</v>
      </c>
      <c r="K209" s="0" t="n">
        <f aca="false">VLOOKUP($A209,'[2]Sheet 1'!$A$2:$Q$3504,11,FALSE())</f>
        <v>0.05</v>
      </c>
      <c r="L209" s="0" t="n">
        <f aca="false">VLOOKUP($A209,'[2]Sheet 1'!$A$2:$Q$3504,12,FALSE())</f>
        <v>0</v>
      </c>
      <c r="M209" s="0" t="n">
        <f aca="false">VLOOKUP($A209,'[2]Sheet 1'!$A$2:$Q$3504,13,FALSE())</f>
        <v>533</v>
      </c>
      <c r="N209" s="0" t="n">
        <f aca="false">VLOOKUP($A209,'[2]Sheet 1'!$A$2:$Q$3504,14,FALSE())</f>
        <v>0</v>
      </c>
      <c r="O209" s="0" t="n">
        <f aca="false">VLOOKUP($A209,'[2]Sheet 1'!$A$2:$Q$3504,15,FALSE())</f>
        <v>0</v>
      </c>
      <c r="P209" s="0" t="n">
        <f aca="false">VLOOKUP($A209,'[2]Sheet 1'!$A$2:$Q$3504,16,FALSE())</f>
        <v>0</v>
      </c>
      <c r="Q209" s="0" t="n">
        <f aca="false">VLOOKUP($A209,'[2]Sheet 1'!$A$2:$Q$3504,17,FALSE())</f>
        <v>0</v>
      </c>
      <c r="S209" s="5"/>
    </row>
    <row r="210" customFormat="false" ht="14.25" hidden="false" customHeight="false" outlineLevel="0" collapsed="false">
      <c r="A210" s="5" t="n">
        <v>465</v>
      </c>
      <c r="B210" s="5" t="s">
        <v>509</v>
      </c>
      <c r="C210" s="5" t="n">
        <v>10</v>
      </c>
      <c r="D210" s="0" t="n">
        <f aca="false">VLOOKUP($A210,'[2]Sheet 1'!$A$2:$Q$3504,4,FALSE())</f>
        <v>42</v>
      </c>
      <c r="E210" s="0" t="n">
        <f aca="false">VLOOKUP($A210,'[2]Sheet 1'!$A$2:$Q$3504,5,FALSE())</f>
        <v>2.9</v>
      </c>
      <c r="F210" s="0" t="n">
        <f aca="false">VLOOKUP($A210,'[2]Sheet 1'!$A$2:$Q$3504,6,FALSE())</f>
        <v>2</v>
      </c>
      <c r="G210" s="0" t="n">
        <f aca="false">VLOOKUP($A210,'[2]Sheet 1'!$A$2:$Q$3504,7,FALSE())</f>
        <v>0.4</v>
      </c>
      <c r="H210" s="0" t="n">
        <f aca="false">VLOOKUP($A210,'[2]Sheet 1'!$A$2:$Q$3504,8,FALSE())</f>
        <v>2.4</v>
      </c>
      <c r="I210" s="0" t="n">
        <f aca="false">VLOOKUP($A210,'[2]Sheet 1'!$A$2:$Q$3504,9,FALSE())</f>
        <v>132</v>
      </c>
      <c r="J210" s="0" t="n">
        <f aca="false">VLOOKUP($A210,'[2]Sheet 1'!$A$2:$Q$3504,10,FALSE())</f>
        <v>70</v>
      </c>
      <c r="K210" s="0" t="n">
        <f aca="false">VLOOKUP($A210,'[2]Sheet 1'!$A$2:$Q$3504,11,FALSE())</f>
        <v>0.136</v>
      </c>
      <c r="L210" s="0" t="n">
        <f aca="false">VLOOKUP($A210,'[2]Sheet 1'!$A$2:$Q$3504,12,FALSE())</f>
        <v>12.8</v>
      </c>
      <c r="M210" s="0" t="n">
        <f aca="false">VLOOKUP($A210,'[2]Sheet 1'!$A$2:$Q$3504,13,FALSE())</f>
        <v>372.5</v>
      </c>
      <c r="N210" s="0" t="n">
        <f aca="false">VLOOKUP($A210,'[2]Sheet 1'!$A$2:$Q$3504,14,FALSE())</f>
        <v>0</v>
      </c>
      <c r="O210" s="0" t="n">
        <f aca="false">VLOOKUP($A210,'[2]Sheet 1'!$A$2:$Q$3504,15,FALSE())</f>
        <v>0</v>
      </c>
      <c r="P210" s="0" t="n">
        <f aca="false">VLOOKUP($A210,'[2]Sheet 1'!$A$2:$Q$3504,16,FALSE())</f>
        <v>0</v>
      </c>
      <c r="Q210" s="0" t="n">
        <f aca="false">VLOOKUP($A210,'[2]Sheet 1'!$A$2:$Q$3504,17,FALSE())</f>
        <v>205</v>
      </c>
      <c r="S210" s="5"/>
    </row>
    <row r="211" customFormat="false" ht="14.25" hidden="false" customHeight="false" outlineLevel="0" collapsed="false">
      <c r="A211" s="5" t="n">
        <v>469</v>
      </c>
      <c r="B211" s="5" t="s">
        <v>510</v>
      </c>
      <c r="C211" s="5" t="n">
        <v>90</v>
      </c>
      <c r="D211" s="0" t="n">
        <f aca="false">VLOOKUP($A211,'[2]Sheet 1'!$A$2:$Q$3504,4,FALSE())</f>
        <v>321</v>
      </c>
      <c r="E211" s="0" t="n">
        <f aca="false">VLOOKUP($A211,'[2]Sheet 1'!$A$2:$Q$3504,5,FALSE())</f>
        <v>14.055</v>
      </c>
      <c r="F211" s="0" t="n">
        <f aca="false">VLOOKUP($A211,'[2]Sheet 1'!$A$2:$Q$3504,6,FALSE())</f>
        <v>18.9</v>
      </c>
      <c r="G211" s="0" t="n">
        <f aca="false">VLOOKUP($A211,'[2]Sheet 1'!$A$2:$Q$3504,7,FALSE())</f>
        <v>1.91</v>
      </c>
      <c r="H211" s="0" t="n">
        <f aca="false">VLOOKUP($A211,'[2]Sheet 1'!$A$2:$Q$3504,8,FALSE())</f>
        <v>6.8</v>
      </c>
      <c r="I211" s="0" t="n">
        <f aca="false">VLOOKUP($A211,'[2]Sheet 1'!$A$2:$Q$3504,9,FALSE())</f>
        <v>197.5</v>
      </c>
      <c r="J211" s="0" t="n">
        <f aca="false">VLOOKUP($A211,'[2]Sheet 1'!$A$2:$Q$3504,10,FALSE())</f>
        <v>166</v>
      </c>
      <c r="K211" s="0" t="n">
        <f aca="false">VLOOKUP($A211,'[2]Sheet 1'!$A$2:$Q$3504,11,FALSE())</f>
        <v>0.589</v>
      </c>
      <c r="L211" s="0" t="n">
        <f aca="false">VLOOKUP($A211,'[2]Sheet 1'!$A$2:$Q$3504,12,FALSE())</f>
        <v>63.55</v>
      </c>
      <c r="M211" s="0" t="n">
        <f aca="false">VLOOKUP($A211,'[2]Sheet 1'!$A$2:$Q$3504,13,FALSE())</f>
        <v>2470</v>
      </c>
      <c r="N211" s="0" t="n">
        <f aca="false">VLOOKUP($A211,'[2]Sheet 1'!$A$2:$Q$3504,14,FALSE())</f>
        <v>0.38</v>
      </c>
      <c r="O211" s="0" t="n">
        <f aca="false">VLOOKUP($A211,'[2]Sheet 1'!$A$2:$Q$3504,15,FALSE())</f>
        <v>0</v>
      </c>
      <c r="P211" s="0" t="n">
        <f aca="false">VLOOKUP($A211,'[2]Sheet 1'!$A$2:$Q$3504,16,FALSE())</f>
        <v>23.5</v>
      </c>
      <c r="Q211" s="0" t="n">
        <f aca="false">VLOOKUP($A211,'[2]Sheet 1'!$A$2:$Q$3504,17,FALSE())</f>
        <v>282</v>
      </c>
      <c r="S211" s="5"/>
    </row>
    <row r="212" customFormat="false" ht="14.25" hidden="false" customHeight="false" outlineLevel="0" collapsed="false">
      <c r="A212" s="5" t="n">
        <v>471</v>
      </c>
      <c r="B212" s="5" t="s">
        <v>513</v>
      </c>
      <c r="C212" s="5" t="n">
        <v>10</v>
      </c>
      <c r="D212" s="0" t="n">
        <f aca="false">VLOOKUP($A212,'[2]Sheet 1'!$A$2:$Q$3504,4,FALSE())</f>
        <v>29</v>
      </c>
      <c r="E212" s="0" t="n">
        <f aca="false">VLOOKUP($A212,'[2]Sheet 1'!$A$2:$Q$3504,5,FALSE())</f>
        <v>1.1</v>
      </c>
      <c r="F212" s="0" t="n">
        <f aca="false">VLOOKUP($A212,'[2]Sheet 1'!$A$2:$Q$3504,6,FALSE())</f>
        <v>2.5</v>
      </c>
      <c r="G212" s="0" t="n">
        <f aca="false">VLOOKUP($A212,'[2]Sheet 1'!$A$2:$Q$3504,7,FALSE())</f>
        <v>0.22</v>
      </c>
      <c r="H212" s="0" t="n">
        <f aca="false">VLOOKUP($A212,'[2]Sheet 1'!$A$2:$Q$3504,8,FALSE())</f>
        <v>0.41</v>
      </c>
      <c r="I212" s="0" t="n">
        <f aca="false">VLOOKUP($A212,'[2]Sheet 1'!$A$2:$Q$3504,9,FALSE())</f>
        <v>29</v>
      </c>
      <c r="J212" s="0" t="n">
        <f aca="false">VLOOKUP($A212,'[2]Sheet 1'!$A$2:$Q$3504,10,FALSE())</f>
        <v>21.5</v>
      </c>
      <c r="K212" s="0" t="n">
        <f aca="false">VLOOKUP($A212,'[2]Sheet 1'!$A$2:$Q$3504,11,FALSE())</f>
        <v>0.03</v>
      </c>
      <c r="L212" s="0" t="n">
        <f aca="false">VLOOKUP($A212,'[2]Sheet 1'!$A$2:$Q$3504,12,FALSE())</f>
        <v>11.6</v>
      </c>
      <c r="M212" s="0" t="n">
        <f aca="false">VLOOKUP($A212,'[2]Sheet 1'!$A$2:$Q$3504,13,FALSE())</f>
        <v>117</v>
      </c>
      <c r="N212" s="0" t="n">
        <f aca="false">VLOOKUP($A212,'[2]Sheet 1'!$A$2:$Q$3504,14,FALSE())</f>
        <v>0.29</v>
      </c>
      <c r="O212" s="0" t="n">
        <f aca="false">VLOOKUP($A212,'[2]Sheet 1'!$A$2:$Q$3504,15,FALSE())</f>
        <v>0</v>
      </c>
      <c r="P212" s="0" t="n">
        <f aca="false">VLOOKUP($A212,'[2]Sheet 1'!$A$2:$Q$3504,16,FALSE())</f>
        <v>18.2</v>
      </c>
      <c r="Q212" s="0" t="n">
        <f aca="false">VLOOKUP($A212,'[2]Sheet 1'!$A$2:$Q$3504,17,FALSE())</f>
        <v>6</v>
      </c>
      <c r="S212" s="5"/>
    </row>
    <row r="213" customFormat="false" ht="14.25" hidden="false" customHeight="false" outlineLevel="0" collapsed="false">
      <c r="A213" s="5" t="n">
        <v>472</v>
      </c>
      <c r="B213" s="5" t="s">
        <v>516</v>
      </c>
      <c r="C213" s="5" t="n">
        <v>10</v>
      </c>
      <c r="D213" s="0" t="n">
        <f aca="false">VLOOKUP($A213,'[2]Sheet 1'!$A$2:$Q$3504,4,FALSE())</f>
        <v>29.5</v>
      </c>
      <c r="E213" s="0" t="n">
        <f aca="false">VLOOKUP($A213,'[2]Sheet 1'!$A$2:$Q$3504,5,FALSE())</f>
        <v>1.505</v>
      </c>
      <c r="F213" s="0" t="n">
        <f aca="false">VLOOKUP($A213,'[2]Sheet 1'!$A$2:$Q$3504,6,FALSE())</f>
        <v>1.8</v>
      </c>
      <c r="G213" s="0" t="n">
        <f aca="false">VLOOKUP($A213,'[2]Sheet 1'!$A$2:$Q$3504,7,FALSE())</f>
        <v>0.34</v>
      </c>
      <c r="H213" s="0" t="n">
        <f aca="false">VLOOKUP($A213,'[2]Sheet 1'!$A$2:$Q$3504,8,FALSE())</f>
        <v>0.795</v>
      </c>
      <c r="I213" s="0" t="n">
        <f aca="false">VLOOKUP($A213,'[2]Sheet 1'!$A$2:$Q$3504,9,FALSE())</f>
        <v>20</v>
      </c>
      <c r="J213" s="0" t="n">
        <f aca="false">VLOOKUP($A213,'[2]Sheet 1'!$A$2:$Q$3504,10,FALSE())</f>
        <v>24</v>
      </c>
      <c r="K213" s="0" t="n">
        <f aca="false">VLOOKUP($A213,'[2]Sheet 1'!$A$2:$Q$3504,11,FALSE())</f>
        <v>0.053</v>
      </c>
      <c r="L213" s="0" t="n">
        <f aca="false">VLOOKUP($A213,'[2]Sheet 1'!$A$2:$Q$3504,12,FALSE())</f>
        <v>12.95</v>
      </c>
      <c r="M213" s="0" t="n">
        <f aca="false">VLOOKUP($A213,'[2]Sheet 1'!$A$2:$Q$3504,13,FALSE())</f>
        <v>163</v>
      </c>
      <c r="N213" s="0" t="n">
        <f aca="false">VLOOKUP($A213,'[2]Sheet 1'!$A$2:$Q$3504,14,FALSE())</f>
        <v>0.29</v>
      </c>
      <c r="O213" s="0" t="n">
        <f aca="false">VLOOKUP($A213,'[2]Sheet 1'!$A$2:$Q$3504,15,FALSE())</f>
        <v>0</v>
      </c>
      <c r="P213" s="0" t="n">
        <f aca="false">VLOOKUP($A213,'[2]Sheet 1'!$A$2:$Q$3504,16,FALSE())</f>
        <v>18.2</v>
      </c>
      <c r="Q213" s="0" t="n">
        <f aca="false">VLOOKUP($A213,'[2]Sheet 1'!$A$2:$Q$3504,17,FALSE())</f>
        <v>22</v>
      </c>
      <c r="S213" s="5"/>
    </row>
    <row r="214" customFormat="false" ht="14.25" hidden="false" customHeight="false" outlineLevel="0" collapsed="false">
      <c r="A214" s="5" t="n">
        <v>473</v>
      </c>
      <c r="B214" s="5" t="s">
        <v>520</v>
      </c>
      <c r="C214" s="5" t="n">
        <v>10</v>
      </c>
      <c r="D214" s="0" t="n">
        <f aca="false">VLOOKUP($A214,'[2]Sheet 1'!$A$2:$Q$3504,4,FALSE())</f>
        <v>33</v>
      </c>
      <c r="E214" s="0" t="n">
        <f aca="false">VLOOKUP($A214,'[2]Sheet 1'!$A$2:$Q$3504,5,FALSE())</f>
        <v>2.645</v>
      </c>
      <c r="F214" s="0" t="n">
        <f aca="false">VLOOKUP($A214,'[2]Sheet 1'!$A$2:$Q$3504,6,FALSE())</f>
        <v>2.8</v>
      </c>
      <c r="G214" s="0" t="n">
        <f aca="false">VLOOKUP($A214,'[2]Sheet 1'!$A$2:$Q$3504,7,FALSE())</f>
        <v>0.325</v>
      </c>
      <c r="H214" s="0" t="n">
        <f aca="false">VLOOKUP($A214,'[2]Sheet 1'!$A$2:$Q$3504,8,FALSE())</f>
        <v>0.77</v>
      </c>
      <c r="I214" s="0" t="n">
        <f aca="false">VLOOKUP($A214,'[2]Sheet 1'!$A$2:$Q$3504,9,FALSE())</f>
        <v>25.5</v>
      </c>
      <c r="J214" s="0" t="n">
        <f aca="false">VLOOKUP($A214,'[2]Sheet 1'!$A$2:$Q$3504,10,FALSE())</f>
        <v>40</v>
      </c>
      <c r="K214" s="0" t="n">
        <f aca="false">VLOOKUP($A214,'[2]Sheet 1'!$A$2:$Q$3504,11,FALSE())</f>
        <v>0.088</v>
      </c>
      <c r="L214" s="0" t="n">
        <f aca="false">VLOOKUP($A214,'[2]Sheet 1'!$A$2:$Q$3504,12,FALSE())</f>
        <v>14.9</v>
      </c>
      <c r="M214" s="0" t="n">
        <f aca="false">VLOOKUP($A214,'[2]Sheet 1'!$A$2:$Q$3504,13,FALSE())</f>
        <v>211.5</v>
      </c>
      <c r="N214" s="0" t="n">
        <f aca="false">VLOOKUP($A214,'[2]Sheet 1'!$A$2:$Q$3504,14,FALSE())</f>
        <v>0.38</v>
      </c>
      <c r="O214" s="0" t="n">
        <f aca="false">VLOOKUP($A214,'[2]Sheet 1'!$A$2:$Q$3504,15,FALSE())</f>
        <v>0</v>
      </c>
      <c r="P214" s="0" t="n">
        <f aca="false">VLOOKUP($A214,'[2]Sheet 1'!$A$2:$Q$3504,16,FALSE())</f>
        <v>23.5</v>
      </c>
      <c r="Q214" s="0" t="n">
        <f aca="false">VLOOKUP($A214,'[2]Sheet 1'!$A$2:$Q$3504,17,FALSE())</f>
        <v>29</v>
      </c>
      <c r="S214" s="5"/>
    </row>
    <row r="215" customFormat="false" ht="14.25" hidden="false" customHeight="false" outlineLevel="0" collapsed="false">
      <c r="A215" s="5" t="n">
        <v>474</v>
      </c>
      <c r="B215" s="5" t="s">
        <v>524</v>
      </c>
      <c r="C215" s="5" t="n">
        <v>10</v>
      </c>
      <c r="D215" s="0" t="n">
        <f aca="false">VLOOKUP($A215,'[2]Sheet 1'!$A$2:$Q$3504,4,FALSE())</f>
        <v>30.5</v>
      </c>
      <c r="E215" s="0" t="n">
        <f aca="false">VLOOKUP($A215,'[2]Sheet 1'!$A$2:$Q$3504,5,FALSE())</f>
        <v>1.6</v>
      </c>
      <c r="F215" s="0" t="n">
        <f aca="false">VLOOKUP($A215,'[2]Sheet 1'!$A$2:$Q$3504,6,FALSE())</f>
        <v>1.8</v>
      </c>
      <c r="G215" s="0" t="n">
        <f aca="false">VLOOKUP($A215,'[2]Sheet 1'!$A$2:$Q$3504,7,FALSE())</f>
        <v>0.34</v>
      </c>
      <c r="H215" s="0" t="n">
        <f aca="false">VLOOKUP($A215,'[2]Sheet 1'!$A$2:$Q$3504,8,FALSE())</f>
        <v>0.795</v>
      </c>
      <c r="I215" s="0" t="n">
        <f aca="false">VLOOKUP($A215,'[2]Sheet 1'!$A$2:$Q$3504,9,FALSE())</f>
        <v>19</v>
      </c>
      <c r="J215" s="0" t="n">
        <f aca="false">VLOOKUP($A215,'[2]Sheet 1'!$A$2:$Q$3504,10,FALSE())</f>
        <v>25</v>
      </c>
      <c r="K215" s="0" t="n">
        <f aca="false">VLOOKUP($A215,'[2]Sheet 1'!$A$2:$Q$3504,11,FALSE())</f>
        <v>0.053</v>
      </c>
      <c r="L215" s="0" t="n">
        <f aca="false">VLOOKUP($A215,'[2]Sheet 1'!$A$2:$Q$3504,12,FALSE())</f>
        <v>12.95</v>
      </c>
      <c r="M215" s="0" t="n">
        <f aca="false">VLOOKUP($A215,'[2]Sheet 1'!$A$2:$Q$3504,13,FALSE())</f>
        <v>161</v>
      </c>
      <c r="N215" s="0" t="n">
        <f aca="false">VLOOKUP($A215,'[2]Sheet 1'!$A$2:$Q$3504,14,FALSE())</f>
        <v>0.29</v>
      </c>
      <c r="O215" s="0" t="n">
        <f aca="false">VLOOKUP($A215,'[2]Sheet 1'!$A$2:$Q$3504,15,FALSE())</f>
        <v>0</v>
      </c>
      <c r="P215" s="0" t="n">
        <f aca="false">VLOOKUP($A215,'[2]Sheet 1'!$A$2:$Q$3504,16,FALSE())</f>
        <v>18.2</v>
      </c>
      <c r="Q215" s="0" t="n">
        <f aca="false">VLOOKUP($A215,'[2]Sheet 1'!$A$2:$Q$3504,17,FALSE())</f>
        <v>22</v>
      </c>
      <c r="S215" s="5"/>
    </row>
    <row r="216" customFormat="false" ht="14.25" hidden="false" customHeight="false" outlineLevel="0" collapsed="false">
      <c r="A216" s="5" t="n">
        <v>475</v>
      </c>
      <c r="B216" s="5" t="s">
        <v>527</v>
      </c>
      <c r="C216" s="5" t="n">
        <v>10</v>
      </c>
      <c r="D216" s="0" t="n">
        <f aca="false">VLOOKUP($A216,'[2]Sheet 1'!$A$2:$Q$3504,4,FALSE())</f>
        <v>30</v>
      </c>
      <c r="E216" s="0" t="n">
        <f aca="false">VLOOKUP($A216,'[2]Sheet 1'!$A$2:$Q$3504,5,FALSE())</f>
        <v>2.75</v>
      </c>
      <c r="F216" s="0" t="n">
        <f aca="false">VLOOKUP($A216,'[2]Sheet 1'!$A$2:$Q$3504,6,FALSE())</f>
        <v>2.8</v>
      </c>
      <c r="G216" s="0" t="n">
        <f aca="false">VLOOKUP($A216,'[2]Sheet 1'!$A$2:$Q$3504,7,FALSE())</f>
        <v>0.34</v>
      </c>
      <c r="H216" s="0" t="n">
        <f aca="false">VLOOKUP($A216,'[2]Sheet 1'!$A$2:$Q$3504,8,FALSE())</f>
        <v>0.61</v>
      </c>
      <c r="I216" s="0" t="n">
        <f aca="false">VLOOKUP($A216,'[2]Sheet 1'!$A$2:$Q$3504,9,FALSE())</f>
        <v>25</v>
      </c>
      <c r="J216" s="0" t="n">
        <f aca="false">VLOOKUP($A216,'[2]Sheet 1'!$A$2:$Q$3504,10,FALSE())</f>
        <v>31</v>
      </c>
      <c r="K216" s="0" t="n">
        <f aca="false">VLOOKUP($A216,'[2]Sheet 1'!$A$2:$Q$3504,11,FALSE())</f>
        <v>0.069</v>
      </c>
      <c r="L216" s="0" t="n">
        <f aca="false">VLOOKUP($A216,'[2]Sheet 1'!$A$2:$Q$3504,12,FALSE())</f>
        <v>15.9</v>
      </c>
      <c r="M216" s="0" t="n">
        <f aca="false">VLOOKUP($A216,'[2]Sheet 1'!$A$2:$Q$3504,13,FALSE())</f>
        <v>180</v>
      </c>
      <c r="N216" s="0" t="n">
        <f aca="false">VLOOKUP($A216,'[2]Sheet 1'!$A$2:$Q$3504,14,FALSE())</f>
        <v>0</v>
      </c>
      <c r="O216" s="0" t="n">
        <f aca="false">VLOOKUP($A216,'[2]Sheet 1'!$A$2:$Q$3504,15,FALSE())</f>
        <v>0</v>
      </c>
      <c r="P216" s="0" t="n">
        <f aca="false">VLOOKUP($A216,'[2]Sheet 1'!$A$2:$Q$3504,16,FALSE())</f>
        <v>0</v>
      </c>
      <c r="Q216" s="0" t="n">
        <f aca="false">VLOOKUP($A216,'[2]Sheet 1'!$A$2:$Q$3504,17,FALSE())</f>
        <v>40</v>
      </c>
      <c r="S216" s="5"/>
    </row>
    <row r="217" customFormat="false" ht="14.25" hidden="false" customHeight="false" outlineLevel="0" collapsed="false">
      <c r="A217" s="5" t="n">
        <v>476</v>
      </c>
      <c r="B217" s="5" t="s">
        <v>531</v>
      </c>
      <c r="C217" s="5" t="n">
        <v>10</v>
      </c>
      <c r="D217" s="0" t="n">
        <f aca="false">VLOOKUP($A217,'[2]Sheet 1'!$A$2:$Q$3504,4,FALSE())</f>
        <v>35</v>
      </c>
      <c r="E217" s="0" t="n">
        <f aca="false">VLOOKUP($A217,'[2]Sheet 1'!$A$2:$Q$3504,5,FALSE())</f>
        <v>1.35</v>
      </c>
      <c r="F217" s="0" t="n">
        <f aca="false">VLOOKUP($A217,'[2]Sheet 1'!$A$2:$Q$3504,6,FALSE())</f>
        <v>1.75</v>
      </c>
      <c r="G217" s="0" t="n">
        <f aca="false">VLOOKUP($A217,'[2]Sheet 1'!$A$2:$Q$3504,7,FALSE())</f>
        <v>0.205</v>
      </c>
      <c r="H217" s="0" t="n">
        <f aca="false">VLOOKUP($A217,'[2]Sheet 1'!$A$2:$Q$3504,8,FALSE())</f>
        <v>0.4</v>
      </c>
      <c r="I217" s="0" t="n">
        <f aca="false">VLOOKUP($A217,'[2]Sheet 1'!$A$2:$Q$3504,9,FALSE())</f>
        <v>23.5</v>
      </c>
      <c r="J217" s="0" t="n">
        <f aca="false">VLOOKUP($A217,'[2]Sheet 1'!$A$2:$Q$3504,10,FALSE())</f>
        <v>21.5</v>
      </c>
      <c r="K217" s="0" t="n">
        <f aca="false">VLOOKUP($A217,'[2]Sheet 1'!$A$2:$Q$3504,11,FALSE())</f>
        <v>0.048</v>
      </c>
      <c r="L217" s="0" t="n">
        <f aca="false">VLOOKUP($A217,'[2]Sheet 1'!$A$2:$Q$3504,12,FALSE())</f>
        <v>9.9</v>
      </c>
      <c r="M217" s="0" t="n">
        <f aca="false">VLOOKUP($A217,'[2]Sheet 1'!$A$2:$Q$3504,13,FALSE())</f>
        <v>158</v>
      </c>
      <c r="N217" s="0" t="n">
        <f aca="false">VLOOKUP($A217,'[2]Sheet 1'!$A$2:$Q$3504,14,FALSE())</f>
        <v>0.29</v>
      </c>
      <c r="O217" s="0" t="n">
        <f aca="false">VLOOKUP($A217,'[2]Sheet 1'!$A$2:$Q$3504,15,FALSE())</f>
        <v>0</v>
      </c>
      <c r="P217" s="0" t="n">
        <f aca="false">VLOOKUP($A217,'[2]Sheet 1'!$A$2:$Q$3504,16,FALSE())</f>
        <v>18.2</v>
      </c>
      <c r="Q217" s="0" t="n">
        <f aca="false">VLOOKUP($A217,'[2]Sheet 1'!$A$2:$Q$3504,17,FALSE())</f>
        <v>54.5</v>
      </c>
      <c r="S217" s="5"/>
    </row>
    <row r="218" customFormat="false" ht="14.25" hidden="false" customHeight="false" outlineLevel="0" collapsed="false">
      <c r="A218" s="5" t="n">
        <v>486</v>
      </c>
      <c r="B218" s="5" t="s">
        <v>533</v>
      </c>
      <c r="C218" s="5" t="n">
        <v>25</v>
      </c>
      <c r="D218" s="0" t="n">
        <f aca="false">VLOOKUP($A218,'[2]Sheet 1'!$A$2:$Q$3504,4,FALSE())</f>
        <v>99.98</v>
      </c>
      <c r="E218" s="0" t="n">
        <f aca="false">VLOOKUP($A218,'[2]Sheet 1'!$A$2:$Q$3504,5,FALSE())</f>
        <v>1.2</v>
      </c>
      <c r="F218" s="0" t="n">
        <f aca="false">VLOOKUP($A218,'[2]Sheet 1'!$A$2:$Q$3504,6,FALSE())</f>
        <v>1.8</v>
      </c>
      <c r="G218" s="0" t="n">
        <f aca="false">VLOOKUP($A218,'[2]Sheet 1'!$A$2:$Q$3504,7,FALSE())</f>
        <v>0.165</v>
      </c>
      <c r="H218" s="0" t="n">
        <f aca="false">VLOOKUP($A218,'[2]Sheet 1'!$A$2:$Q$3504,8,FALSE())</f>
        <v>0.5</v>
      </c>
      <c r="I218" s="0" t="n">
        <f aca="false">VLOOKUP($A218,'[2]Sheet 1'!$A$2:$Q$3504,9,FALSE())</f>
        <v>9</v>
      </c>
      <c r="J218" s="0" t="n">
        <f aca="false">VLOOKUP($A218,'[2]Sheet 1'!$A$2:$Q$3504,10,FALSE())</f>
        <v>19</v>
      </c>
      <c r="K218" s="0" t="n">
        <f aca="false">VLOOKUP($A218,'[2]Sheet 1'!$A$2:$Q$3504,11,FALSE())</f>
        <v>0.041166667</v>
      </c>
      <c r="L218" s="0" t="n">
        <f aca="false">VLOOKUP($A218,'[2]Sheet 1'!$A$2:$Q$3504,12,FALSE())</f>
        <v>9.8</v>
      </c>
      <c r="M218" s="0" t="n">
        <f aca="false">VLOOKUP($A218,'[2]Sheet 1'!$A$2:$Q$3504,13,FALSE())</f>
        <v>369</v>
      </c>
      <c r="N218" s="0" t="n">
        <f aca="false">VLOOKUP($A218,'[2]Sheet 1'!$A$2:$Q$3504,14,FALSE())</f>
        <v>0.1</v>
      </c>
      <c r="O218" s="0" t="n">
        <f aca="false">VLOOKUP($A218,'[2]Sheet 1'!$A$2:$Q$3504,15,FALSE())</f>
        <v>0</v>
      </c>
      <c r="P218" s="0" t="n">
        <f aca="false">VLOOKUP($A218,'[2]Sheet 1'!$A$2:$Q$3504,16,FALSE())</f>
        <v>0.5</v>
      </c>
      <c r="Q218" s="0" t="n">
        <f aca="false">VLOOKUP($A218,'[2]Sheet 1'!$A$2:$Q$3504,17,FALSE())</f>
        <v>18</v>
      </c>
      <c r="S218" s="5"/>
    </row>
    <row r="219" customFormat="false" ht="14.25" hidden="false" customHeight="false" outlineLevel="0" collapsed="false">
      <c r="A219" s="5" t="n">
        <v>489</v>
      </c>
      <c r="B219" s="5" t="s">
        <v>1225</v>
      </c>
      <c r="C219" s="5" t="n">
        <v>34</v>
      </c>
      <c r="D219" s="0" t="n">
        <f aca="false">VLOOKUP($A219,'[2]Sheet 1'!$A$2:$Q$3504,4,FALSE())</f>
        <v>122</v>
      </c>
      <c r="E219" s="0" t="n">
        <f aca="false">VLOOKUP($A219,'[2]Sheet 1'!$A$2:$Q$3504,5,FALSE())</f>
        <v>1.2</v>
      </c>
      <c r="F219" s="0" t="n">
        <f aca="false">VLOOKUP($A219,'[2]Sheet 1'!$A$2:$Q$3504,6,FALSE())</f>
        <v>1.65</v>
      </c>
      <c r="G219" s="0" t="n">
        <f aca="false">VLOOKUP($A219,'[2]Sheet 1'!$A$2:$Q$3504,7,FALSE())</f>
        <v>0.15</v>
      </c>
      <c r="H219" s="0" t="n">
        <f aca="false">VLOOKUP($A219,'[2]Sheet 1'!$A$2:$Q$3504,8,FALSE())</f>
        <v>0.6</v>
      </c>
      <c r="I219" s="0" t="n">
        <f aca="false">VLOOKUP($A219,'[2]Sheet 1'!$A$2:$Q$3504,9,FALSE())</f>
        <v>8</v>
      </c>
      <c r="J219" s="0" t="n">
        <f aca="false">VLOOKUP($A219,'[2]Sheet 1'!$A$2:$Q$3504,10,FALSE())</f>
        <v>22</v>
      </c>
      <c r="K219" s="0" t="n">
        <f aca="false">VLOOKUP($A219,'[2]Sheet 1'!$A$2:$Q$3504,11,FALSE())</f>
        <v>0.07</v>
      </c>
      <c r="L219" s="0" t="n">
        <f aca="false">VLOOKUP($A219,'[2]Sheet 1'!$A$2:$Q$3504,12,FALSE())</f>
        <v>13.5</v>
      </c>
      <c r="M219" s="0" t="n">
        <f aca="false">VLOOKUP($A219,'[2]Sheet 1'!$A$2:$Q$3504,13,FALSE())</f>
        <v>451.55</v>
      </c>
      <c r="N219" s="0" t="n">
        <f aca="false">VLOOKUP($A219,'[2]Sheet 1'!$A$2:$Q$3504,14,FALSE())</f>
        <v>0.13</v>
      </c>
      <c r="O219" s="0" t="n">
        <f aca="false">VLOOKUP($A219,'[2]Sheet 1'!$A$2:$Q$3504,15,FALSE())</f>
        <v>0</v>
      </c>
      <c r="P219" s="0" t="n">
        <f aca="false">VLOOKUP($A219,'[2]Sheet 1'!$A$2:$Q$3504,16,FALSE())</f>
        <v>0.700000000000001</v>
      </c>
      <c r="Q219" s="0" t="n">
        <f aca="false">VLOOKUP($A219,'[2]Sheet 1'!$A$2:$Q$3504,17,FALSE())</f>
        <v>42.5</v>
      </c>
      <c r="S219" s="5"/>
    </row>
    <row r="220" customFormat="false" ht="14.25" hidden="false" customHeight="false" outlineLevel="0" collapsed="false">
      <c r="A220" s="9" t="n">
        <v>490</v>
      </c>
      <c r="B220" s="9" t="s">
        <v>537</v>
      </c>
      <c r="C220" s="9" t="n">
        <v>14</v>
      </c>
      <c r="D220" s="0" t="n">
        <f aca="false">VLOOKUP($A220,'[2]Sheet 1'!$A$2:$Q$3504,4,FALSE())</f>
        <v>45</v>
      </c>
      <c r="E220" s="0" t="n">
        <f aca="false">VLOOKUP($A220,'[2]Sheet 1'!$A$2:$Q$3504,5,FALSE())</f>
        <v>0.8</v>
      </c>
      <c r="F220" s="0" t="n">
        <f aca="false">VLOOKUP($A220,'[2]Sheet 1'!$A$2:$Q$3504,6,FALSE())</f>
        <v>1.7</v>
      </c>
      <c r="G220" s="0" t="n">
        <f aca="false">VLOOKUP($A220,'[2]Sheet 1'!$A$2:$Q$3504,7,FALSE())</f>
        <v>0.075</v>
      </c>
      <c r="H220" s="0" t="n">
        <f aca="false">VLOOKUP($A220,'[2]Sheet 1'!$A$2:$Q$3504,8,FALSE())</f>
        <v>0.4</v>
      </c>
      <c r="I220" s="0" t="n">
        <f aca="false">VLOOKUP($A220,'[2]Sheet 1'!$A$2:$Q$3504,9,FALSE())</f>
        <v>29.65</v>
      </c>
      <c r="J220" s="0" t="n">
        <f aca="false">VLOOKUP($A220,'[2]Sheet 1'!$A$2:$Q$3504,10,FALSE())</f>
        <v>24</v>
      </c>
      <c r="K220" s="0" t="n">
        <f aca="false">VLOOKUP($A220,'[2]Sheet 1'!$A$2:$Q$3504,11,FALSE())</f>
        <v>0.04</v>
      </c>
      <c r="L220" s="0" t="n">
        <f aca="false">VLOOKUP($A220,'[2]Sheet 1'!$A$2:$Q$3504,12,FALSE())</f>
        <v>10.2</v>
      </c>
      <c r="M220" s="0" t="n">
        <f aca="false">VLOOKUP($A220,'[2]Sheet 1'!$A$2:$Q$3504,13,FALSE())</f>
        <v>177</v>
      </c>
      <c r="N220" s="0" t="n">
        <f aca="false">VLOOKUP($A220,'[2]Sheet 1'!$A$2:$Q$3504,14,FALSE())</f>
        <v>0.209708462603116</v>
      </c>
      <c r="O220" s="0" t="n">
        <f aca="false">VLOOKUP($A220,'[2]Sheet 1'!$A$2:$Q$3504,15,FALSE())</f>
        <v>0</v>
      </c>
      <c r="P220" s="0" t="n">
        <f aca="false">VLOOKUP($A220,'[2]Sheet 1'!$A$2:$Q$3504,16,FALSE())</f>
        <v>0.0454449706925887</v>
      </c>
      <c r="Q220" s="0" t="n">
        <f aca="false">VLOOKUP($A220,'[2]Sheet 1'!$A$2:$Q$3504,17,FALSE())</f>
        <v>15.5</v>
      </c>
      <c r="S220" s="9"/>
    </row>
    <row r="221" customFormat="false" ht="14.25" hidden="false" customHeight="false" outlineLevel="0" collapsed="false">
      <c r="A221" s="9" t="n">
        <v>491</v>
      </c>
      <c r="B221" s="9" t="s">
        <v>539</v>
      </c>
      <c r="C221" s="9" t="n">
        <v>10</v>
      </c>
      <c r="D221" s="0" t="n">
        <f aca="false">VLOOKUP($A221,'[2]Sheet 1'!$A$2:$Q$3504,4,FALSE())</f>
        <v>53</v>
      </c>
      <c r="E221" s="0" t="n">
        <f aca="false">VLOOKUP($A221,'[2]Sheet 1'!$A$2:$Q$3504,5,FALSE())</f>
        <v>0.2</v>
      </c>
      <c r="F221" s="0" t="n">
        <f aca="false">VLOOKUP($A221,'[2]Sheet 1'!$A$2:$Q$3504,6,FALSE())</f>
        <v>0.2</v>
      </c>
      <c r="G221" s="0" t="n">
        <f aca="false">VLOOKUP($A221,'[2]Sheet 1'!$A$2:$Q$3504,7,FALSE())</f>
        <v>0.06</v>
      </c>
      <c r="H221" s="0" t="n">
        <f aca="false">VLOOKUP($A221,'[2]Sheet 1'!$A$2:$Q$3504,8,FALSE())</f>
        <v>0.26</v>
      </c>
      <c r="I221" s="0" t="n">
        <f aca="false">VLOOKUP($A221,'[2]Sheet 1'!$A$2:$Q$3504,9,FALSE())</f>
        <v>9</v>
      </c>
      <c r="J221" s="0" t="n">
        <f aca="false">VLOOKUP($A221,'[2]Sheet 1'!$A$2:$Q$3504,10,FALSE())</f>
        <v>7</v>
      </c>
      <c r="K221" s="0" t="n">
        <f aca="false">VLOOKUP($A221,'[2]Sheet 1'!$A$2:$Q$3504,11,FALSE())</f>
        <v>0.0105</v>
      </c>
      <c r="L221" s="0" t="n">
        <f aca="false">VLOOKUP($A221,'[2]Sheet 1'!$A$2:$Q$3504,12,FALSE())</f>
        <v>2.1</v>
      </c>
      <c r="M221" s="0" t="n">
        <f aca="false">VLOOKUP($A221,'[2]Sheet 1'!$A$2:$Q$3504,13,FALSE())</f>
        <v>104.5</v>
      </c>
      <c r="N221" s="0" t="n">
        <f aca="false">VLOOKUP($A221,'[2]Sheet 1'!$A$2:$Q$3504,14,FALSE())</f>
        <v>0.2</v>
      </c>
      <c r="O221" s="0" t="n">
        <f aca="false">VLOOKUP($A221,'[2]Sheet 1'!$A$2:$Q$3504,15,FALSE())</f>
        <v>0</v>
      </c>
      <c r="P221" s="0" t="n">
        <f aca="false">VLOOKUP($A221,'[2]Sheet 1'!$A$2:$Q$3504,16,FALSE())</f>
        <v>0.1</v>
      </c>
      <c r="Q221" s="0" t="n">
        <f aca="false">VLOOKUP($A221,'[2]Sheet 1'!$A$2:$Q$3504,17,FALSE())</f>
        <v>7</v>
      </c>
      <c r="S221" s="9"/>
    </row>
    <row r="222" customFormat="false" ht="14.25" hidden="false" customHeight="false" outlineLevel="0" collapsed="false">
      <c r="A222" s="9" t="n">
        <v>492</v>
      </c>
      <c r="B222" s="9" t="s">
        <v>542</v>
      </c>
      <c r="C222" s="9" t="n">
        <v>20</v>
      </c>
      <c r="D222" s="0" t="n">
        <f aca="false">VLOOKUP($A222,'[2]Sheet 1'!$A$2:$Q$3504,4,FALSE())</f>
        <v>53</v>
      </c>
      <c r="E222" s="0" t="n">
        <f aca="false">VLOOKUP($A222,'[2]Sheet 1'!$A$2:$Q$3504,5,FALSE())</f>
        <v>0.2</v>
      </c>
      <c r="F222" s="0" t="n">
        <f aca="false">VLOOKUP($A222,'[2]Sheet 1'!$A$2:$Q$3504,6,FALSE())</f>
        <v>0.2</v>
      </c>
      <c r="G222" s="0" t="n">
        <f aca="false">VLOOKUP($A222,'[2]Sheet 1'!$A$2:$Q$3504,7,FALSE())</f>
        <v>0.06</v>
      </c>
      <c r="H222" s="0" t="n">
        <f aca="false">VLOOKUP($A222,'[2]Sheet 1'!$A$2:$Q$3504,8,FALSE())</f>
        <v>0.26</v>
      </c>
      <c r="I222" s="0" t="n">
        <f aca="false">VLOOKUP($A222,'[2]Sheet 1'!$A$2:$Q$3504,9,FALSE())</f>
        <v>9</v>
      </c>
      <c r="J222" s="0" t="n">
        <f aca="false">VLOOKUP($A222,'[2]Sheet 1'!$A$2:$Q$3504,10,FALSE())</f>
        <v>7</v>
      </c>
      <c r="K222" s="0" t="n">
        <f aca="false">VLOOKUP($A222,'[2]Sheet 1'!$A$2:$Q$3504,11,FALSE())</f>
        <v>0.0105</v>
      </c>
      <c r="L222" s="0" t="n">
        <f aca="false">VLOOKUP($A222,'[2]Sheet 1'!$A$2:$Q$3504,12,FALSE())</f>
        <v>2.1</v>
      </c>
      <c r="M222" s="0" t="n">
        <f aca="false">VLOOKUP($A222,'[2]Sheet 1'!$A$2:$Q$3504,13,FALSE())</f>
        <v>104.5</v>
      </c>
      <c r="N222" s="0" t="n">
        <f aca="false">VLOOKUP($A222,'[2]Sheet 1'!$A$2:$Q$3504,14,FALSE())</f>
        <v>0.2</v>
      </c>
      <c r="O222" s="0" t="n">
        <f aca="false">VLOOKUP($A222,'[2]Sheet 1'!$A$2:$Q$3504,15,FALSE())</f>
        <v>0</v>
      </c>
      <c r="P222" s="0" t="n">
        <f aca="false">VLOOKUP($A222,'[2]Sheet 1'!$A$2:$Q$3504,16,FALSE())</f>
        <v>0.1</v>
      </c>
      <c r="Q222" s="0" t="n">
        <f aca="false">VLOOKUP($A222,'[2]Sheet 1'!$A$2:$Q$3504,17,FALSE())</f>
        <v>7</v>
      </c>
      <c r="S222" s="9"/>
    </row>
    <row r="223" customFormat="false" ht="14.25" hidden="false" customHeight="false" outlineLevel="0" collapsed="false">
      <c r="A223" s="9" t="n">
        <v>495</v>
      </c>
      <c r="B223" s="9" t="s">
        <v>545</v>
      </c>
      <c r="C223" s="9" t="n">
        <v>13</v>
      </c>
      <c r="D223" s="0" t="n">
        <f aca="false">VLOOKUP($A223,'[2]Sheet 1'!$A$2:$Q$3504,4,FALSE())</f>
        <v>45</v>
      </c>
      <c r="E223" s="0" t="n">
        <f aca="false">VLOOKUP($A223,'[2]Sheet 1'!$A$2:$Q$3504,5,FALSE())</f>
        <v>0.8</v>
      </c>
      <c r="F223" s="0" t="n">
        <f aca="false">VLOOKUP($A223,'[2]Sheet 1'!$A$2:$Q$3504,6,FALSE())</f>
        <v>1.7</v>
      </c>
      <c r="G223" s="0" t="n">
        <f aca="false">VLOOKUP($A223,'[2]Sheet 1'!$A$2:$Q$3504,7,FALSE())</f>
        <v>0.075</v>
      </c>
      <c r="H223" s="0" t="n">
        <f aca="false">VLOOKUP($A223,'[2]Sheet 1'!$A$2:$Q$3504,8,FALSE())</f>
        <v>0.4</v>
      </c>
      <c r="I223" s="0" t="n">
        <f aca="false">VLOOKUP($A223,'[2]Sheet 1'!$A$2:$Q$3504,9,FALSE())</f>
        <v>29.65</v>
      </c>
      <c r="J223" s="0" t="n">
        <f aca="false">VLOOKUP($A223,'[2]Sheet 1'!$A$2:$Q$3504,10,FALSE())</f>
        <v>24</v>
      </c>
      <c r="K223" s="0" t="n">
        <f aca="false">VLOOKUP($A223,'[2]Sheet 1'!$A$2:$Q$3504,11,FALSE())</f>
        <v>0.04</v>
      </c>
      <c r="L223" s="0" t="n">
        <f aca="false">VLOOKUP($A223,'[2]Sheet 1'!$A$2:$Q$3504,12,FALSE())</f>
        <v>10.2</v>
      </c>
      <c r="M223" s="0" t="n">
        <f aca="false">VLOOKUP($A223,'[2]Sheet 1'!$A$2:$Q$3504,13,FALSE())</f>
        <v>177</v>
      </c>
      <c r="N223" s="0" t="n">
        <f aca="false">VLOOKUP($A223,'[2]Sheet 1'!$A$2:$Q$3504,14,FALSE())</f>
        <v>0.209708462603116</v>
      </c>
      <c r="O223" s="0" t="n">
        <f aca="false">VLOOKUP($A223,'[2]Sheet 1'!$A$2:$Q$3504,15,FALSE())</f>
        <v>0</v>
      </c>
      <c r="P223" s="0" t="n">
        <f aca="false">VLOOKUP($A223,'[2]Sheet 1'!$A$2:$Q$3504,16,FALSE())</f>
        <v>0.0454449706925887</v>
      </c>
      <c r="Q223" s="0" t="n">
        <f aca="false">VLOOKUP($A223,'[2]Sheet 1'!$A$2:$Q$3504,17,FALSE())</f>
        <v>15.5</v>
      </c>
      <c r="S223" s="9"/>
    </row>
    <row r="224" customFormat="false" ht="14.25" hidden="false" customHeight="false" outlineLevel="0" collapsed="false">
      <c r="A224" s="9" t="n">
        <v>497</v>
      </c>
      <c r="B224" s="9" t="s">
        <v>547</v>
      </c>
      <c r="C224" s="9" t="n">
        <v>13</v>
      </c>
      <c r="D224" s="0" t="n">
        <f aca="false">VLOOKUP($A224,'[2]Sheet 1'!$A$2:$Q$3504,4,FALSE())</f>
        <v>35.5</v>
      </c>
      <c r="E224" s="0" t="n">
        <f aca="false">VLOOKUP($A224,'[2]Sheet 1'!$A$2:$Q$3504,5,FALSE())</f>
        <v>0.7</v>
      </c>
      <c r="F224" s="0" t="n">
        <f aca="false">VLOOKUP($A224,'[2]Sheet 1'!$A$2:$Q$3504,6,FALSE())</f>
        <v>1</v>
      </c>
      <c r="G224" s="0" t="n">
        <f aca="false">VLOOKUP($A224,'[2]Sheet 1'!$A$2:$Q$3504,7,FALSE())</f>
        <v>0.105</v>
      </c>
      <c r="H224" s="0" t="n">
        <f aca="false">VLOOKUP($A224,'[2]Sheet 1'!$A$2:$Q$3504,8,FALSE())</f>
        <v>0.6</v>
      </c>
      <c r="I224" s="0" t="n">
        <f aca="false">VLOOKUP($A224,'[2]Sheet 1'!$A$2:$Q$3504,9,FALSE())</f>
        <v>30</v>
      </c>
      <c r="J224" s="0" t="n">
        <f aca="false">VLOOKUP($A224,'[2]Sheet 1'!$A$2:$Q$3504,10,FALSE())</f>
        <v>11</v>
      </c>
      <c r="K224" s="0" t="n">
        <f aca="false">VLOOKUP($A224,'[2]Sheet 1'!$A$2:$Q$3504,11,FALSE())</f>
        <v>0.03</v>
      </c>
      <c r="L224" s="0" t="n">
        <f aca="false">VLOOKUP($A224,'[2]Sheet 1'!$A$2:$Q$3504,12,FALSE())</f>
        <v>5.1</v>
      </c>
      <c r="M224" s="0" t="n">
        <f aca="false">VLOOKUP($A224,'[2]Sheet 1'!$A$2:$Q$3504,13,FALSE())</f>
        <v>163</v>
      </c>
      <c r="N224" s="0" t="n">
        <f aca="false">VLOOKUP($A224,'[2]Sheet 1'!$A$2:$Q$3504,14,FALSE())</f>
        <v>0.15</v>
      </c>
      <c r="O224" s="0" t="n">
        <f aca="false">VLOOKUP($A224,'[2]Sheet 1'!$A$2:$Q$3504,15,FALSE())</f>
        <v>0</v>
      </c>
      <c r="P224" s="0" t="n">
        <f aca="false">VLOOKUP($A224,'[2]Sheet 1'!$A$2:$Q$3504,16,FALSE())</f>
        <v>0</v>
      </c>
      <c r="Q224" s="0" t="n">
        <f aca="false">VLOOKUP($A224,'[2]Sheet 1'!$A$2:$Q$3504,17,FALSE())</f>
        <v>4</v>
      </c>
      <c r="S224" s="9"/>
    </row>
    <row r="225" customFormat="false" ht="14.25" hidden="false" customHeight="false" outlineLevel="0" collapsed="false">
      <c r="A225" s="9" t="n">
        <v>498</v>
      </c>
      <c r="B225" s="9" t="s">
        <v>549</v>
      </c>
      <c r="C225" s="9" t="n">
        <v>10</v>
      </c>
      <c r="D225" s="0" t="e">
        <f aca="false">VLOOKUP($A225,'[2]Sheet 1'!$A$2:$Q$3504,4,FALSE())</f>
        <v>#N/A</v>
      </c>
      <c r="E225" s="0" t="e">
        <f aca="false">VLOOKUP($A225,'[2]Sheet 1'!$A$2:$Q$3504,5,FALSE())</f>
        <v>#N/A</v>
      </c>
      <c r="F225" s="0" t="e">
        <f aca="false">VLOOKUP($A225,'[2]Sheet 1'!$A$2:$Q$3504,6,FALSE())</f>
        <v>#N/A</v>
      </c>
      <c r="G225" s="0" t="e">
        <f aca="false">VLOOKUP($A225,'[2]Sheet 1'!$A$2:$Q$3504,7,FALSE())</f>
        <v>#N/A</v>
      </c>
      <c r="H225" s="0" t="e">
        <f aca="false">VLOOKUP($A225,'[2]Sheet 1'!$A$2:$Q$3504,8,FALSE())</f>
        <v>#N/A</v>
      </c>
      <c r="I225" s="0" t="e">
        <f aca="false">VLOOKUP($A225,'[2]Sheet 1'!$A$2:$Q$3504,9,FALSE())</f>
        <v>#N/A</v>
      </c>
      <c r="J225" s="0" t="e">
        <f aca="false">VLOOKUP($A225,'[2]Sheet 1'!$A$2:$Q$3504,10,FALSE())</f>
        <v>#N/A</v>
      </c>
      <c r="K225" s="0" t="e">
        <f aca="false">VLOOKUP($A225,'[2]Sheet 1'!$A$2:$Q$3504,11,FALSE())</f>
        <v>#N/A</v>
      </c>
      <c r="L225" s="0" t="e">
        <f aca="false">VLOOKUP($A225,'[2]Sheet 1'!$A$2:$Q$3504,12,FALSE())</f>
        <v>#N/A</v>
      </c>
      <c r="M225" s="0" t="e">
        <f aca="false">VLOOKUP($A225,'[2]Sheet 1'!$A$2:$Q$3504,13,FALSE())</f>
        <v>#N/A</v>
      </c>
      <c r="N225" s="0" t="e">
        <f aca="false">VLOOKUP($A225,'[2]Sheet 1'!$A$2:$Q$3504,14,FALSE())</f>
        <v>#N/A</v>
      </c>
      <c r="O225" s="0" t="e">
        <f aca="false">VLOOKUP($A225,'[2]Sheet 1'!$A$2:$Q$3504,15,FALSE())</f>
        <v>#N/A</v>
      </c>
      <c r="P225" s="0" t="e">
        <f aca="false">VLOOKUP($A225,'[2]Sheet 1'!$A$2:$Q$3504,16,FALSE())</f>
        <v>#N/A</v>
      </c>
      <c r="Q225" s="0" t="e">
        <f aca="false">VLOOKUP($A225,'[2]Sheet 1'!$A$2:$Q$3504,17,FALSE())</f>
        <v>#N/A</v>
      </c>
      <c r="S225" s="9"/>
    </row>
    <row r="226" customFormat="false" ht="14.25" hidden="false" customHeight="false" outlineLevel="0" collapsed="false">
      <c r="A226" s="9" t="n">
        <v>499</v>
      </c>
      <c r="B226" s="9" t="s">
        <v>551</v>
      </c>
      <c r="C226" s="9" t="n">
        <v>20</v>
      </c>
      <c r="D226" s="0" t="n">
        <f aca="false">VLOOKUP($A226,'[2]Sheet 1'!$A$2:$Q$3504,4,FALSE())</f>
        <v>53</v>
      </c>
      <c r="E226" s="0" t="n">
        <f aca="false">VLOOKUP($A226,'[2]Sheet 1'!$A$2:$Q$3504,5,FALSE())</f>
        <v>0.2</v>
      </c>
      <c r="F226" s="0" t="n">
        <f aca="false">VLOOKUP($A226,'[2]Sheet 1'!$A$2:$Q$3504,6,FALSE())</f>
        <v>0.2</v>
      </c>
      <c r="G226" s="0" t="n">
        <f aca="false">VLOOKUP($A226,'[2]Sheet 1'!$A$2:$Q$3504,7,FALSE())</f>
        <v>0.06</v>
      </c>
      <c r="H226" s="0" t="n">
        <f aca="false">VLOOKUP($A226,'[2]Sheet 1'!$A$2:$Q$3504,8,FALSE())</f>
        <v>0.26</v>
      </c>
      <c r="I226" s="0" t="n">
        <f aca="false">VLOOKUP($A226,'[2]Sheet 1'!$A$2:$Q$3504,9,FALSE())</f>
        <v>9</v>
      </c>
      <c r="J226" s="0" t="n">
        <f aca="false">VLOOKUP($A226,'[2]Sheet 1'!$A$2:$Q$3504,10,FALSE())</f>
        <v>7</v>
      </c>
      <c r="K226" s="0" t="n">
        <f aca="false">VLOOKUP($A226,'[2]Sheet 1'!$A$2:$Q$3504,11,FALSE())</f>
        <v>0.0105</v>
      </c>
      <c r="L226" s="0" t="n">
        <f aca="false">VLOOKUP($A226,'[2]Sheet 1'!$A$2:$Q$3504,12,FALSE())</f>
        <v>2.1</v>
      </c>
      <c r="M226" s="0" t="n">
        <f aca="false">VLOOKUP($A226,'[2]Sheet 1'!$A$2:$Q$3504,13,FALSE())</f>
        <v>104.5</v>
      </c>
      <c r="N226" s="0" t="n">
        <f aca="false">VLOOKUP($A226,'[2]Sheet 1'!$A$2:$Q$3504,14,FALSE())</f>
        <v>0.2</v>
      </c>
      <c r="O226" s="0" t="n">
        <f aca="false">VLOOKUP($A226,'[2]Sheet 1'!$A$2:$Q$3504,15,FALSE())</f>
        <v>0</v>
      </c>
      <c r="P226" s="0" t="n">
        <f aca="false">VLOOKUP($A226,'[2]Sheet 1'!$A$2:$Q$3504,16,FALSE())</f>
        <v>0.1</v>
      </c>
      <c r="Q226" s="0" t="n">
        <f aca="false">VLOOKUP($A226,'[2]Sheet 1'!$A$2:$Q$3504,17,FALSE())</f>
        <v>7</v>
      </c>
      <c r="S226" s="9"/>
    </row>
    <row r="227" customFormat="false" ht="14.25" hidden="false" customHeight="false" outlineLevel="0" collapsed="false">
      <c r="A227" s="9" t="n">
        <v>507</v>
      </c>
      <c r="B227" s="9" t="s">
        <v>553</v>
      </c>
      <c r="C227" s="9" t="n">
        <v>12</v>
      </c>
      <c r="D227" s="0" t="n">
        <f aca="false">VLOOKUP($A227,'[2]Sheet 1'!$A$2:$Q$3504,4,FALSE())</f>
        <v>34</v>
      </c>
      <c r="E227" s="0" t="n">
        <f aca="false">VLOOKUP($A227,'[2]Sheet 1'!$A$2:$Q$3504,5,FALSE())</f>
        <v>0.7</v>
      </c>
      <c r="F227" s="0" t="n">
        <f aca="false">VLOOKUP($A227,'[2]Sheet 1'!$A$2:$Q$3504,6,FALSE())</f>
        <v>1</v>
      </c>
      <c r="G227" s="0" t="n">
        <f aca="false">VLOOKUP($A227,'[2]Sheet 1'!$A$2:$Q$3504,7,FALSE())</f>
        <v>0.07</v>
      </c>
      <c r="H227" s="0" t="n">
        <f aca="false">VLOOKUP($A227,'[2]Sheet 1'!$A$2:$Q$3504,8,FALSE())</f>
        <v>0.3</v>
      </c>
      <c r="I227" s="0" t="n">
        <f aca="false">VLOOKUP($A227,'[2]Sheet 1'!$A$2:$Q$3504,9,FALSE())</f>
        <v>21</v>
      </c>
      <c r="J227" s="0" t="n">
        <f aca="false">VLOOKUP($A227,'[2]Sheet 1'!$A$2:$Q$3504,10,FALSE())</f>
        <v>11</v>
      </c>
      <c r="K227" s="0" t="n">
        <f aca="false">VLOOKUP($A227,'[2]Sheet 1'!$A$2:$Q$3504,11,FALSE())</f>
        <v>0.03</v>
      </c>
      <c r="L227" s="0" t="n">
        <f aca="false">VLOOKUP($A227,'[2]Sheet 1'!$A$2:$Q$3504,12,FALSE())</f>
        <v>7.7</v>
      </c>
      <c r="M227" s="0" t="n">
        <f aca="false">VLOOKUP($A227,'[2]Sheet 1'!$A$2:$Q$3504,13,FALSE())</f>
        <v>164</v>
      </c>
      <c r="N227" s="0" t="n">
        <f aca="false">VLOOKUP($A227,'[2]Sheet 1'!$A$2:$Q$3504,14,FALSE())</f>
        <v>0.142579050520011</v>
      </c>
      <c r="O227" s="0" t="n">
        <f aca="false">VLOOKUP($A227,'[2]Sheet 1'!$A$2:$Q$3504,15,FALSE())</f>
        <v>0</v>
      </c>
      <c r="P227" s="0" t="n">
        <f aca="false">VLOOKUP($A227,'[2]Sheet 1'!$A$2:$Q$3504,16,FALSE())</f>
        <v>0.0180513899771819</v>
      </c>
      <c r="Q227" s="0" t="n">
        <f aca="false">VLOOKUP($A227,'[2]Sheet 1'!$A$2:$Q$3504,17,FALSE())</f>
        <v>3</v>
      </c>
      <c r="S227" s="9"/>
    </row>
    <row r="228" customFormat="false" ht="14.25" hidden="false" customHeight="false" outlineLevel="0" collapsed="false">
      <c r="A228" s="9" t="n">
        <v>509</v>
      </c>
      <c r="B228" s="9" t="s">
        <v>555</v>
      </c>
      <c r="C228" s="9" t="n">
        <v>10</v>
      </c>
      <c r="D228" s="0" t="n">
        <f aca="false">VLOOKUP($A228,'[2]Sheet 1'!$A$2:$Q$3504,4,FALSE())</f>
        <v>53</v>
      </c>
      <c r="E228" s="0" t="n">
        <f aca="false">VLOOKUP($A228,'[2]Sheet 1'!$A$2:$Q$3504,5,FALSE())</f>
        <v>0.2</v>
      </c>
      <c r="F228" s="0" t="n">
        <f aca="false">VLOOKUP($A228,'[2]Sheet 1'!$A$2:$Q$3504,6,FALSE())</f>
        <v>0.2</v>
      </c>
      <c r="G228" s="0" t="n">
        <f aca="false">VLOOKUP($A228,'[2]Sheet 1'!$A$2:$Q$3504,7,FALSE())</f>
        <v>0.06</v>
      </c>
      <c r="H228" s="0" t="n">
        <f aca="false">VLOOKUP($A228,'[2]Sheet 1'!$A$2:$Q$3504,8,FALSE())</f>
        <v>0.26</v>
      </c>
      <c r="I228" s="0" t="n">
        <f aca="false">VLOOKUP($A228,'[2]Sheet 1'!$A$2:$Q$3504,9,FALSE())</f>
        <v>9</v>
      </c>
      <c r="J228" s="0" t="n">
        <f aca="false">VLOOKUP($A228,'[2]Sheet 1'!$A$2:$Q$3504,10,FALSE())</f>
        <v>7</v>
      </c>
      <c r="K228" s="0" t="n">
        <f aca="false">VLOOKUP($A228,'[2]Sheet 1'!$A$2:$Q$3504,11,FALSE())</f>
        <v>0.0105</v>
      </c>
      <c r="L228" s="0" t="n">
        <f aca="false">VLOOKUP($A228,'[2]Sheet 1'!$A$2:$Q$3504,12,FALSE())</f>
        <v>2.1</v>
      </c>
      <c r="M228" s="0" t="n">
        <f aca="false">VLOOKUP($A228,'[2]Sheet 1'!$A$2:$Q$3504,13,FALSE())</f>
        <v>104.5</v>
      </c>
      <c r="N228" s="0" t="n">
        <f aca="false">VLOOKUP($A228,'[2]Sheet 1'!$A$2:$Q$3504,14,FALSE())</f>
        <v>0.2</v>
      </c>
      <c r="O228" s="0" t="n">
        <f aca="false">VLOOKUP($A228,'[2]Sheet 1'!$A$2:$Q$3504,15,FALSE())</f>
        <v>0</v>
      </c>
      <c r="P228" s="0" t="n">
        <f aca="false">VLOOKUP($A228,'[2]Sheet 1'!$A$2:$Q$3504,16,FALSE())</f>
        <v>0.1</v>
      </c>
      <c r="Q228" s="0" t="n">
        <f aca="false">VLOOKUP($A228,'[2]Sheet 1'!$A$2:$Q$3504,17,FALSE())</f>
        <v>7</v>
      </c>
      <c r="S228" s="9"/>
    </row>
    <row r="229" customFormat="false" ht="14.25" hidden="false" customHeight="false" outlineLevel="0" collapsed="false">
      <c r="A229" s="9" t="n">
        <v>510</v>
      </c>
      <c r="B229" s="9" t="s">
        <v>556</v>
      </c>
      <c r="C229" s="9" t="n">
        <v>20</v>
      </c>
      <c r="D229" s="0" t="n">
        <f aca="false">VLOOKUP($A229,'[2]Sheet 1'!$A$2:$Q$3504,4,FALSE())</f>
        <v>53</v>
      </c>
      <c r="E229" s="0" t="n">
        <f aca="false">VLOOKUP($A229,'[2]Sheet 1'!$A$2:$Q$3504,5,FALSE())</f>
        <v>0.2</v>
      </c>
      <c r="F229" s="0" t="n">
        <f aca="false">VLOOKUP($A229,'[2]Sheet 1'!$A$2:$Q$3504,6,FALSE())</f>
        <v>0.2</v>
      </c>
      <c r="G229" s="0" t="n">
        <f aca="false">VLOOKUP($A229,'[2]Sheet 1'!$A$2:$Q$3504,7,FALSE())</f>
        <v>0.06</v>
      </c>
      <c r="H229" s="0" t="n">
        <f aca="false">VLOOKUP($A229,'[2]Sheet 1'!$A$2:$Q$3504,8,FALSE())</f>
        <v>0.26</v>
      </c>
      <c r="I229" s="0" t="n">
        <f aca="false">VLOOKUP($A229,'[2]Sheet 1'!$A$2:$Q$3504,9,FALSE())</f>
        <v>9</v>
      </c>
      <c r="J229" s="0" t="n">
        <f aca="false">VLOOKUP($A229,'[2]Sheet 1'!$A$2:$Q$3504,10,FALSE())</f>
        <v>7</v>
      </c>
      <c r="K229" s="0" t="n">
        <f aca="false">VLOOKUP($A229,'[2]Sheet 1'!$A$2:$Q$3504,11,FALSE())</f>
        <v>0.0105</v>
      </c>
      <c r="L229" s="0" t="n">
        <f aca="false">VLOOKUP($A229,'[2]Sheet 1'!$A$2:$Q$3504,12,FALSE())</f>
        <v>2.1</v>
      </c>
      <c r="M229" s="0" t="n">
        <f aca="false">VLOOKUP($A229,'[2]Sheet 1'!$A$2:$Q$3504,13,FALSE())</f>
        <v>104.5</v>
      </c>
      <c r="N229" s="0" t="n">
        <f aca="false">VLOOKUP($A229,'[2]Sheet 1'!$A$2:$Q$3504,14,FALSE())</f>
        <v>0.2</v>
      </c>
      <c r="O229" s="0" t="n">
        <f aca="false">VLOOKUP($A229,'[2]Sheet 1'!$A$2:$Q$3504,15,FALSE())</f>
        <v>0</v>
      </c>
      <c r="P229" s="0" t="n">
        <f aca="false">VLOOKUP($A229,'[2]Sheet 1'!$A$2:$Q$3504,16,FALSE())</f>
        <v>0.1</v>
      </c>
      <c r="Q229" s="0" t="n">
        <f aca="false">VLOOKUP($A229,'[2]Sheet 1'!$A$2:$Q$3504,17,FALSE())</f>
        <v>7</v>
      </c>
      <c r="S229" s="9"/>
    </row>
    <row r="230" customFormat="false" ht="14.25" hidden="false" customHeight="false" outlineLevel="0" collapsed="false">
      <c r="A230" s="9" t="n">
        <v>512</v>
      </c>
      <c r="B230" s="9" t="s">
        <v>557</v>
      </c>
      <c r="C230" s="9" t="n">
        <v>50</v>
      </c>
      <c r="D230" s="0" t="e">
        <f aca="false">VLOOKUP($A230,'[2]Sheet 1'!$A$2:$Q$3504,4,FALSE())</f>
        <v>#N/A</v>
      </c>
      <c r="E230" s="0" t="e">
        <f aca="false">VLOOKUP($A230,'[2]Sheet 1'!$A$2:$Q$3504,5,FALSE())</f>
        <v>#N/A</v>
      </c>
      <c r="F230" s="0" t="e">
        <f aca="false">VLOOKUP($A230,'[2]Sheet 1'!$A$2:$Q$3504,6,FALSE())</f>
        <v>#N/A</v>
      </c>
      <c r="G230" s="0" t="e">
        <f aca="false">VLOOKUP($A230,'[2]Sheet 1'!$A$2:$Q$3504,7,FALSE())</f>
        <v>#N/A</v>
      </c>
      <c r="H230" s="0" t="e">
        <f aca="false">VLOOKUP($A230,'[2]Sheet 1'!$A$2:$Q$3504,8,FALSE())</f>
        <v>#N/A</v>
      </c>
      <c r="I230" s="0" t="e">
        <f aca="false">VLOOKUP($A230,'[2]Sheet 1'!$A$2:$Q$3504,9,FALSE())</f>
        <v>#N/A</v>
      </c>
      <c r="J230" s="0" t="e">
        <f aca="false">VLOOKUP($A230,'[2]Sheet 1'!$A$2:$Q$3504,10,FALSE())</f>
        <v>#N/A</v>
      </c>
      <c r="K230" s="0" t="e">
        <f aca="false">VLOOKUP($A230,'[2]Sheet 1'!$A$2:$Q$3504,11,FALSE())</f>
        <v>#N/A</v>
      </c>
      <c r="L230" s="0" t="e">
        <f aca="false">VLOOKUP($A230,'[2]Sheet 1'!$A$2:$Q$3504,12,FALSE())</f>
        <v>#N/A</v>
      </c>
      <c r="M230" s="0" t="e">
        <f aca="false">VLOOKUP($A230,'[2]Sheet 1'!$A$2:$Q$3504,13,FALSE())</f>
        <v>#N/A</v>
      </c>
      <c r="N230" s="0" t="e">
        <f aca="false">VLOOKUP($A230,'[2]Sheet 1'!$A$2:$Q$3504,14,FALSE())</f>
        <v>#N/A</v>
      </c>
      <c r="O230" s="0" t="e">
        <f aca="false">VLOOKUP($A230,'[2]Sheet 1'!$A$2:$Q$3504,15,FALSE())</f>
        <v>#N/A</v>
      </c>
      <c r="P230" s="0" t="e">
        <f aca="false">VLOOKUP($A230,'[2]Sheet 1'!$A$2:$Q$3504,16,FALSE())</f>
        <v>#N/A</v>
      </c>
      <c r="Q230" s="0" t="e">
        <f aca="false">VLOOKUP($A230,'[2]Sheet 1'!$A$2:$Q$3504,17,FALSE())</f>
        <v>#N/A</v>
      </c>
      <c r="S230" s="9"/>
    </row>
    <row r="231" customFormat="false" ht="14.25" hidden="false" customHeight="false" outlineLevel="0" collapsed="false">
      <c r="A231" s="9" t="n">
        <v>513</v>
      </c>
      <c r="B231" s="9" t="s">
        <v>559</v>
      </c>
      <c r="C231" s="9" t="n">
        <v>10</v>
      </c>
      <c r="D231" s="0" t="n">
        <f aca="false">VLOOKUP($A231,'[2]Sheet 1'!$A$2:$Q$3504,4,FALSE())</f>
        <v>53</v>
      </c>
      <c r="E231" s="0" t="n">
        <f aca="false">VLOOKUP($A231,'[2]Sheet 1'!$A$2:$Q$3504,5,FALSE())</f>
        <v>0.2</v>
      </c>
      <c r="F231" s="0" t="n">
        <f aca="false">VLOOKUP($A231,'[2]Sheet 1'!$A$2:$Q$3504,6,FALSE())</f>
        <v>0.2</v>
      </c>
      <c r="G231" s="0" t="n">
        <f aca="false">VLOOKUP($A231,'[2]Sheet 1'!$A$2:$Q$3504,7,FALSE())</f>
        <v>0.06</v>
      </c>
      <c r="H231" s="0" t="n">
        <f aca="false">VLOOKUP($A231,'[2]Sheet 1'!$A$2:$Q$3504,8,FALSE())</f>
        <v>0.26</v>
      </c>
      <c r="I231" s="0" t="n">
        <f aca="false">VLOOKUP($A231,'[2]Sheet 1'!$A$2:$Q$3504,9,FALSE())</f>
        <v>9</v>
      </c>
      <c r="J231" s="0" t="n">
        <f aca="false">VLOOKUP($A231,'[2]Sheet 1'!$A$2:$Q$3504,10,FALSE())</f>
        <v>7</v>
      </c>
      <c r="K231" s="0" t="n">
        <f aca="false">VLOOKUP($A231,'[2]Sheet 1'!$A$2:$Q$3504,11,FALSE())</f>
        <v>0.0105</v>
      </c>
      <c r="L231" s="0" t="n">
        <f aca="false">VLOOKUP($A231,'[2]Sheet 1'!$A$2:$Q$3504,12,FALSE())</f>
        <v>2.1</v>
      </c>
      <c r="M231" s="0" t="n">
        <f aca="false">VLOOKUP($A231,'[2]Sheet 1'!$A$2:$Q$3504,13,FALSE())</f>
        <v>104.5</v>
      </c>
      <c r="N231" s="0" t="n">
        <f aca="false">VLOOKUP($A231,'[2]Sheet 1'!$A$2:$Q$3504,14,FALSE())</f>
        <v>0.2</v>
      </c>
      <c r="O231" s="0" t="n">
        <f aca="false">VLOOKUP($A231,'[2]Sheet 1'!$A$2:$Q$3504,15,FALSE())</f>
        <v>0</v>
      </c>
      <c r="P231" s="0" t="n">
        <f aca="false">VLOOKUP($A231,'[2]Sheet 1'!$A$2:$Q$3504,16,FALSE())</f>
        <v>0.1</v>
      </c>
      <c r="Q231" s="0" t="n">
        <f aca="false">VLOOKUP($A231,'[2]Sheet 1'!$A$2:$Q$3504,17,FALSE())</f>
        <v>7</v>
      </c>
      <c r="S231" s="9"/>
    </row>
    <row r="232" customFormat="false" ht="14.25" hidden="false" customHeight="false" outlineLevel="0" collapsed="false">
      <c r="A232" s="9" t="n">
        <v>514</v>
      </c>
      <c r="B232" s="9" t="s">
        <v>560</v>
      </c>
      <c r="C232" s="9" t="n">
        <v>20</v>
      </c>
      <c r="D232" s="0" t="n">
        <f aca="false">VLOOKUP($A232,'[2]Sheet 1'!$A$2:$Q$3504,4,FALSE())</f>
        <v>53</v>
      </c>
      <c r="E232" s="0" t="n">
        <f aca="false">VLOOKUP($A232,'[2]Sheet 1'!$A$2:$Q$3504,5,FALSE())</f>
        <v>0.2</v>
      </c>
      <c r="F232" s="0" t="n">
        <f aca="false">VLOOKUP($A232,'[2]Sheet 1'!$A$2:$Q$3504,6,FALSE())</f>
        <v>0.2</v>
      </c>
      <c r="G232" s="0" t="n">
        <f aca="false">VLOOKUP($A232,'[2]Sheet 1'!$A$2:$Q$3504,7,FALSE())</f>
        <v>0.06</v>
      </c>
      <c r="H232" s="0" t="n">
        <f aca="false">VLOOKUP($A232,'[2]Sheet 1'!$A$2:$Q$3504,8,FALSE())</f>
        <v>0.26</v>
      </c>
      <c r="I232" s="0" t="n">
        <f aca="false">VLOOKUP($A232,'[2]Sheet 1'!$A$2:$Q$3504,9,FALSE())</f>
        <v>9</v>
      </c>
      <c r="J232" s="0" t="n">
        <f aca="false">VLOOKUP($A232,'[2]Sheet 1'!$A$2:$Q$3504,10,FALSE())</f>
        <v>7</v>
      </c>
      <c r="K232" s="0" t="n">
        <f aca="false">VLOOKUP($A232,'[2]Sheet 1'!$A$2:$Q$3504,11,FALSE())</f>
        <v>0.0105</v>
      </c>
      <c r="L232" s="0" t="n">
        <f aca="false">VLOOKUP($A232,'[2]Sheet 1'!$A$2:$Q$3504,12,FALSE())</f>
        <v>2.1</v>
      </c>
      <c r="M232" s="0" t="n">
        <f aca="false">VLOOKUP($A232,'[2]Sheet 1'!$A$2:$Q$3504,13,FALSE())</f>
        <v>104.5</v>
      </c>
      <c r="N232" s="0" t="n">
        <f aca="false">VLOOKUP($A232,'[2]Sheet 1'!$A$2:$Q$3504,14,FALSE())</f>
        <v>0.2</v>
      </c>
      <c r="O232" s="0" t="n">
        <f aca="false">VLOOKUP($A232,'[2]Sheet 1'!$A$2:$Q$3504,15,FALSE())</f>
        <v>0</v>
      </c>
      <c r="P232" s="0" t="n">
        <f aca="false">VLOOKUP($A232,'[2]Sheet 1'!$A$2:$Q$3504,16,FALSE())</f>
        <v>0.1</v>
      </c>
      <c r="Q232" s="0" t="n">
        <f aca="false">VLOOKUP($A232,'[2]Sheet 1'!$A$2:$Q$3504,17,FALSE())</f>
        <v>7</v>
      </c>
      <c r="S232" s="9"/>
    </row>
    <row r="233" customFormat="false" ht="14.25" hidden="false" customHeight="false" outlineLevel="0" collapsed="false">
      <c r="A233" s="9" t="n">
        <v>515</v>
      </c>
      <c r="B233" s="9" t="s">
        <v>561</v>
      </c>
      <c r="C233" s="9" t="n">
        <v>15</v>
      </c>
      <c r="D233" s="0" t="n">
        <f aca="false">VLOOKUP($A233,'[2]Sheet 1'!$A$2:$Q$3504,4,FALSE())</f>
        <v>56.85</v>
      </c>
      <c r="E233" s="0" t="n">
        <f aca="false">VLOOKUP($A233,'[2]Sheet 1'!$A$2:$Q$3504,5,FALSE())</f>
        <v>0.3</v>
      </c>
      <c r="F233" s="0" t="n">
        <f aca="false">VLOOKUP($A233,'[2]Sheet 1'!$A$2:$Q$3504,6,FALSE())</f>
        <v>1.15</v>
      </c>
      <c r="G233" s="0" t="n">
        <f aca="false">VLOOKUP($A233,'[2]Sheet 1'!$A$2:$Q$3504,7,FALSE())</f>
        <v>0.04</v>
      </c>
      <c r="H233" s="0" t="n">
        <f aca="false">VLOOKUP($A233,'[2]Sheet 1'!$A$2:$Q$3504,8,FALSE())</f>
        <v>0.65</v>
      </c>
      <c r="I233" s="0" t="n">
        <f aca="false">VLOOKUP($A233,'[2]Sheet 1'!$A$2:$Q$3504,9,FALSE())</f>
        <v>7</v>
      </c>
      <c r="J233" s="0" t="n">
        <f aca="false">VLOOKUP($A233,'[2]Sheet 1'!$A$2:$Q$3504,10,FALSE())</f>
        <v>3</v>
      </c>
      <c r="K233" s="0" t="n">
        <f aca="false">VLOOKUP($A233,'[2]Sheet 1'!$A$2:$Q$3504,11,FALSE())</f>
        <v>0.03</v>
      </c>
      <c r="L233" s="0" t="n">
        <f aca="false">VLOOKUP($A233,'[2]Sheet 1'!$A$2:$Q$3504,12,FALSE())</f>
        <v>162.2</v>
      </c>
      <c r="M233" s="0" t="n">
        <f aca="false">VLOOKUP($A233,'[2]Sheet 1'!$A$2:$Q$3504,13,FALSE())</f>
        <v>107</v>
      </c>
      <c r="N233" s="0" t="n">
        <f aca="false">VLOOKUP($A233,'[2]Sheet 1'!$A$2:$Q$3504,14,FALSE())</f>
        <v>0.18</v>
      </c>
      <c r="O233" s="0" t="n">
        <f aca="false">VLOOKUP($A233,'[2]Sheet 1'!$A$2:$Q$3504,15,FALSE())</f>
        <v>0</v>
      </c>
      <c r="P233" s="0" t="n">
        <f aca="false">VLOOKUP($A233,'[2]Sheet 1'!$A$2:$Q$3504,16,FALSE())</f>
        <v>2.2</v>
      </c>
      <c r="Q233" s="0" t="n">
        <f aca="false">VLOOKUP($A233,'[2]Sheet 1'!$A$2:$Q$3504,17,FALSE())</f>
        <v>3</v>
      </c>
      <c r="S233" s="9"/>
    </row>
    <row r="234" customFormat="false" ht="14.25" hidden="false" customHeight="false" outlineLevel="0" collapsed="false">
      <c r="A234" s="9" t="n">
        <v>517</v>
      </c>
      <c r="B234" s="9" t="s">
        <v>563</v>
      </c>
      <c r="C234" s="9" t="n">
        <v>8</v>
      </c>
      <c r="D234" s="0" t="n">
        <f aca="false">VLOOKUP($A234,'[2]Sheet 1'!$A$2:$Q$3504,4,FALSE())</f>
        <v>34</v>
      </c>
      <c r="E234" s="0" t="n">
        <f aca="false">VLOOKUP($A234,'[2]Sheet 1'!$A$2:$Q$3504,5,FALSE())</f>
        <v>0</v>
      </c>
      <c r="F234" s="0" t="n">
        <f aca="false">VLOOKUP($A234,'[2]Sheet 1'!$A$2:$Q$3504,6,FALSE())</f>
        <v>0</v>
      </c>
      <c r="G234" s="0" t="n">
        <f aca="false">VLOOKUP($A234,'[2]Sheet 1'!$A$2:$Q$3504,7,FALSE())</f>
        <v>0.05</v>
      </c>
      <c r="H234" s="0" t="n">
        <f aca="false">VLOOKUP($A234,'[2]Sheet 1'!$A$2:$Q$3504,8,FALSE())</f>
        <v>0.18</v>
      </c>
      <c r="I234" s="0" t="n">
        <f aca="false">VLOOKUP($A234,'[2]Sheet 1'!$A$2:$Q$3504,9,FALSE())</f>
        <v>3</v>
      </c>
      <c r="J234" s="0" t="n">
        <f aca="false">VLOOKUP($A234,'[2]Sheet 1'!$A$2:$Q$3504,10,FALSE())</f>
        <v>0</v>
      </c>
      <c r="K234" s="0" t="n">
        <f aca="false">VLOOKUP($A234,'[2]Sheet 1'!$A$2:$Q$3504,11,FALSE())</f>
        <v>0</v>
      </c>
      <c r="L234" s="0" t="n">
        <f aca="false">VLOOKUP($A234,'[2]Sheet 1'!$A$2:$Q$3504,12,FALSE())</f>
        <v>0</v>
      </c>
      <c r="M234" s="0" t="n">
        <f aca="false">VLOOKUP($A234,'[2]Sheet 1'!$A$2:$Q$3504,13,FALSE())</f>
        <v>1</v>
      </c>
      <c r="N234" s="0" t="n">
        <f aca="false">VLOOKUP($A234,'[2]Sheet 1'!$A$2:$Q$3504,14,FALSE())</f>
        <v>0</v>
      </c>
      <c r="O234" s="0" t="n">
        <f aca="false">VLOOKUP($A234,'[2]Sheet 1'!$A$2:$Q$3504,15,FALSE())</f>
        <v>0</v>
      </c>
      <c r="P234" s="0" t="n">
        <f aca="false">VLOOKUP($A234,'[2]Sheet 1'!$A$2:$Q$3504,16,FALSE())</f>
        <v>0</v>
      </c>
      <c r="Q234" s="0" t="n">
        <f aca="false">VLOOKUP($A234,'[2]Sheet 1'!$A$2:$Q$3504,17,FALSE())</f>
        <v>0</v>
      </c>
      <c r="S234" s="9"/>
    </row>
    <row r="235" customFormat="false" ht="14.25" hidden="false" customHeight="false" outlineLevel="0" collapsed="false">
      <c r="A235" s="9" t="n">
        <v>518</v>
      </c>
      <c r="B235" s="9" t="s">
        <v>565</v>
      </c>
      <c r="C235" s="9" t="n">
        <v>10</v>
      </c>
      <c r="D235" s="0" t="e">
        <f aca="false">VLOOKUP($A235,'[2]Sheet 1'!$A$2:$Q$3504,4,FALSE())</f>
        <v>#N/A</v>
      </c>
      <c r="E235" s="0" t="e">
        <f aca="false">VLOOKUP($A235,'[2]Sheet 1'!$A$2:$Q$3504,5,FALSE())</f>
        <v>#N/A</v>
      </c>
      <c r="F235" s="0" t="e">
        <f aca="false">VLOOKUP($A235,'[2]Sheet 1'!$A$2:$Q$3504,6,FALSE())</f>
        <v>#N/A</v>
      </c>
      <c r="G235" s="0" t="e">
        <f aca="false">VLOOKUP($A235,'[2]Sheet 1'!$A$2:$Q$3504,7,FALSE())</f>
        <v>#N/A</v>
      </c>
      <c r="H235" s="0" t="e">
        <f aca="false">VLOOKUP($A235,'[2]Sheet 1'!$A$2:$Q$3504,8,FALSE())</f>
        <v>#N/A</v>
      </c>
      <c r="I235" s="0" t="e">
        <f aca="false">VLOOKUP($A235,'[2]Sheet 1'!$A$2:$Q$3504,9,FALSE())</f>
        <v>#N/A</v>
      </c>
      <c r="J235" s="0" t="e">
        <f aca="false">VLOOKUP($A235,'[2]Sheet 1'!$A$2:$Q$3504,10,FALSE())</f>
        <v>#N/A</v>
      </c>
      <c r="K235" s="0" t="e">
        <f aca="false">VLOOKUP($A235,'[2]Sheet 1'!$A$2:$Q$3504,11,FALSE())</f>
        <v>#N/A</v>
      </c>
      <c r="L235" s="0" t="e">
        <f aca="false">VLOOKUP($A235,'[2]Sheet 1'!$A$2:$Q$3504,12,FALSE())</f>
        <v>#N/A</v>
      </c>
      <c r="M235" s="0" t="e">
        <f aca="false">VLOOKUP($A235,'[2]Sheet 1'!$A$2:$Q$3504,13,FALSE())</f>
        <v>#N/A</v>
      </c>
      <c r="N235" s="0" t="e">
        <f aca="false">VLOOKUP($A235,'[2]Sheet 1'!$A$2:$Q$3504,14,FALSE())</f>
        <v>#N/A</v>
      </c>
      <c r="O235" s="0" t="e">
        <f aca="false">VLOOKUP($A235,'[2]Sheet 1'!$A$2:$Q$3504,15,FALSE())</f>
        <v>#N/A</v>
      </c>
      <c r="P235" s="0" t="e">
        <f aca="false">VLOOKUP($A235,'[2]Sheet 1'!$A$2:$Q$3504,16,FALSE())</f>
        <v>#N/A</v>
      </c>
      <c r="Q235" s="0" t="e">
        <f aca="false">VLOOKUP($A235,'[2]Sheet 1'!$A$2:$Q$3504,17,FALSE())</f>
        <v>#N/A</v>
      </c>
      <c r="S235" s="9"/>
    </row>
    <row r="236" customFormat="false" ht="14.25" hidden="false" customHeight="false" outlineLevel="0" collapsed="false">
      <c r="A236" s="9" t="n">
        <v>519</v>
      </c>
      <c r="B236" s="9" t="s">
        <v>566</v>
      </c>
      <c r="C236" s="9" t="n">
        <v>20</v>
      </c>
      <c r="D236" s="0" t="e">
        <f aca="false">VLOOKUP($A236,'[2]Sheet 1'!$A$2:$Q$3504,4,FALSE())</f>
        <v>#N/A</v>
      </c>
      <c r="E236" s="0" t="e">
        <f aca="false">VLOOKUP($A236,'[2]Sheet 1'!$A$2:$Q$3504,5,FALSE())</f>
        <v>#N/A</v>
      </c>
      <c r="F236" s="0" t="e">
        <f aca="false">VLOOKUP($A236,'[2]Sheet 1'!$A$2:$Q$3504,6,FALSE())</f>
        <v>#N/A</v>
      </c>
      <c r="G236" s="0" t="e">
        <f aca="false">VLOOKUP($A236,'[2]Sheet 1'!$A$2:$Q$3504,7,FALSE())</f>
        <v>#N/A</v>
      </c>
      <c r="H236" s="0" t="e">
        <f aca="false">VLOOKUP($A236,'[2]Sheet 1'!$A$2:$Q$3504,8,FALSE())</f>
        <v>#N/A</v>
      </c>
      <c r="I236" s="0" t="e">
        <f aca="false">VLOOKUP($A236,'[2]Sheet 1'!$A$2:$Q$3504,9,FALSE())</f>
        <v>#N/A</v>
      </c>
      <c r="J236" s="0" t="e">
        <f aca="false">VLOOKUP($A236,'[2]Sheet 1'!$A$2:$Q$3504,10,FALSE())</f>
        <v>#N/A</v>
      </c>
      <c r="K236" s="0" t="e">
        <f aca="false">VLOOKUP($A236,'[2]Sheet 1'!$A$2:$Q$3504,11,FALSE())</f>
        <v>#N/A</v>
      </c>
      <c r="L236" s="0" t="e">
        <f aca="false">VLOOKUP($A236,'[2]Sheet 1'!$A$2:$Q$3504,12,FALSE())</f>
        <v>#N/A</v>
      </c>
      <c r="M236" s="0" t="e">
        <f aca="false">VLOOKUP($A236,'[2]Sheet 1'!$A$2:$Q$3504,13,FALSE())</f>
        <v>#N/A</v>
      </c>
      <c r="N236" s="0" t="e">
        <f aca="false">VLOOKUP($A236,'[2]Sheet 1'!$A$2:$Q$3504,14,FALSE())</f>
        <v>#N/A</v>
      </c>
      <c r="O236" s="0" t="e">
        <f aca="false">VLOOKUP($A236,'[2]Sheet 1'!$A$2:$Q$3504,15,FALSE())</f>
        <v>#N/A</v>
      </c>
      <c r="P236" s="0" t="e">
        <f aca="false">VLOOKUP($A236,'[2]Sheet 1'!$A$2:$Q$3504,16,FALSE())</f>
        <v>#N/A</v>
      </c>
      <c r="Q236" s="0" t="e">
        <f aca="false">VLOOKUP($A236,'[2]Sheet 1'!$A$2:$Q$3504,17,FALSE())</f>
        <v>#N/A</v>
      </c>
      <c r="S236" s="9"/>
    </row>
    <row r="237" customFormat="false" ht="14.25" hidden="false" customHeight="false" outlineLevel="0" collapsed="false">
      <c r="A237" s="9" t="n">
        <v>521</v>
      </c>
      <c r="B237" s="9" t="s">
        <v>567</v>
      </c>
      <c r="C237" s="9" t="n">
        <v>17</v>
      </c>
      <c r="D237" s="0" t="n">
        <f aca="false">VLOOKUP($A237,'[2]Sheet 1'!$A$2:$Q$3504,4,FALSE())</f>
        <v>52</v>
      </c>
      <c r="E237" s="0" t="n">
        <f aca="false">VLOOKUP($A237,'[2]Sheet 1'!$A$2:$Q$3504,5,FALSE())</f>
        <v>0.4</v>
      </c>
      <c r="F237" s="0" t="n">
        <f aca="false">VLOOKUP($A237,'[2]Sheet 1'!$A$2:$Q$3504,6,FALSE())</f>
        <v>1.8</v>
      </c>
      <c r="G237" s="0" t="n">
        <f aca="false">VLOOKUP($A237,'[2]Sheet 1'!$A$2:$Q$3504,7,FALSE())</f>
        <v>0.12</v>
      </c>
      <c r="H237" s="0" t="n">
        <f aca="false">VLOOKUP($A237,'[2]Sheet 1'!$A$2:$Q$3504,8,FALSE())</f>
        <v>0.3</v>
      </c>
      <c r="I237" s="0" t="n">
        <f aca="false">VLOOKUP($A237,'[2]Sheet 1'!$A$2:$Q$3504,9,FALSE())</f>
        <v>9</v>
      </c>
      <c r="J237" s="0" t="n">
        <f aca="false">VLOOKUP($A237,'[2]Sheet 1'!$A$2:$Q$3504,10,FALSE())</f>
        <v>7</v>
      </c>
      <c r="K237" s="0" t="n">
        <f aca="false">VLOOKUP($A237,'[2]Sheet 1'!$A$2:$Q$3504,11,FALSE())</f>
        <v>0.05</v>
      </c>
      <c r="L237" s="0" t="n">
        <f aca="false">VLOOKUP($A237,'[2]Sheet 1'!$A$2:$Q$3504,12,FALSE())</f>
        <v>5.1</v>
      </c>
      <c r="M237" s="0" t="n">
        <f aca="false">VLOOKUP($A237,'[2]Sheet 1'!$A$2:$Q$3504,13,FALSE())</f>
        <v>120.5</v>
      </c>
      <c r="N237" s="0" t="n">
        <f aca="false">VLOOKUP($A237,'[2]Sheet 1'!$A$2:$Q$3504,14,FALSE())</f>
        <v>0.12</v>
      </c>
      <c r="O237" s="0" t="n">
        <f aca="false">VLOOKUP($A237,'[2]Sheet 1'!$A$2:$Q$3504,15,FALSE())</f>
        <v>0</v>
      </c>
      <c r="P237" s="0" t="n">
        <f aca="false">VLOOKUP($A237,'[2]Sheet 1'!$A$2:$Q$3504,16,FALSE())</f>
        <v>4.4</v>
      </c>
      <c r="Q237" s="0" t="n">
        <f aca="false">VLOOKUP($A237,'[2]Sheet 1'!$A$2:$Q$3504,17,FALSE())</f>
        <v>1</v>
      </c>
      <c r="S237" s="9"/>
    </row>
    <row r="238" customFormat="false" ht="14.25" hidden="false" customHeight="false" outlineLevel="0" collapsed="false">
      <c r="A238" s="5" t="n">
        <v>523</v>
      </c>
      <c r="B238" s="5" t="s">
        <v>569</v>
      </c>
      <c r="C238" s="5" t="n">
        <v>16</v>
      </c>
      <c r="D238" s="0" t="n">
        <f aca="false">VLOOKUP($A238,'[2]Sheet 1'!$A$2:$Q$3504,4,FALSE())</f>
        <v>57</v>
      </c>
      <c r="E238" s="0" t="n">
        <f aca="false">VLOOKUP($A238,'[2]Sheet 1'!$A$2:$Q$3504,5,FALSE())</f>
        <v>0.4</v>
      </c>
      <c r="F238" s="0" t="n">
        <f aca="false">VLOOKUP($A238,'[2]Sheet 1'!$A$2:$Q$3504,6,FALSE())</f>
        <v>2</v>
      </c>
      <c r="G238" s="0" t="n">
        <f aca="false">VLOOKUP($A238,'[2]Sheet 1'!$A$2:$Q$3504,7,FALSE())</f>
        <v>0.04</v>
      </c>
      <c r="H238" s="0" t="n">
        <f aca="false">VLOOKUP($A238,'[2]Sheet 1'!$A$2:$Q$3504,8,FALSE())</f>
        <v>0.7</v>
      </c>
      <c r="I238" s="0" t="n">
        <f aca="false">VLOOKUP($A238,'[2]Sheet 1'!$A$2:$Q$3504,9,FALSE())</f>
        <v>11</v>
      </c>
      <c r="J238" s="0" t="n">
        <f aca="false">VLOOKUP($A238,'[2]Sheet 1'!$A$2:$Q$3504,10,FALSE())</f>
        <v>3</v>
      </c>
      <c r="K238" s="0" t="n">
        <f aca="false">VLOOKUP($A238,'[2]Sheet 1'!$A$2:$Q$3504,11,FALSE())</f>
        <v>0.035</v>
      </c>
      <c r="L238" s="0" t="n">
        <f aca="false">VLOOKUP($A238,'[2]Sheet 1'!$A$2:$Q$3504,12,FALSE())</f>
        <v>0</v>
      </c>
      <c r="M238" s="0" t="n">
        <f aca="false">VLOOKUP($A238,'[2]Sheet 1'!$A$2:$Q$3504,13,FALSE())</f>
        <v>197</v>
      </c>
      <c r="N238" s="0" t="n">
        <f aca="false">VLOOKUP($A238,'[2]Sheet 1'!$A$2:$Q$3504,14,FALSE())</f>
        <v>0</v>
      </c>
      <c r="O238" s="0" t="n">
        <f aca="false">VLOOKUP($A238,'[2]Sheet 1'!$A$2:$Q$3504,15,FALSE())</f>
        <v>0</v>
      </c>
      <c r="P238" s="0" t="n">
        <f aca="false">VLOOKUP($A238,'[2]Sheet 1'!$A$2:$Q$3504,16,FALSE())</f>
        <v>0</v>
      </c>
      <c r="Q238" s="0" t="n">
        <f aca="false">VLOOKUP($A238,'[2]Sheet 1'!$A$2:$Q$3504,17,FALSE())</f>
        <v>5.5</v>
      </c>
      <c r="S238" s="5"/>
    </row>
    <row r="239" customFormat="false" ht="14.25" hidden="false" customHeight="false" outlineLevel="0" collapsed="false">
      <c r="A239" s="5" t="n">
        <v>526</v>
      </c>
      <c r="B239" s="5" t="s">
        <v>571</v>
      </c>
      <c r="C239" s="5" t="n">
        <v>15</v>
      </c>
      <c r="D239" s="0" t="n">
        <f aca="false">VLOOKUP($A239,'[2]Sheet 1'!$A$2:$Q$3504,4,FALSE())</f>
        <v>50</v>
      </c>
      <c r="E239" s="0" t="n">
        <f aca="false">VLOOKUP($A239,'[2]Sheet 1'!$A$2:$Q$3504,5,FALSE())</f>
        <v>1</v>
      </c>
      <c r="F239" s="0" t="n">
        <f aca="false">VLOOKUP($A239,'[2]Sheet 1'!$A$2:$Q$3504,6,FALSE())</f>
        <v>1.1</v>
      </c>
      <c r="G239" s="0" t="n">
        <f aca="false">VLOOKUP($A239,'[2]Sheet 1'!$A$2:$Q$3504,7,FALSE())</f>
        <v>0.2</v>
      </c>
      <c r="H239" s="0" t="n">
        <f aca="false">VLOOKUP($A239,'[2]Sheet 1'!$A$2:$Q$3504,8,FALSE())</f>
        <v>0.6</v>
      </c>
      <c r="I239" s="0" t="n">
        <f aca="false">VLOOKUP($A239,'[2]Sheet 1'!$A$2:$Q$3504,9,FALSE())</f>
        <v>17</v>
      </c>
      <c r="J239" s="0" t="n">
        <f aca="false">VLOOKUP($A239,'[2]Sheet 1'!$A$2:$Q$3504,10,FALSE())</f>
        <v>9</v>
      </c>
      <c r="K239" s="0" t="n">
        <f aca="false">VLOOKUP($A239,'[2]Sheet 1'!$A$2:$Q$3504,11,FALSE())</f>
        <v>0.055</v>
      </c>
      <c r="L239" s="0" t="n">
        <f aca="false">VLOOKUP($A239,'[2]Sheet 1'!$A$2:$Q$3504,12,FALSE())</f>
        <v>2.8</v>
      </c>
      <c r="M239" s="0" t="n">
        <f aca="false">VLOOKUP($A239,'[2]Sheet 1'!$A$2:$Q$3504,13,FALSE())</f>
        <v>296</v>
      </c>
      <c r="N239" s="0" t="n">
        <f aca="false">VLOOKUP($A239,'[2]Sheet 1'!$A$2:$Q$3504,14,FALSE())</f>
        <v>0.89</v>
      </c>
      <c r="O239" s="0" t="n">
        <f aca="false">VLOOKUP($A239,'[2]Sheet 1'!$A$2:$Q$3504,15,FALSE())</f>
        <v>0</v>
      </c>
      <c r="P239" s="0" t="n">
        <f aca="false">VLOOKUP($A239,'[2]Sheet 1'!$A$2:$Q$3504,16,FALSE())</f>
        <v>3.3</v>
      </c>
      <c r="Q239" s="0" t="n">
        <f aca="false">VLOOKUP($A239,'[2]Sheet 1'!$A$2:$Q$3504,17,FALSE())</f>
        <v>96</v>
      </c>
      <c r="S239" s="5"/>
    </row>
    <row r="240" customFormat="false" ht="14.25" hidden="false" customHeight="false" outlineLevel="0" collapsed="false">
      <c r="A240" s="5" t="n">
        <v>527</v>
      </c>
      <c r="B240" s="5" t="s">
        <v>573</v>
      </c>
      <c r="C240" s="5" t="n">
        <v>85</v>
      </c>
      <c r="D240" s="0" t="n">
        <f aca="false">VLOOKUP($A240,'[2]Sheet 1'!$A$2:$Q$3504,4,FALSE())</f>
        <v>50</v>
      </c>
      <c r="E240" s="0" t="n">
        <f aca="false">VLOOKUP($A240,'[2]Sheet 1'!$A$2:$Q$3504,5,FALSE())</f>
        <v>1</v>
      </c>
      <c r="F240" s="0" t="n">
        <f aca="false">VLOOKUP($A240,'[2]Sheet 1'!$A$2:$Q$3504,6,FALSE())</f>
        <v>1.1</v>
      </c>
      <c r="G240" s="0" t="n">
        <f aca="false">VLOOKUP($A240,'[2]Sheet 1'!$A$2:$Q$3504,7,FALSE())</f>
        <v>0.2</v>
      </c>
      <c r="H240" s="0" t="n">
        <f aca="false">VLOOKUP($A240,'[2]Sheet 1'!$A$2:$Q$3504,8,FALSE())</f>
        <v>0.6</v>
      </c>
      <c r="I240" s="0" t="n">
        <f aca="false">VLOOKUP($A240,'[2]Sheet 1'!$A$2:$Q$3504,9,FALSE())</f>
        <v>17</v>
      </c>
      <c r="J240" s="0" t="n">
        <f aca="false">VLOOKUP($A240,'[2]Sheet 1'!$A$2:$Q$3504,10,FALSE())</f>
        <v>9</v>
      </c>
      <c r="K240" s="0" t="n">
        <f aca="false">VLOOKUP($A240,'[2]Sheet 1'!$A$2:$Q$3504,11,FALSE())</f>
        <v>0.055</v>
      </c>
      <c r="L240" s="0" t="n">
        <f aca="false">VLOOKUP($A240,'[2]Sheet 1'!$A$2:$Q$3504,12,FALSE())</f>
        <v>2.8</v>
      </c>
      <c r="M240" s="0" t="n">
        <f aca="false">VLOOKUP($A240,'[2]Sheet 1'!$A$2:$Q$3504,13,FALSE())</f>
        <v>296</v>
      </c>
      <c r="N240" s="0" t="n">
        <f aca="false">VLOOKUP($A240,'[2]Sheet 1'!$A$2:$Q$3504,14,FALSE())</f>
        <v>0.89</v>
      </c>
      <c r="O240" s="0" t="n">
        <f aca="false">VLOOKUP($A240,'[2]Sheet 1'!$A$2:$Q$3504,15,FALSE())</f>
        <v>0</v>
      </c>
      <c r="P240" s="0" t="n">
        <f aca="false">VLOOKUP($A240,'[2]Sheet 1'!$A$2:$Q$3504,16,FALSE())</f>
        <v>3.3</v>
      </c>
      <c r="Q240" s="0" t="n">
        <f aca="false">VLOOKUP($A240,'[2]Sheet 1'!$A$2:$Q$3504,17,FALSE())</f>
        <v>96</v>
      </c>
      <c r="S240" s="5"/>
    </row>
    <row r="241" customFormat="false" ht="14.25" hidden="false" customHeight="false" outlineLevel="0" collapsed="false">
      <c r="A241" s="5" t="n">
        <v>530</v>
      </c>
      <c r="B241" s="5" t="s">
        <v>575</v>
      </c>
      <c r="C241" s="5" t="n">
        <v>10</v>
      </c>
      <c r="D241" s="0" t="n">
        <f aca="false">VLOOKUP($A241,'[2]Sheet 1'!$A$2:$Q$3504,4,FALSE())</f>
        <v>46</v>
      </c>
      <c r="E241" s="0" t="n">
        <f aca="false">VLOOKUP($A241,'[2]Sheet 1'!$A$2:$Q$3504,5,FALSE())</f>
        <v>1.1</v>
      </c>
      <c r="F241" s="0" t="n">
        <f aca="false">VLOOKUP($A241,'[2]Sheet 1'!$A$2:$Q$3504,6,FALSE())</f>
        <v>1.2</v>
      </c>
      <c r="G241" s="0" t="n">
        <f aca="false">VLOOKUP($A241,'[2]Sheet 1'!$A$2:$Q$3504,7,FALSE())</f>
        <v>0.165</v>
      </c>
      <c r="H241" s="0" t="n">
        <f aca="false">VLOOKUP($A241,'[2]Sheet 1'!$A$2:$Q$3504,8,FALSE())</f>
        <v>0.4</v>
      </c>
      <c r="I241" s="0" t="n">
        <f aca="false">VLOOKUP($A241,'[2]Sheet 1'!$A$2:$Q$3504,9,FALSE())</f>
        <v>14</v>
      </c>
      <c r="J241" s="0" t="n">
        <f aca="false">VLOOKUP($A241,'[2]Sheet 1'!$A$2:$Q$3504,10,FALSE())</f>
        <v>8</v>
      </c>
      <c r="K241" s="0" t="n">
        <f aca="false">VLOOKUP($A241,'[2]Sheet 1'!$A$2:$Q$3504,11,FALSE())</f>
        <v>0.03</v>
      </c>
      <c r="L241" s="0" t="n">
        <f aca="false">VLOOKUP($A241,'[2]Sheet 1'!$A$2:$Q$3504,12,FALSE())</f>
        <v>6.1</v>
      </c>
      <c r="M241" s="0" t="n">
        <f aca="false">VLOOKUP($A241,'[2]Sheet 1'!$A$2:$Q$3504,13,FALSE())</f>
        <v>173</v>
      </c>
      <c r="N241" s="0" t="n">
        <f aca="false">VLOOKUP($A241,'[2]Sheet 1'!$A$2:$Q$3504,14,FALSE())</f>
        <v>0.07</v>
      </c>
      <c r="O241" s="0" t="n">
        <f aca="false">VLOOKUP($A241,'[2]Sheet 1'!$A$2:$Q$3504,15,FALSE())</f>
        <v>0</v>
      </c>
      <c r="P241" s="0" t="n">
        <f aca="false">VLOOKUP($A241,'[2]Sheet 1'!$A$2:$Q$3504,16,FALSE())</f>
        <v>2.1</v>
      </c>
      <c r="Q241" s="0" t="n">
        <f aca="false">VLOOKUP($A241,'[2]Sheet 1'!$A$2:$Q$3504,17,FALSE())</f>
        <v>49.5</v>
      </c>
      <c r="S241" s="5"/>
    </row>
    <row r="242" customFormat="false" ht="14.25" hidden="false" customHeight="false" outlineLevel="0" collapsed="false">
      <c r="A242" s="5" t="n">
        <v>531</v>
      </c>
      <c r="B242" s="5" t="s">
        <v>577</v>
      </c>
      <c r="C242" s="5" t="n">
        <v>20</v>
      </c>
      <c r="D242" s="0" t="n">
        <f aca="false">VLOOKUP($A242,'[2]Sheet 1'!$A$2:$Q$3504,4,FALSE())</f>
        <v>63</v>
      </c>
      <c r="E242" s="0" t="n">
        <f aca="false">VLOOKUP($A242,'[2]Sheet 1'!$A$2:$Q$3504,5,FALSE())</f>
        <v>1.08</v>
      </c>
      <c r="F242" s="0" t="n">
        <f aca="false">VLOOKUP($A242,'[2]Sheet 1'!$A$2:$Q$3504,6,FALSE())</f>
        <v>1.05</v>
      </c>
      <c r="G242" s="0" t="n">
        <f aca="false">VLOOKUP($A242,'[2]Sheet 1'!$A$2:$Q$3504,7,FALSE())</f>
        <v>0.07</v>
      </c>
      <c r="H242" s="0" t="n">
        <f aca="false">VLOOKUP($A242,'[2]Sheet 1'!$A$2:$Q$3504,8,FALSE())</f>
        <v>0.38</v>
      </c>
      <c r="I242" s="0" t="n">
        <f aca="false">VLOOKUP($A242,'[2]Sheet 1'!$A$2:$Q$3504,9,FALSE())</f>
        <v>24</v>
      </c>
      <c r="J242" s="0" t="n">
        <f aca="false">VLOOKUP($A242,'[2]Sheet 1'!$A$2:$Q$3504,10,FALSE())</f>
        <v>4</v>
      </c>
      <c r="K242" s="0" t="n">
        <f aca="false">VLOOKUP($A242,'[2]Sheet 1'!$A$2:$Q$3504,11,FALSE())</f>
        <v>0.033</v>
      </c>
      <c r="L242" s="0" t="n">
        <f aca="false">VLOOKUP($A242,'[2]Sheet 1'!$A$2:$Q$3504,12,FALSE())</f>
        <v>6.1</v>
      </c>
      <c r="M242" s="0" t="n">
        <f aca="false">VLOOKUP($A242,'[2]Sheet 1'!$A$2:$Q$3504,13,FALSE())</f>
        <v>248.5</v>
      </c>
      <c r="N242" s="0" t="n">
        <f aca="false">VLOOKUP($A242,'[2]Sheet 1'!$A$2:$Q$3504,14,FALSE())</f>
        <v>0.07</v>
      </c>
      <c r="O242" s="0" t="n">
        <f aca="false">VLOOKUP($A242,'[2]Sheet 1'!$A$2:$Q$3504,15,FALSE())</f>
        <v>0</v>
      </c>
      <c r="P242" s="0" t="n">
        <f aca="false">VLOOKUP($A242,'[2]Sheet 1'!$A$2:$Q$3504,16,FALSE())</f>
        <v>2.1</v>
      </c>
      <c r="Q242" s="0" t="n">
        <f aca="false">VLOOKUP($A242,'[2]Sheet 1'!$A$2:$Q$3504,17,FALSE())</f>
        <v>26</v>
      </c>
      <c r="S242" s="5"/>
    </row>
    <row r="243" customFormat="false" ht="14.25" hidden="false" customHeight="false" outlineLevel="0" collapsed="false">
      <c r="A243" s="5" t="n">
        <v>534</v>
      </c>
      <c r="B243" s="5" t="s">
        <v>579</v>
      </c>
      <c r="C243" s="5" t="n">
        <v>11</v>
      </c>
      <c r="D243" s="0" t="n">
        <f aca="false">VLOOKUP($A243,'[2]Sheet 1'!$A$2:$Q$3504,4,FALSE())</f>
        <v>47</v>
      </c>
      <c r="E243" s="0" t="n">
        <f aca="false">VLOOKUP($A243,'[2]Sheet 1'!$A$2:$Q$3504,5,FALSE())</f>
        <v>0.9</v>
      </c>
      <c r="F243" s="0" t="n">
        <f aca="false">VLOOKUP($A243,'[2]Sheet 1'!$A$2:$Q$3504,6,FALSE())</f>
        <v>1</v>
      </c>
      <c r="G243" s="0" t="n">
        <f aca="false">VLOOKUP($A243,'[2]Sheet 1'!$A$2:$Q$3504,7,FALSE())</f>
        <v>0.14</v>
      </c>
      <c r="H243" s="0" t="n">
        <f aca="false">VLOOKUP($A243,'[2]Sheet 1'!$A$2:$Q$3504,8,FALSE())</f>
        <v>0.4</v>
      </c>
      <c r="I243" s="0" t="n">
        <f aca="false">VLOOKUP($A243,'[2]Sheet 1'!$A$2:$Q$3504,9,FALSE())</f>
        <v>10</v>
      </c>
      <c r="J243" s="0" t="n">
        <f aca="false">VLOOKUP($A243,'[2]Sheet 1'!$A$2:$Q$3504,10,FALSE())</f>
        <v>4.5</v>
      </c>
      <c r="K243" s="0" t="n">
        <f aca="false">VLOOKUP($A243,'[2]Sheet 1'!$A$2:$Q$3504,11,FALSE())</f>
        <v>0.04</v>
      </c>
      <c r="L243" s="0" t="n">
        <f aca="false">VLOOKUP($A243,'[2]Sheet 1'!$A$2:$Q$3504,12,FALSE())</f>
        <v>6.15</v>
      </c>
      <c r="M243" s="0" t="n">
        <f aca="false">VLOOKUP($A243,'[2]Sheet 1'!$A$2:$Q$3504,13,FALSE())</f>
        <v>202</v>
      </c>
      <c r="N243" s="0" t="n">
        <f aca="false">VLOOKUP($A243,'[2]Sheet 1'!$A$2:$Q$3504,14,FALSE())</f>
        <v>0.77</v>
      </c>
      <c r="O243" s="0" t="n">
        <f aca="false">VLOOKUP($A243,'[2]Sheet 1'!$A$2:$Q$3504,15,FALSE())</f>
        <v>0</v>
      </c>
      <c r="P243" s="0" t="n">
        <f aca="false">VLOOKUP($A243,'[2]Sheet 1'!$A$2:$Q$3504,16,FALSE())</f>
        <v>2.2</v>
      </c>
      <c r="Q243" s="0" t="n">
        <f aca="false">VLOOKUP($A243,'[2]Sheet 1'!$A$2:$Q$3504,17,FALSE())</f>
        <v>9</v>
      </c>
      <c r="S243" s="5"/>
    </row>
    <row r="244" customFormat="false" ht="14.25" hidden="false" customHeight="false" outlineLevel="0" collapsed="false">
      <c r="A244" s="5" t="n">
        <v>536</v>
      </c>
      <c r="B244" s="5" t="s">
        <v>581</v>
      </c>
      <c r="C244" s="5" t="n">
        <v>19</v>
      </c>
      <c r="D244" s="0" t="n">
        <f aca="false">VLOOKUP($A244,'[2]Sheet 1'!$A$2:$Q$3504,4,FALSE())</f>
        <v>49</v>
      </c>
      <c r="E244" s="0" t="n">
        <f aca="false">VLOOKUP($A244,'[2]Sheet 1'!$A$2:$Q$3504,5,FALSE())</f>
        <v>0.7</v>
      </c>
      <c r="F244" s="0" t="n">
        <f aca="false">VLOOKUP($A244,'[2]Sheet 1'!$A$2:$Q$3504,6,FALSE())</f>
        <v>1.1</v>
      </c>
      <c r="G244" s="0" t="n">
        <f aca="false">VLOOKUP($A244,'[2]Sheet 1'!$A$2:$Q$3504,7,FALSE())</f>
        <v>0.1</v>
      </c>
      <c r="H244" s="0" t="n">
        <f aca="false">VLOOKUP($A244,'[2]Sheet 1'!$A$2:$Q$3504,8,FALSE())</f>
        <v>0.6</v>
      </c>
      <c r="I244" s="0" t="n">
        <f aca="false">VLOOKUP($A244,'[2]Sheet 1'!$A$2:$Q$3504,9,FALSE())</f>
        <v>15</v>
      </c>
      <c r="J244" s="0" t="n">
        <f aca="false">VLOOKUP($A244,'[2]Sheet 1'!$A$2:$Q$3504,10,FALSE())</f>
        <v>5</v>
      </c>
      <c r="K244" s="0" t="n">
        <f aca="false">VLOOKUP($A244,'[2]Sheet 1'!$A$2:$Q$3504,11,FALSE())</f>
        <v>0.06</v>
      </c>
      <c r="L244" s="0" t="n">
        <f aca="false">VLOOKUP($A244,'[2]Sheet 1'!$A$2:$Q$3504,12,FALSE())</f>
        <v>1.9</v>
      </c>
      <c r="M244" s="0" t="n">
        <f aca="false">VLOOKUP($A244,'[2]Sheet 1'!$A$2:$Q$3504,13,FALSE())</f>
        <v>172</v>
      </c>
      <c r="N244" s="0" t="n">
        <f aca="false">VLOOKUP($A244,'[2]Sheet 1'!$A$2:$Q$3504,14,FALSE())</f>
        <v>0.26</v>
      </c>
      <c r="O244" s="0" t="n">
        <f aca="false">VLOOKUP($A244,'[2]Sheet 1'!$A$2:$Q$3504,15,FALSE())</f>
        <v>0</v>
      </c>
      <c r="P244" s="0" t="n">
        <f aca="false">VLOOKUP($A244,'[2]Sheet 1'!$A$2:$Q$3504,16,FALSE())</f>
        <v>6.4</v>
      </c>
      <c r="Q244" s="0" t="n">
        <f aca="false">VLOOKUP($A244,'[2]Sheet 1'!$A$2:$Q$3504,17,FALSE())</f>
        <v>22.5</v>
      </c>
      <c r="S244" s="5"/>
    </row>
    <row r="245" customFormat="false" ht="14.25" hidden="false" customHeight="false" outlineLevel="0" collapsed="false">
      <c r="A245" s="5" t="n">
        <v>537</v>
      </c>
      <c r="B245" s="5" t="s">
        <v>583</v>
      </c>
      <c r="C245" s="5" t="n">
        <v>85</v>
      </c>
      <c r="D245" s="0" t="n">
        <f aca="false">VLOOKUP($A245,'[2]Sheet 1'!$A$2:$Q$3504,4,FALSE())</f>
        <v>49</v>
      </c>
      <c r="E245" s="0" t="n">
        <f aca="false">VLOOKUP($A245,'[2]Sheet 1'!$A$2:$Q$3504,5,FALSE())</f>
        <v>0.7</v>
      </c>
      <c r="F245" s="0" t="n">
        <f aca="false">VLOOKUP($A245,'[2]Sheet 1'!$A$2:$Q$3504,6,FALSE())</f>
        <v>1.1</v>
      </c>
      <c r="G245" s="0" t="n">
        <f aca="false">VLOOKUP($A245,'[2]Sheet 1'!$A$2:$Q$3504,7,FALSE())</f>
        <v>0.1</v>
      </c>
      <c r="H245" s="0" t="n">
        <f aca="false">VLOOKUP($A245,'[2]Sheet 1'!$A$2:$Q$3504,8,FALSE())</f>
        <v>0.6</v>
      </c>
      <c r="I245" s="0" t="n">
        <f aca="false">VLOOKUP($A245,'[2]Sheet 1'!$A$2:$Q$3504,9,FALSE())</f>
        <v>15</v>
      </c>
      <c r="J245" s="0" t="n">
        <f aca="false">VLOOKUP($A245,'[2]Sheet 1'!$A$2:$Q$3504,10,FALSE())</f>
        <v>5</v>
      </c>
      <c r="K245" s="0" t="n">
        <f aca="false">VLOOKUP($A245,'[2]Sheet 1'!$A$2:$Q$3504,11,FALSE())</f>
        <v>0.06</v>
      </c>
      <c r="L245" s="0" t="n">
        <f aca="false">VLOOKUP($A245,'[2]Sheet 1'!$A$2:$Q$3504,12,FALSE())</f>
        <v>1.9</v>
      </c>
      <c r="M245" s="0" t="n">
        <f aca="false">VLOOKUP($A245,'[2]Sheet 1'!$A$2:$Q$3504,13,FALSE())</f>
        <v>172</v>
      </c>
      <c r="N245" s="0" t="n">
        <f aca="false">VLOOKUP($A245,'[2]Sheet 1'!$A$2:$Q$3504,14,FALSE())</f>
        <v>0.26</v>
      </c>
      <c r="O245" s="0" t="n">
        <f aca="false">VLOOKUP($A245,'[2]Sheet 1'!$A$2:$Q$3504,15,FALSE())</f>
        <v>0</v>
      </c>
      <c r="P245" s="0" t="n">
        <f aca="false">VLOOKUP($A245,'[2]Sheet 1'!$A$2:$Q$3504,16,FALSE())</f>
        <v>6.4</v>
      </c>
      <c r="Q245" s="0" t="n">
        <f aca="false">VLOOKUP($A245,'[2]Sheet 1'!$A$2:$Q$3504,17,FALSE())</f>
        <v>22.5</v>
      </c>
      <c r="S245" s="5"/>
    </row>
    <row r="246" customFormat="false" ht="14.25" hidden="false" customHeight="false" outlineLevel="0" collapsed="false">
      <c r="A246" s="5" t="n">
        <v>539</v>
      </c>
      <c r="B246" s="5" t="s">
        <v>586</v>
      </c>
      <c r="C246" s="5" t="n">
        <v>10</v>
      </c>
      <c r="D246" s="0" t="n">
        <f aca="false">VLOOKUP($A246,'[2]Sheet 1'!$A$2:$Q$3504,4,FALSE())</f>
        <v>53</v>
      </c>
      <c r="E246" s="0" t="n">
        <f aca="false">VLOOKUP($A246,'[2]Sheet 1'!$A$2:$Q$3504,5,FALSE())</f>
        <v>0.2</v>
      </c>
      <c r="F246" s="0" t="n">
        <f aca="false">VLOOKUP($A246,'[2]Sheet 1'!$A$2:$Q$3504,6,FALSE())</f>
        <v>0.2</v>
      </c>
      <c r="G246" s="0" t="n">
        <f aca="false">VLOOKUP($A246,'[2]Sheet 1'!$A$2:$Q$3504,7,FALSE())</f>
        <v>0.06</v>
      </c>
      <c r="H246" s="0" t="n">
        <f aca="false">VLOOKUP($A246,'[2]Sheet 1'!$A$2:$Q$3504,8,FALSE())</f>
        <v>0.26</v>
      </c>
      <c r="I246" s="0" t="n">
        <f aca="false">VLOOKUP($A246,'[2]Sheet 1'!$A$2:$Q$3504,9,FALSE())</f>
        <v>9</v>
      </c>
      <c r="J246" s="0" t="n">
        <f aca="false">VLOOKUP($A246,'[2]Sheet 1'!$A$2:$Q$3504,10,FALSE())</f>
        <v>7</v>
      </c>
      <c r="K246" s="0" t="n">
        <f aca="false">VLOOKUP($A246,'[2]Sheet 1'!$A$2:$Q$3504,11,FALSE())</f>
        <v>0.0105</v>
      </c>
      <c r="L246" s="0" t="n">
        <f aca="false">VLOOKUP($A246,'[2]Sheet 1'!$A$2:$Q$3504,12,FALSE())</f>
        <v>2.1</v>
      </c>
      <c r="M246" s="0" t="n">
        <f aca="false">VLOOKUP($A246,'[2]Sheet 1'!$A$2:$Q$3504,13,FALSE())</f>
        <v>104.5</v>
      </c>
      <c r="N246" s="0" t="n">
        <f aca="false">VLOOKUP($A246,'[2]Sheet 1'!$A$2:$Q$3504,14,FALSE())</f>
        <v>0.2</v>
      </c>
      <c r="O246" s="0" t="n">
        <f aca="false">VLOOKUP($A246,'[2]Sheet 1'!$A$2:$Q$3504,15,FALSE())</f>
        <v>0</v>
      </c>
      <c r="P246" s="0" t="n">
        <f aca="false">VLOOKUP($A246,'[2]Sheet 1'!$A$2:$Q$3504,16,FALSE())</f>
        <v>0.1</v>
      </c>
      <c r="Q246" s="0" t="n">
        <f aca="false">VLOOKUP($A246,'[2]Sheet 1'!$A$2:$Q$3504,17,FALSE())</f>
        <v>7</v>
      </c>
      <c r="S246" s="5"/>
    </row>
    <row r="247" customFormat="false" ht="14.25" hidden="false" customHeight="false" outlineLevel="0" collapsed="false">
      <c r="A247" s="5" t="n">
        <v>541</v>
      </c>
      <c r="B247" s="5" t="s">
        <v>587</v>
      </c>
      <c r="C247" s="7" t="n">
        <v>50</v>
      </c>
      <c r="D247" s="0" t="e">
        <f aca="false">VLOOKUP($A247,'[2]Sheet 1'!$A$2:$Q$3504,4,FALSE())</f>
        <v>#N/A</v>
      </c>
      <c r="E247" s="0" t="e">
        <f aca="false">VLOOKUP($A247,'[2]Sheet 1'!$A$2:$Q$3504,5,FALSE())</f>
        <v>#N/A</v>
      </c>
      <c r="F247" s="0" t="e">
        <f aca="false">VLOOKUP($A247,'[2]Sheet 1'!$A$2:$Q$3504,6,FALSE())</f>
        <v>#N/A</v>
      </c>
      <c r="G247" s="0" t="e">
        <f aca="false">VLOOKUP($A247,'[2]Sheet 1'!$A$2:$Q$3504,7,FALSE())</f>
        <v>#N/A</v>
      </c>
      <c r="H247" s="0" t="e">
        <f aca="false">VLOOKUP($A247,'[2]Sheet 1'!$A$2:$Q$3504,8,FALSE())</f>
        <v>#N/A</v>
      </c>
      <c r="I247" s="0" t="e">
        <f aca="false">VLOOKUP($A247,'[2]Sheet 1'!$A$2:$Q$3504,9,FALSE())</f>
        <v>#N/A</v>
      </c>
      <c r="J247" s="0" t="e">
        <f aca="false">VLOOKUP($A247,'[2]Sheet 1'!$A$2:$Q$3504,10,FALSE())</f>
        <v>#N/A</v>
      </c>
      <c r="K247" s="0" t="e">
        <f aca="false">VLOOKUP($A247,'[2]Sheet 1'!$A$2:$Q$3504,11,FALSE())</f>
        <v>#N/A</v>
      </c>
      <c r="L247" s="0" t="e">
        <f aca="false">VLOOKUP($A247,'[2]Sheet 1'!$A$2:$Q$3504,12,FALSE())</f>
        <v>#N/A</v>
      </c>
      <c r="M247" s="0" t="e">
        <f aca="false">VLOOKUP($A247,'[2]Sheet 1'!$A$2:$Q$3504,13,FALSE())</f>
        <v>#N/A</v>
      </c>
      <c r="N247" s="0" t="e">
        <f aca="false">VLOOKUP($A247,'[2]Sheet 1'!$A$2:$Q$3504,14,FALSE())</f>
        <v>#N/A</v>
      </c>
      <c r="O247" s="0" t="e">
        <f aca="false">VLOOKUP($A247,'[2]Sheet 1'!$A$2:$Q$3504,15,FALSE())</f>
        <v>#N/A</v>
      </c>
      <c r="P247" s="0" t="e">
        <f aca="false">VLOOKUP($A247,'[2]Sheet 1'!$A$2:$Q$3504,16,FALSE())</f>
        <v>#N/A</v>
      </c>
      <c r="Q247" s="0" t="e">
        <f aca="false">VLOOKUP($A247,'[2]Sheet 1'!$A$2:$Q$3504,17,FALSE())</f>
        <v>#N/A</v>
      </c>
      <c r="S247" s="7"/>
    </row>
    <row r="248" customFormat="false" ht="14.25" hidden="false" customHeight="false" outlineLevel="0" collapsed="false">
      <c r="A248" s="5" t="n">
        <v>542</v>
      </c>
      <c r="B248" s="5" t="s">
        <v>589</v>
      </c>
      <c r="C248" s="7" t="n">
        <v>50</v>
      </c>
      <c r="D248" s="0" t="e">
        <f aca="false">VLOOKUP($A248,'[2]Sheet 1'!$A$2:$Q$3504,4,FALSE())</f>
        <v>#N/A</v>
      </c>
      <c r="E248" s="0" t="e">
        <f aca="false">VLOOKUP($A248,'[2]Sheet 1'!$A$2:$Q$3504,5,FALSE())</f>
        <v>#N/A</v>
      </c>
      <c r="F248" s="0" t="e">
        <f aca="false">VLOOKUP($A248,'[2]Sheet 1'!$A$2:$Q$3504,6,FALSE())</f>
        <v>#N/A</v>
      </c>
      <c r="G248" s="0" t="e">
        <f aca="false">VLOOKUP($A248,'[2]Sheet 1'!$A$2:$Q$3504,7,FALSE())</f>
        <v>#N/A</v>
      </c>
      <c r="H248" s="0" t="e">
        <f aca="false">VLOOKUP($A248,'[2]Sheet 1'!$A$2:$Q$3504,8,FALSE())</f>
        <v>#N/A</v>
      </c>
      <c r="I248" s="0" t="e">
        <f aca="false">VLOOKUP($A248,'[2]Sheet 1'!$A$2:$Q$3504,9,FALSE())</f>
        <v>#N/A</v>
      </c>
      <c r="J248" s="0" t="e">
        <f aca="false">VLOOKUP($A248,'[2]Sheet 1'!$A$2:$Q$3504,10,FALSE())</f>
        <v>#N/A</v>
      </c>
      <c r="K248" s="0" t="e">
        <f aca="false">VLOOKUP($A248,'[2]Sheet 1'!$A$2:$Q$3504,11,FALSE())</f>
        <v>#N/A</v>
      </c>
      <c r="L248" s="0" t="e">
        <f aca="false">VLOOKUP($A248,'[2]Sheet 1'!$A$2:$Q$3504,12,FALSE())</f>
        <v>#N/A</v>
      </c>
      <c r="M248" s="0" t="e">
        <f aca="false">VLOOKUP($A248,'[2]Sheet 1'!$A$2:$Q$3504,13,FALSE())</f>
        <v>#N/A</v>
      </c>
      <c r="N248" s="0" t="e">
        <f aca="false">VLOOKUP($A248,'[2]Sheet 1'!$A$2:$Q$3504,14,FALSE())</f>
        <v>#N/A</v>
      </c>
      <c r="O248" s="0" t="e">
        <f aca="false">VLOOKUP($A248,'[2]Sheet 1'!$A$2:$Q$3504,15,FALSE())</f>
        <v>#N/A</v>
      </c>
      <c r="P248" s="0" t="e">
        <f aca="false">VLOOKUP($A248,'[2]Sheet 1'!$A$2:$Q$3504,16,FALSE())</f>
        <v>#N/A</v>
      </c>
      <c r="Q248" s="0" t="e">
        <f aca="false">VLOOKUP($A248,'[2]Sheet 1'!$A$2:$Q$3504,17,FALSE())</f>
        <v>#N/A</v>
      </c>
      <c r="S248" s="7"/>
    </row>
    <row r="249" customFormat="false" ht="14.25" hidden="false" customHeight="false" outlineLevel="0" collapsed="false">
      <c r="A249" s="5" t="n">
        <v>544</v>
      </c>
      <c r="B249" s="5" t="s">
        <v>591</v>
      </c>
      <c r="C249" s="5" t="n">
        <v>10</v>
      </c>
      <c r="D249" s="0" t="n">
        <f aca="false">VLOOKUP($A249,'[2]Sheet 1'!$A$2:$Q$3504,4,FALSE())</f>
        <v>32</v>
      </c>
      <c r="E249" s="0" t="n">
        <f aca="false">VLOOKUP($A249,'[2]Sheet 1'!$A$2:$Q$3504,5,FALSE())</f>
        <v>0.8</v>
      </c>
      <c r="F249" s="0" t="n">
        <f aca="false">VLOOKUP($A249,'[2]Sheet 1'!$A$2:$Q$3504,6,FALSE())</f>
        <v>1.55</v>
      </c>
      <c r="G249" s="0" t="n">
        <f aca="false">VLOOKUP($A249,'[2]Sheet 1'!$A$2:$Q$3504,7,FALSE())</f>
        <v>0.14</v>
      </c>
      <c r="H249" s="0" t="n">
        <f aca="false">VLOOKUP($A249,'[2]Sheet 1'!$A$2:$Q$3504,8,FALSE())</f>
        <v>0.755</v>
      </c>
      <c r="I249" s="0" t="n">
        <f aca="false">VLOOKUP($A249,'[2]Sheet 1'!$A$2:$Q$3504,9,FALSE())</f>
        <v>21.5</v>
      </c>
      <c r="J249" s="0" t="n">
        <f aca="false">VLOOKUP($A249,'[2]Sheet 1'!$A$2:$Q$3504,10,FALSE())</f>
        <v>24</v>
      </c>
      <c r="K249" s="0" t="n">
        <f aca="false">VLOOKUP($A249,'[2]Sheet 1'!$A$2:$Q$3504,11,FALSE())</f>
        <v>0.05</v>
      </c>
      <c r="L249" s="0" t="n">
        <f aca="false">VLOOKUP($A249,'[2]Sheet 1'!$A$2:$Q$3504,12,FALSE())</f>
        <v>5.7</v>
      </c>
      <c r="M249" s="0" t="n">
        <f aca="false">VLOOKUP($A249,'[2]Sheet 1'!$A$2:$Q$3504,13,FALSE())</f>
        <v>157</v>
      </c>
      <c r="N249" s="0" t="n">
        <f aca="false">VLOOKUP($A249,'[2]Sheet 1'!$A$2:$Q$3504,14,FALSE())</f>
        <v>0.29</v>
      </c>
      <c r="O249" s="0" t="n">
        <f aca="false">VLOOKUP($A249,'[2]Sheet 1'!$A$2:$Q$3504,15,FALSE())</f>
        <v>0</v>
      </c>
      <c r="P249" s="0" t="n">
        <f aca="false">VLOOKUP($A249,'[2]Sheet 1'!$A$2:$Q$3504,16,FALSE())</f>
        <v>2.2</v>
      </c>
      <c r="Q249" s="0" t="n">
        <f aca="false">VLOOKUP($A249,'[2]Sheet 1'!$A$2:$Q$3504,17,FALSE())</f>
        <v>4.5</v>
      </c>
      <c r="S249" s="5"/>
    </row>
    <row r="250" customFormat="false" ht="14.25" hidden="false" customHeight="false" outlineLevel="0" collapsed="false">
      <c r="A250" s="5" t="n">
        <v>547</v>
      </c>
      <c r="B250" s="5" t="s">
        <v>593</v>
      </c>
      <c r="C250" s="7" t="n">
        <v>50</v>
      </c>
      <c r="D250" s="0" t="e">
        <f aca="false">VLOOKUP($A250,'[2]Sheet 1'!$A$2:$Q$3504,4,FALSE())</f>
        <v>#N/A</v>
      </c>
      <c r="E250" s="0" t="e">
        <f aca="false">VLOOKUP($A250,'[2]Sheet 1'!$A$2:$Q$3504,5,FALSE())</f>
        <v>#N/A</v>
      </c>
      <c r="F250" s="0" t="e">
        <f aca="false">VLOOKUP($A250,'[2]Sheet 1'!$A$2:$Q$3504,6,FALSE())</f>
        <v>#N/A</v>
      </c>
      <c r="G250" s="0" t="e">
        <f aca="false">VLOOKUP($A250,'[2]Sheet 1'!$A$2:$Q$3504,7,FALSE())</f>
        <v>#N/A</v>
      </c>
      <c r="H250" s="0" t="e">
        <f aca="false">VLOOKUP($A250,'[2]Sheet 1'!$A$2:$Q$3504,8,FALSE())</f>
        <v>#N/A</v>
      </c>
      <c r="I250" s="0" t="e">
        <f aca="false">VLOOKUP($A250,'[2]Sheet 1'!$A$2:$Q$3504,9,FALSE())</f>
        <v>#N/A</v>
      </c>
      <c r="J250" s="0" t="e">
        <f aca="false">VLOOKUP($A250,'[2]Sheet 1'!$A$2:$Q$3504,10,FALSE())</f>
        <v>#N/A</v>
      </c>
      <c r="K250" s="0" t="e">
        <f aca="false">VLOOKUP($A250,'[2]Sheet 1'!$A$2:$Q$3504,11,FALSE())</f>
        <v>#N/A</v>
      </c>
      <c r="L250" s="0" t="e">
        <f aca="false">VLOOKUP($A250,'[2]Sheet 1'!$A$2:$Q$3504,12,FALSE())</f>
        <v>#N/A</v>
      </c>
      <c r="M250" s="0" t="e">
        <f aca="false">VLOOKUP($A250,'[2]Sheet 1'!$A$2:$Q$3504,13,FALSE())</f>
        <v>#N/A</v>
      </c>
      <c r="N250" s="0" t="e">
        <f aca="false">VLOOKUP($A250,'[2]Sheet 1'!$A$2:$Q$3504,14,FALSE())</f>
        <v>#N/A</v>
      </c>
      <c r="O250" s="0" t="e">
        <f aca="false">VLOOKUP($A250,'[2]Sheet 1'!$A$2:$Q$3504,15,FALSE())</f>
        <v>#N/A</v>
      </c>
      <c r="P250" s="0" t="e">
        <f aca="false">VLOOKUP($A250,'[2]Sheet 1'!$A$2:$Q$3504,16,FALSE())</f>
        <v>#N/A</v>
      </c>
      <c r="Q250" s="0" t="e">
        <f aca="false">VLOOKUP($A250,'[2]Sheet 1'!$A$2:$Q$3504,17,FALSE())</f>
        <v>#N/A</v>
      </c>
      <c r="S250" s="7"/>
    </row>
    <row r="251" customFormat="false" ht="14.25" hidden="false" customHeight="false" outlineLevel="0" collapsed="false">
      <c r="A251" s="5" t="n">
        <v>549</v>
      </c>
      <c r="B251" s="5" t="s">
        <v>595</v>
      </c>
      <c r="C251" s="5" t="n">
        <v>11</v>
      </c>
      <c r="D251" s="0" t="n">
        <f aca="false">VLOOKUP($A251,'[2]Sheet 1'!$A$2:$Q$3504,4,FALSE())</f>
        <v>58</v>
      </c>
      <c r="E251" s="0" t="n">
        <f aca="false">VLOOKUP($A251,'[2]Sheet 1'!$A$2:$Q$3504,5,FALSE())</f>
        <v>0.89</v>
      </c>
      <c r="F251" s="0" t="n">
        <f aca="false">VLOOKUP($A251,'[2]Sheet 1'!$A$2:$Q$3504,6,FALSE())</f>
        <v>3.6</v>
      </c>
      <c r="G251" s="0" t="n">
        <f aca="false">VLOOKUP($A251,'[2]Sheet 1'!$A$2:$Q$3504,7,FALSE())</f>
        <v>0.12</v>
      </c>
      <c r="H251" s="0" t="n">
        <f aca="false">VLOOKUP($A251,'[2]Sheet 1'!$A$2:$Q$3504,8,FALSE())</f>
        <v>0.405</v>
      </c>
      <c r="I251" s="0" t="n">
        <f aca="false">VLOOKUP($A251,'[2]Sheet 1'!$A$2:$Q$3504,9,FALSE())</f>
        <v>21.5</v>
      </c>
      <c r="J251" s="0" t="n">
        <f aca="false">VLOOKUP($A251,'[2]Sheet 1'!$A$2:$Q$3504,10,FALSE())</f>
        <v>6</v>
      </c>
      <c r="K251" s="0" t="n">
        <f aca="false">VLOOKUP($A251,'[2]Sheet 1'!$A$2:$Q$3504,11,FALSE())</f>
        <v>0.03</v>
      </c>
      <c r="L251" s="0" t="n">
        <f aca="false">VLOOKUP($A251,'[2]Sheet 1'!$A$2:$Q$3504,12,FALSE())</f>
        <v>0</v>
      </c>
      <c r="M251" s="0" t="n">
        <f aca="false">VLOOKUP($A251,'[2]Sheet 1'!$A$2:$Q$3504,13,FALSE())</f>
        <v>198</v>
      </c>
      <c r="N251" s="0" t="n">
        <f aca="false">VLOOKUP($A251,'[2]Sheet 1'!$A$2:$Q$3504,14,FALSE())</f>
        <v>0.37</v>
      </c>
      <c r="O251" s="0" t="n">
        <f aca="false">VLOOKUP($A251,'[2]Sheet 1'!$A$2:$Q$3504,15,FALSE())</f>
        <v>0</v>
      </c>
      <c r="P251" s="0" t="n">
        <f aca="false">VLOOKUP($A251,'[2]Sheet 1'!$A$2:$Q$3504,16,FALSE())</f>
        <v>0</v>
      </c>
      <c r="Q251" s="0" t="n">
        <f aca="false">VLOOKUP($A251,'[2]Sheet 1'!$A$2:$Q$3504,17,FALSE())</f>
        <v>15</v>
      </c>
      <c r="S251" s="5"/>
    </row>
    <row r="252" customFormat="false" ht="14.25" hidden="false" customHeight="false" outlineLevel="0" collapsed="false">
      <c r="A252" s="5" t="n">
        <v>550</v>
      </c>
      <c r="B252" s="5" t="s">
        <v>597</v>
      </c>
      <c r="C252" s="5" t="n">
        <v>16</v>
      </c>
      <c r="D252" s="0" t="n">
        <f aca="false">VLOOKUP($A252,'[2]Sheet 1'!$A$2:$Q$3504,4,FALSE())</f>
        <v>64.5</v>
      </c>
      <c r="E252" s="0" t="n">
        <f aca="false">VLOOKUP($A252,'[2]Sheet 1'!$A$2:$Q$3504,5,FALSE())</f>
        <v>1.4</v>
      </c>
      <c r="F252" s="0" t="n">
        <f aca="false">VLOOKUP($A252,'[2]Sheet 1'!$A$2:$Q$3504,6,FALSE())</f>
        <v>2.65</v>
      </c>
      <c r="G252" s="0" t="n">
        <f aca="false">VLOOKUP($A252,'[2]Sheet 1'!$A$2:$Q$3504,7,FALSE())</f>
        <v>0.27</v>
      </c>
      <c r="H252" s="0" t="n">
        <f aca="false">VLOOKUP($A252,'[2]Sheet 1'!$A$2:$Q$3504,8,FALSE())</f>
        <v>1.52</v>
      </c>
      <c r="I252" s="0" t="n">
        <f aca="false">VLOOKUP($A252,'[2]Sheet 1'!$A$2:$Q$3504,9,FALSE())</f>
        <v>55</v>
      </c>
      <c r="J252" s="0" t="n">
        <f aca="false">VLOOKUP($A252,'[2]Sheet 1'!$A$2:$Q$3504,10,FALSE())</f>
        <v>8</v>
      </c>
      <c r="K252" s="0" t="n">
        <f aca="false">VLOOKUP($A252,'[2]Sheet 1'!$A$2:$Q$3504,11,FALSE())</f>
        <v>0.05</v>
      </c>
      <c r="L252" s="0" t="n">
        <f aca="false">VLOOKUP($A252,'[2]Sheet 1'!$A$2:$Q$3504,12,FALSE())</f>
        <v>7.6</v>
      </c>
      <c r="M252" s="0" t="n">
        <f aca="false">VLOOKUP($A252,'[2]Sheet 1'!$A$2:$Q$3504,13,FALSE())</f>
        <v>298.5</v>
      </c>
      <c r="N252" s="0" t="n">
        <f aca="false">VLOOKUP($A252,'[2]Sheet 1'!$A$2:$Q$3504,14,FALSE())</f>
        <v>0.1</v>
      </c>
      <c r="O252" s="0" t="n">
        <f aca="false">VLOOKUP($A252,'[2]Sheet 1'!$A$2:$Q$3504,15,FALSE())</f>
        <v>0</v>
      </c>
      <c r="P252" s="0" t="n">
        <f aca="false">VLOOKUP($A252,'[2]Sheet 1'!$A$2:$Q$3504,16,FALSE())</f>
        <v>11</v>
      </c>
      <c r="Q252" s="0" t="n">
        <f aca="false">VLOOKUP($A252,'[2]Sheet 1'!$A$2:$Q$3504,17,FALSE())</f>
        <v>7</v>
      </c>
      <c r="S252" s="5"/>
    </row>
    <row r="253" customFormat="false" ht="14.25" hidden="false" customHeight="false" outlineLevel="0" collapsed="false">
      <c r="A253" s="5" t="n">
        <v>552</v>
      </c>
      <c r="B253" s="5" t="s">
        <v>599</v>
      </c>
      <c r="C253" s="5" t="n">
        <v>17</v>
      </c>
      <c r="D253" s="0" t="n">
        <f aca="false">VLOOKUP($A253,'[2]Sheet 1'!$A$2:$Q$3504,4,FALSE())</f>
        <v>57</v>
      </c>
      <c r="E253" s="0" t="n">
        <f aca="false">VLOOKUP($A253,'[2]Sheet 1'!$A$2:$Q$3504,5,FALSE())</f>
        <v>0.74</v>
      </c>
      <c r="F253" s="0" t="n">
        <f aca="false">VLOOKUP($A253,'[2]Sheet 1'!$A$2:$Q$3504,6,FALSE())</f>
        <v>2.4</v>
      </c>
      <c r="G253" s="0" t="n">
        <f aca="false">VLOOKUP($A253,'[2]Sheet 1'!$A$2:$Q$3504,7,FALSE())</f>
        <v>0.16</v>
      </c>
      <c r="H253" s="0" t="n">
        <f aca="false">VLOOKUP($A253,'[2]Sheet 1'!$A$2:$Q$3504,8,FALSE())</f>
        <v>0.28</v>
      </c>
      <c r="I253" s="0" t="n">
        <f aca="false">VLOOKUP($A253,'[2]Sheet 1'!$A$2:$Q$3504,9,FALSE())</f>
        <v>6</v>
      </c>
      <c r="J253" s="0" t="n">
        <f aca="false">VLOOKUP($A253,'[2]Sheet 1'!$A$2:$Q$3504,10,FALSE())</f>
        <v>6</v>
      </c>
      <c r="K253" s="0" t="n">
        <f aca="false">VLOOKUP($A253,'[2]Sheet 1'!$A$2:$Q$3504,11,FALSE())</f>
        <v>0.041</v>
      </c>
      <c r="L253" s="0" t="n">
        <f aca="false">VLOOKUP($A253,'[2]Sheet 1'!$A$2:$Q$3504,12,FALSE())</f>
        <v>6</v>
      </c>
      <c r="M253" s="0" t="n">
        <f aca="false">VLOOKUP($A253,'[2]Sheet 1'!$A$2:$Q$3504,13,FALSE())</f>
        <v>77</v>
      </c>
      <c r="N253" s="0" t="n">
        <f aca="false">VLOOKUP($A253,'[2]Sheet 1'!$A$2:$Q$3504,14,FALSE())</f>
        <v>0.57</v>
      </c>
      <c r="O253" s="0" t="n">
        <f aca="false">VLOOKUP($A253,'[2]Sheet 1'!$A$2:$Q$3504,15,FALSE())</f>
        <v>0</v>
      </c>
      <c r="P253" s="0" t="n">
        <f aca="false">VLOOKUP($A253,'[2]Sheet 1'!$A$2:$Q$3504,16,FALSE())</f>
        <v>19.3</v>
      </c>
      <c r="Q253" s="0" t="n">
        <f aca="false">VLOOKUP($A253,'[2]Sheet 1'!$A$2:$Q$3504,17,FALSE())</f>
        <v>3</v>
      </c>
      <c r="S253" s="5"/>
    </row>
    <row r="254" customFormat="false" ht="14.25" hidden="false" customHeight="false" outlineLevel="0" collapsed="false">
      <c r="A254" s="5" t="n">
        <v>554</v>
      </c>
      <c r="B254" s="5" t="s">
        <v>601</v>
      </c>
      <c r="C254" s="5" t="n">
        <v>12</v>
      </c>
      <c r="D254" s="0" t="n">
        <f aca="false">VLOOKUP($A254,'[2]Sheet 1'!$A$2:$Q$3504,4,FALSE())</f>
        <v>46</v>
      </c>
      <c r="E254" s="0" t="n">
        <f aca="false">VLOOKUP($A254,'[2]Sheet 1'!$A$2:$Q$3504,5,FALSE())</f>
        <v>0.39</v>
      </c>
      <c r="F254" s="0" t="n">
        <f aca="false">VLOOKUP($A254,'[2]Sheet 1'!$A$2:$Q$3504,6,FALSE())</f>
        <v>4.6</v>
      </c>
      <c r="G254" s="0" t="n">
        <f aca="false">VLOOKUP($A254,'[2]Sheet 1'!$A$2:$Q$3504,7,FALSE())</f>
        <v>0.1</v>
      </c>
      <c r="H254" s="0" t="n">
        <f aca="false">VLOOKUP($A254,'[2]Sheet 1'!$A$2:$Q$3504,8,FALSE())</f>
        <v>0.25</v>
      </c>
      <c r="I254" s="0" t="n">
        <f aca="false">VLOOKUP($A254,'[2]Sheet 1'!$A$2:$Q$3504,9,FALSE())</f>
        <v>8</v>
      </c>
      <c r="J254" s="0" t="n">
        <f aca="false">VLOOKUP($A254,'[2]Sheet 1'!$A$2:$Q$3504,10,FALSE())</f>
        <v>1</v>
      </c>
      <c r="K254" s="0" t="n">
        <f aca="false">VLOOKUP($A254,'[2]Sheet 1'!$A$2:$Q$3504,11,FALSE())</f>
        <v>0.02</v>
      </c>
      <c r="L254" s="0" t="n">
        <f aca="false">VLOOKUP($A254,'[2]Sheet 1'!$A$2:$Q$3504,12,FALSE())</f>
        <v>5.5</v>
      </c>
      <c r="M254" s="0" t="n">
        <f aca="false">VLOOKUP($A254,'[2]Sheet 1'!$A$2:$Q$3504,13,FALSE())</f>
        <v>85</v>
      </c>
      <c r="N254" s="0" t="n">
        <f aca="false">VLOOKUP($A254,'[2]Sheet 1'!$A$2:$Q$3504,14,FALSE())</f>
        <v>1.2</v>
      </c>
      <c r="O254" s="0" t="n">
        <f aca="false">VLOOKUP($A254,'[2]Sheet 1'!$A$2:$Q$3504,15,FALSE())</f>
        <v>0</v>
      </c>
      <c r="P254" s="0" t="n">
        <f aca="false">VLOOKUP($A254,'[2]Sheet 1'!$A$2:$Q$3504,16,FALSE())</f>
        <v>5.1</v>
      </c>
      <c r="Q254" s="0" t="n">
        <f aca="false">VLOOKUP($A254,'[2]Sheet 1'!$A$2:$Q$3504,17,FALSE())</f>
        <v>3</v>
      </c>
      <c r="S254" s="5"/>
    </row>
    <row r="255" customFormat="false" ht="14.25" hidden="false" customHeight="false" outlineLevel="0" collapsed="false">
      <c r="A255" s="5" t="n">
        <v>558</v>
      </c>
      <c r="B255" s="5" t="s">
        <v>603</v>
      </c>
      <c r="C255" s="7" t="n">
        <v>50</v>
      </c>
      <c r="D255" s="0" t="e">
        <f aca="false">VLOOKUP($A255,'[2]Sheet 1'!$A$2:$Q$3504,4,FALSE())</f>
        <v>#N/A</v>
      </c>
      <c r="E255" s="0" t="e">
        <f aca="false">VLOOKUP($A255,'[2]Sheet 1'!$A$2:$Q$3504,5,FALSE())</f>
        <v>#N/A</v>
      </c>
      <c r="F255" s="0" t="e">
        <f aca="false">VLOOKUP($A255,'[2]Sheet 1'!$A$2:$Q$3504,6,FALSE())</f>
        <v>#N/A</v>
      </c>
      <c r="G255" s="0" t="e">
        <f aca="false">VLOOKUP($A255,'[2]Sheet 1'!$A$2:$Q$3504,7,FALSE())</f>
        <v>#N/A</v>
      </c>
      <c r="H255" s="0" t="e">
        <f aca="false">VLOOKUP($A255,'[2]Sheet 1'!$A$2:$Q$3504,8,FALSE())</f>
        <v>#N/A</v>
      </c>
      <c r="I255" s="0" t="e">
        <f aca="false">VLOOKUP($A255,'[2]Sheet 1'!$A$2:$Q$3504,9,FALSE())</f>
        <v>#N/A</v>
      </c>
      <c r="J255" s="0" t="e">
        <f aca="false">VLOOKUP($A255,'[2]Sheet 1'!$A$2:$Q$3504,10,FALSE())</f>
        <v>#N/A</v>
      </c>
      <c r="K255" s="0" t="e">
        <f aca="false">VLOOKUP($A255,'[2]Sheet 1'!$A$2:$Q$3504,11,FALSE())</f>
        <v>#N/A</v>
      </c>
      <c r="L255" s="0" t="e">
        <f aca="false">VLOOKUP($A255,'[2]Sheet 1'!$A$2:$Q$3504,12,FALSE())</f>
        <v>#N/A</v>
      </c>
      <c r="M255" s="0" t="e">
        <f aca="false">VLOOKUP($A255,'[2]Sheet 1'!$A$2:$Q$3504,13,FALSE())</f>
        <v>#N/A</v>
      </c>
      <c r="N255" s="0" t="e">
        <f aca="false">VLOOKUP($A255,'[2]Sheet 1'!$A$2:$Q$3504,14,FALSE())</f>
        <v>#N/A</v>
      </c>
      <c r="O255" s="0" t="e">
        <f aca="false">VLOOKUP($A255,'[2]Sheet 1'!$A$2:$Q$3504,15,FALSE())</f>
        <v>#N/A</v>
      </c>
      <c r="P255" s="0" t="e">
        <f aca="false">VLOOKUP($A255,'[2]Sheet 1'!$A$2:$Q$3504,16,FALSE())</f>
        <v>#N/A</v>
      </c>
      <c r="Q255" s="0" t="e">
        <f aca="false">VLOOKUP($A255,'[2]Sheet 1'!$A$2:$Q$3504,17,FALSE())</f>
        <v>#N/A</v>
      </c>
      <c r="S255" s="7"/>
    </row>
    <row r="256" customFormat="false" ht="14.25" hidden="false" customHeight="false" outlineLevel="0" collapsed="false">
      <c r="A256" s="5" t="n">
        <v>560</v>
      </c>
      <c r="B256" s="5" t="s">
        <v>606</v>
      </c>
      <c r="C256" s="5" t="n">
        <v>19</v>
      </c>
      <c r="D256" s="0" t="n">
        <f aca="false">VLOOKUP($A256,'[2]Sheet 1'!$A$2:$Q$3504,4,FALSE())</f>
        <v>62</v>
      </c>
      <c r="E256" s="0" t="n">
        <f aca="false">VLOOKUP($A256,'[2]Sheet 1'!$A$2:$Q$3504,5,FALSE())</f>
        <v>0.5</v>
      </c>
      <c r="F256" s="0" t="n">
        <f aca="false">VLOOKUP($A256,'[2]Sheet 1'!$A$2:$Q$3504,6,FALSE())</f>
        <v>2</v>
      </c>
      <c r="G256" s="0" t="n">
        <f aca="false">VLOOKUP($A256,'[2]Sheet 1'!$A$2:$Q$3504,7,FALSE())</f>
        <v>0.07</v>
      </c>
      <c r="H256" s="0" t="n">
        <f aca="false">VLOOKUP($A256,'[2]Sheet 1'!$A$2:$Q$3504,8,FALSE())</f>
        <v>0.5</v>
      </c>
      <c r="I256" s="0" t="n">
        <f aca="false">VLOOKUP($A256,'[2]Sheet 1'!$A$2:$Q$3504,9,FALSE())</f>
        <v>14</v>
      </c>
      <c r="J256" s="0" t="n">
        <f aca="false">VLOOKUP($A256,'[2]Sheet 1'!$A$2:$Q$3504,10,FALSE())</f>
        <v>3</v>
      </c>
      <c r="K256" s="0" t="n">
        <f aca="false">VLOOKUP($A256,'[2]Sheet 1'!$A$2:$Q$3504,11,FALSE())</f>
        <v>0.05</v>
      </c>
      <c r="L256" s="0" t="n">
        <f aca="false">VLOOKUP($A256,'[2]Sheet 1'!$A$2:$Q$3504,12,FALSE())</f>
        <v>5.6</v>
      </c>
      <c r="M256" s="0" t="n">
        <f aca="false">VLOOKUP($A256,'[2]Sheet 1'!$A$2:$Q$3504,13,FALSE())</f>
        <v>191</v>
      </c>
      <c r="N256" s="0" t="n">
        <f aca="false">VLOOKUP($A256,'[2]Sheet 1'!$A$2:$Q$3504,14,FALSE())</f>
        <v>0</v>
      </c>
      <c r="O256" s="0" t="n">
        <f aca="false">VLOOKUP($A256,'[2]Sheet 1'!$A$2:$Q$3504,15,FALSE())</f>
        <v>0</v>
      </c>
      <c r="P256" s="0" t="n">
        <f aca="false">VLOOKUP($A256,'[2]Sheet 1'!$A$2:$Q$3504,16,FALSE())</f>
        <v>0</v>
      </c>
      <c r="Q256" s="0" t="n">
        <f aca="false">VLOOKUP($A256,'[2]Sheet 1'!$A$2:$Q$3504,17,FALSE())</f>
        <v>3</v>
      </c>
      <c r="S256" s="5"/>
    </row>
    <row r="257" customFormat="false" ht="14.25" hidden="false" customHeight="false" outlineLevel="0" collapsed="false">
      <c r="A257" s="5" t="n">
        <v>561</v>
      </c>
      <c r="B257" s="5" t="s">
        <v>608</v>
      </c>
      <c r="C257" s="5" t="n">
        <v>82</v>
      </c>
      <c r="D257" s="0" t="n">
        <f aca="false">VLOOKUP($A257,'[2]Sheet 1'!$A$2:$Q$3504,4,FALSE())</f>
        <v>149</v>
      </c>
      <c r="E257" s="0" t="n">
        <f aca="false">VLOOKUP($A257,'[2]Sheet 1'!$A$2:$Q$3504,5,FALSE())</f>
        <v>1.705</v>
      </c>
      <c r="F257" s="0" t="n">
        <f aca="false">VLOOKUP($A257,'[2]Sheet 1'!$A$2:$Q$3504,6,FALSE())</f>
        <v>4</v>
      </c>
      <c r="G257" s="0" t="n">
        <f aca="false">VLOOKUP($A257,'[2]Sheet 1'!$A$2:$Q$3504,7,FALSE())</f>
        <v>0.29</v>
      </c>
      <c r="H257" s="0" t="n">
        <f aca="false">VLOOKUP($A257,'[2]Sheet 1'!$A$2:$Q$3504,8,FALSE())</f>
        <v>1.01</v>
      </c>
      <c r="I257" s="0" t="n">
        <f aca="false">VLOOKUP($A257,'[2]Sheet 1'!$A$2:$Q$3504,9,FALSE())</f>
        <v>36.5</v>
      </c>
      <c r="J257" s="0" t="n">
        <f aca="false">VLOOKUP($A257,'[2]Sheet 1'!$A$2:$Q$3504,10,FALSE())</f>
        <v>19</v>
      </c>
      <c r="K257" s="0" t="n">
        <f aca="false">VLOOKUP($A257,'[2]Sheet 1'!$A$2:$Q$3504,11,FALSE())</f>
        <v>0.08</v>
      </c>
      <c r="L257" s="0" t="n">
        <f aca="false">VLOOKUP($A257,'[2]Sheet 1'!$A$2:$Q$3504,12,FALSE())</f>
        <v>8.1</v>
      </c>
      <c r="M257" s="0" t="n">
        <f aca="false">VLOOKUP($A257,'[2]Sheet 1'!$A$2:$Q$3504,13,FALSE())</f>
        <v>654</v>
      </c>
      <c r="N257" s="0" t="n">
        <f aca="false">VLOOKUP($A257,'[2]Sheet 1'!$A$2:$Q$3504,14,FALSE())</f>
        <v>0</v>
      </c>
      <c r="O257" s="0" t="n">
        <f aca="false">VLOOKUP($A257,'[2]Sheet 1'!$A$2:$Q$3504,15,FALSE())</f>
        <v>0</v>
      </c>
      <c r="P257" s="0" t="n">
        <f aca="false">VLOOKUP($A257,'[2]Sheet 1'!$A$2:$Q$3504,16,FALSE())</f>
        <v>2.7</v>
      </c>
      <c r="Q257" s="0" t="n">
        <f aca="false">VLOOKUP($A257,'[2]Sheet 1'!$A$2:$Q$3504,17,FALSE())</f>
        <v>5</v>
      </c>
      <c r="S257" s="5"/>
    </row>
    <row r="258" customFormat="false" ht="14.25" hidden="false" customHeight="false" outlineLevel="0" collapsed="false">
      <c r="A258" s="5" t="n">
        <v>562</v>
      </c>
      <c r="B258" s="5" t="s">
        <v>610</v>
      </c>
      <c r="C258" s="5" t="n">
        <v>10</v>
      </c>
      <c r="D258" s="0" t="n">
        <f aca="false">VLOOKUP($A258,'[2]Sheet 1'!$A$2:$Q$3504,4,FALSE())</f>
        <v>53</v>
      </c>
      <c r="E258" s="0" t="n">
        <f aca="false">VLOOKUP($A258,'[2]Sheet 1'!$A$2:$Q$3504,5,FALSE())</f>
        <v>0.2</v>
      </c>
      <c r="F258" s="0" t="n">
        <f aca="false">VLOOKUP($A258,'[2]Sheet 1'!$A$2:$Q$3504,6,FALSE())</f>
        <v>0.2</v>
      </c>
      <c r="G258" s="0" t="n">
        <f aca="false">VLOOKUP($A258,'[2]Sheet 1'!$A$2:$Q$3504,7,FALSE())</f>
        <v>0.06</v>
      </c>
      <c r="H258" s="0" t="n">
        <f aca="false">VLOOKUP($A258,'[2]Sheet 1'!$A$2:$Q$3504,8,FALSE())</f>
        <v>0.26</v>
      </c>
      <c r="I258" s="0" t="n">
        <f aca="false">VLOOKUP($A258,'[2]Sheet 1'!$A$2:$Q$3504,9,FALSE())</f>
        <v>9</v>
      </c>
      <c r="J258" s="0" t="n">
        <f aca="false">VLOOKUP($A258,'[2]Sheet 1'!$A$2:$Q$3504,10,FALSE())</f>
        <v>7</v>
      </c>
      <c r="K258" s="0" t="n">
        <f aca="false">VLOOKUP($A258,'[2]Sheet 1'!$A$2:$Q$3504,11,FALSE())</f>
        <v>0.0105</v>
      </c>
      <c r="L258" s="0" t="n">
        <f aca="false">VLOOKUP($A258,'[2]Sheet 1'!$A$2:$Q$3504,12,FALSE())</f>
        <v>2.1</v>
      </c>
      <c r="M258" s="0" t="n">
        <f aca="false">VLOOKUP($A258,'[2]Sheet 1'!$A$2:$Q$3504,13,FALSE())</f>
        <v>104.5</v>
      </c>
      <c r="N258" s="0" t="n">
        <f aca="false">VLOOKUP($A258,'[2]Sheet 1'!$A$2:$Q$3504,14,FALSE())</f>
        <v>0.2</v>
      </c>
      <c r="O258" s="0" t="n">
        <f aca="false">VLOOKUP($A258,'[2]Sheet 1'!$A$2:$Q$3504,15,FALSE())</f>
        <v>0</v>
      </c>
      <c r="P258" s="0" t="n">
        <f aca="false">VLOOKUP($A258,'[2]Sheet 1'!$A$2:$Q$3504,16,FALSE())</f>
        <v>0.1</v>
      </c>
      <c r="Q258" s="0" t="n">
        <f aca="false">VLOOKUP($A258,'[2]Sheet 1'!$A$2:$Q$3504,17,FALSE())</f>
        <v>7</v>
      </c>
      <c r="S258" s="5"/>
    </row>
    <row r="259" customFormat="false" ht="14.25" hidden="false" customHeight="false" outlineLevel="0" collapsed="false">
      <c r="A259" s="5" t="n">
        <v>564</v>
      </c>
      <c r="B259" s="5" t="s">
        <v>613</v>
      </c>
      <c r="C259" s="5" t="n">
        <v>15</v>
      </c>
      <c r="D259" s="0" t="n">
        <f aca="false">VLOOKUP($A259,'[2]Sheet 1'!$A$2:$Q$3504,4,FALSE())</f>
        <v>77.5</v>
      </c>
      <c r="E259" s="0" t="n">
        <f aca="false">VLOOKUP($A259,'[2]Sheet 1'!$A$2:$Q$3504,5,FALSE())</f>
        <v>0.2</v>
      </c>
      <c r="F259" s="0" t="n">
        <f aca="false">VLOOKUP($A259,'[2]Sheet 1'!$A$2:$Q$3504,6,FALSE())</f>
        <v>0</v>
      </c>
      <c r="G259" s="0" t="n">
        <f aca="false">VLOOKUP($A259,'[2]Sheet 1'!$A$2:$Q$3504,7,FALSE())</f>
        <v>0.08</v>
      </c>
      <c r="H259" s="0" t="n">
        <f aca="false">VLOOKUP($A259,'[2]Sheet 1'!$A$2:$Q$3504,8,FALSE())</f>
        <v>0.5</v>
      </c>
      <c r="I259" s="0" t="n">
        <f aca="false">VLOOKUP($A259,'[2]Sheet 1'!$A$2:$Q$3504,9,FALSE())</f>
        <v>8</v>
      </c>
      <c r="J259" s="0" t="n">
        <f aca="false">VLOOKUP($A259,'[2]Sheet 1'!$A$2:$Q$3504,10,FALSE())</f>
        <v>1</v>
      </c>
      <c r="K259" s="0" t="n">
        <f aca="false">VLOOKUP($A259,'[2]Sheet 1'!$A$2:$Q$3504,11,FALSE())</f>
        <v>0.005</v>
      </c>
      <c r="L259" s="0" t="n">
        <f aca="false">VLOOKUP($A259,'[2]Sheet 1'!$A$2:$Q$3504,12,FALSE())</f>
        <v>5</v>
      </c>
      <c r="M259" s="0" t="n">
        <f aca="false">VLOOKUP($A259,'[2]Sheet 1'!$A$2:$Q$3504,13,FALSE())</f>
        <v>99</v>
      </c>
      <c r="N259" s="0" t="n">
        <f aca="false">VLOOKUP($A259,'[2]Sheet 1'!$A$2:$Q$3504,14,FALSE())</f>
        <v>0</v>
      </c>
      <c r="O259" s="0" t="n">
        <f aca="false">VLOOKUP($A259,'[2]Sheet 1'!$A$2:$Q$3504,15,FALSE())</f>
        <v>0</v>
      </c>
      <c r="P259" s="0" t="n">
        <f aca="false">VLOOKUP($A259,'[2]Sheet 1'!$A$2:$Q$3504,16,FALSE())</f>
        <v>0.0203475603526829</v>
      </c>
      <c r="Q259" s="0" t="n">
        <f aca="false">VLOOKUP($A259,'[2]Sheet 1'!$A$2:$Q$3504,17,FALSE())</f>
        <v>0</v>
      </c>
      <c r="S259" s="5"/>
    </row>
    <row r="260" customFormat="false" ht="14.25" hidden="false" customHeight="false" outlineLevel="0" collapsed="false">
      <c r="A260" s="5" t="n">
        <v>565</v>
      </c>
      <c r="B260" s="5" t="s">
        <v>1226</v>
      </c>
      <c r="C260" s="5" t="n">
        <v>25</v>
      </c>
      <c r="D260" s="0" t="n">
        <f aca="false">VLOOKUP($A260,'[2]Sheet 1'!$A$2:$Q$3504,4,FALSE())</f>
        <v>77.5</v>
      </c>
      <c r="E260" s="0" t="n">
        <f aca="false">VLOOKUP($A260,'[2]Sheet 1'!$A$2:$Q$3504,5,FALSE())</f>
        <v>0.2</v>
      </c>
      <c r="F260" s="0" t="n">
        <f aca="false">VLOOKUP($A260,'[2]Sheet 1'!$A$2:$Q$3504,6,FALSE())</f>
        <v>0</v>
      </c>
      <c r="G260" s="0" t="n">
        <f aca="false">VLOOKUP($A260,'[2]Sheet 1'!$A$2:$Q$3504,7,FALSE())</f>
        <v>0.08</v>
      </c>
      <c r="H260" s="0" t="n">
        <f aca="false">VLOOKUP($A260,'[2]Sheet 1'!$A$2:$Q$3504,8,FALSE())</f>
        <v>0.5</v>
      </c>
      <c r="I260" s="0" t="n">
        <f aca="false">VLOOKUP($A260,'[2]Sheet 1'!$A$2:$Q$3504,9,FALSE())</f>
        <v>8</v>
      </c>
      <c r="J260" s="0" t="n">
        <f aca="false">VLOOKUP($A260,'[2]Sheet 1'!$A$2:$Q$3504,10,FALSE())</f>
        <v>1</v>
      </c>
      <c r="K260" s="0" t="n">
        <f aca="false">VLOOKUP($A260,'[2]Sheet 1'!$A$2:$Q$3504,11,FALSE())</f>
        <v>0.005</v>
      </c>
      <c r="L260" s="0" t="n">
        <f aca="false">VLOOKUP($A260,'[2]Sheet 1'!$A$2:$Q$3504,12,FALSE())</f>
        <v>5</v>
      </c>
      <c r="M260" s="0" t="n">
        <f aca="false">VLOOKUP($A260,'[2]Sheet 1'!$A$2:$Q$3504,13,FALSE())</f>
        <v>99</v>
      </c>
      <c r="N260" s="0" t="n">
        <f aca="false">VLOOKUP($A260,'[2]Sheet 1'!$A$2:$Q$3504,14,FALSE())</f>
        <v>0</v>
      </c>
      <c r="O260" s="0" t="n">
        <f aca="false">VLOOKUP($A260,'[2]Sheet 1'!$A$2:$Q$3504,15,FALSE())</f>
        <v>0</v>
      </c>
      <c r="P260" s="0" t="n">
        <f aca="false">VLOOKUP($A260,'[2]Sheet 1'!$A$2:$Q$3504,16,FALSE())</f>
        <v>0.0203475603526829</v>
      </c>
      <c r="Q260" s="0" t="n">
        <f aca="false">VLOOKUP($A260,'[2]Sheet 1'!$A$2:$Q$3504,17,FALSE())</f>
        <v>0</v>
      </c>
      <c r="S260" s="5"/>
    </row>
    <row r="261" customFormat="false" ht="14.25" hidden="false" customHeight="false" outlineLevel="0" collapsed="false">
      <c r="A261" s="5" t="n">
        <v>567</v>
      </c>
      <c r="B261" s="5" t="s">
        <v>619</v>
      </c>
      <c r="C261" s="5" t="n">
        <v>7</v>
      </c>
      <c r="D261" s="0" t="n">
        <f aca="false">VLOOKUP($A261,'[2]Sheet 1'!$A$2:$Q$3504,4,FALSE())</f>
        <v>23</v>
      </c>
      <c r="E261" s="0" t="n">
        <f aca="false">VLOOKUP($A261,'[2]Sheet 1'!$A$2:$Q$3504,5,FALSE())</f>
        <v>0.516666667</v>
      </c>
      <c r="F261" s="0" t="n">
        <f aca="false">VLOOKUP($A261,'[2]Sheet 1'!$A$2:$Q$3504,6,FALSE())</f>
        <v>0.33</v>
      </c>
      <c r="G261" s="0" t="n">
        <f aca="false">VLOOKUP($A261,'[2]Sheet 1'!$A$2:$Q$3504,7,FALSE())</f>
        <v>0.1</v>
      </c>
      <c r="H261" s="0" t="n">
        <f aca="false">VLOOKUP($A261,'[2]Sheet 1'!$A$2:$Q$3504,8,FALSE())</f>
        <v>0.254166669</v>
      </c>
      <c r="I261" s="0" t="n">
        <f aca="false">VLOOKUP($A261,'[2]Sheet 1'!$A$2:$Q$3504,9,FALSE())</f>
        <v>8</v>
      </c>
      <c r="J261" s="0" t="n">
        <f aca="false">VLOOKUP($A261,'[2]Sheet 1'!$A$2:$Q$3504,10,FALSE())</f>
        <v>3.4166666665</v>
      </c>
      <c r="K261" s="0" t="n">
        <f aca="false">VLOOKUP($A261,'[2]Sheet 1'!$A$2:$Q$3504,11,FALSE())</f>
        <v>0.03</v>
      </c>
      <c r="L261" s="0" t="n">
        <f aca="false">VLOOKUP($A261,'[2]Sheet 1'!$A$2:$Q$3504,12,FALSE())</f>
        <v>4.1</v>
      </c>
      <c r="M261" s="0" t="n">
        <f aca="false">VLOOKUP($A261,'[2]Sheet 1'!$A$2:$Q$3504,13,FALSE())</f>
        <v>109.25</v>
      </c>
      <c r="N261" s="0" t="n">
        <f aca="false">VLOOKUP($A261,'[2]Sheet 1'!$A$2:$Q$3504,14,FALSE())</f>
        <v>0.05</v>
      </c>
      <c r="O261" s="0" t="n">
        <f aca="false">VLOOKUP($A261,'[2]Sheet 1'!$A$2:$Q$3504,15,FALSE())</f>
        <v>0</v>
      </c>
      <c r="P261" s="0" t="n">
        <f aca="false">VLOOKUP($A261,'[2]Sheet 1'!$A$2:$Q$3504,16,FALSE())</f>
        <v>0.1</v>
      </c>
      <c r="Q261" s="0" t="n">
        <f aca="false">VLOOKUP($A261,'[2]Sheet 1'!$A$2:$Q$3504,17,FALSE())</f>
        <v>35</v>
      </c>
      <c r="S261" s="5"/>
    </row>
    <row r="262" customFormat="false" ht="14.25" hidden="false" customHeight="false" outlineLevel="0" collapsed="false">
      <c r="A262" s="5" t="n">
        <v>568</v>
      </c>
      <c r="B262" s="5" t="s">
        <v>621</v>
      </c>
      <c r="C262" s="5" t="n">
        <v>10</v>
      </c>
      <c r="D262" s="0" t="n">
        <f aca="false">VLOOKUP($A262,'[2]Sheet 1'!$A$2:$Q$3504,4,FALSE())</f>
        <v>26</v>
      </c>
      <c r="E262" s="0" t="n">
        <f aca="false">VLOOKUP($A262,'[2]Sheet 1'!$A$2:$Q$3504,5,FALSE())</f>
        <v>0.54</v>
      </c>
      <c r="F262" s="0" t="n">
        <f aca="false">VLOOKUP($A262,'[2]Sheet 1'!$A$2:$Q$3504,6,FALSE())</f>
        <v>0.8</v>
      </c>
      <c r="G262" s="0" t="n">
        <f aca="false">VLOOKUP($A262,'[2]Sheet 1'!$A$2:$Q$3504,7,FALSE())</f>
        <v>0.095</v>
      </c>
      <c r="H262" s="0" t="n">
        <f aca="false">VLOOKUP($A262,'[2]Sheet 1'!$A$2:$Q$3504,8,FALSE())</f>
        <v>0.4</v>
      </c>
      <c r="I262" s="0" t="n">
        <f aca="false">VLOOKUP($A262,'[2]Sheet 1'!$A$2:$Q$3504,9,FALSE())</f>
        <v>14</v>
      </c>
      <c r="J262" s="0" t="n">
        <f aca="false">VLOOKUP($A262,'[2]Sheet 1'!$A$2:$Q$3504,10,FALSE())</f>
        <v>16</v>
      </c>
      <c r="K262" s="0" t="n">
        <f aca="false">VLOOKUP($A262,'[2]Sheet 1'!$A$2:$Q$3504,11,FALSE())</f>
        <v>0.02</v>
      </c>
      <c r="L262" s="0" t="n">
        <f aca="false">VLOOKUP($A262,'[2]Sheet 1'!$A$2:$Q$3504,12,FALSE())</f>
        <v>7.6</v>
      </c>
      <c r="M262" s="0" t="n">
        <f aca="false">VLOOKUP($A262,'[2]Sheet 1'!$A$2:$Q$3504,13,FALSE())</f>
        <v>257.5</v>
      </c>
      <c r="N262" s="0" t="n">
        <f aca="false">VLOOKUP($A262,'[2]Sheet 1'!$A$2:$Q$3504,14,FALSE())</f>
        <v>0.05</v>
      </c>
      <c r="O262" s="0" t="n">
        <f aca="false">VLOOKUP($A262,'[2]Sheet 1'!$A$2:$Q$3504,15,FALSE())</f>
        <v>0</v>
      </c>
      <c r="P262" s="0" t="n">
        <f aca="false">VLOOKUP($A262,'[2]Sheet 1'!$A$2:$Q$3504,16,FALSE())</f>
        <v>2.5</v>
      </c>
      <c r="Q262" s="0" t="n">
        <f aca="false">VLOOKUP($A262,'[2]Sheet 1'!$A$2:$Q$3504,17,FALSE())</f>
        <v>10</v>
      </c>
      <c r="S262" s="5"/>
    </row>
    <row r="263" customFormat="false" ht="14.25" hidden="false" customHeight="false" outlineLevel="0" collapsed="false">
      <c r="A263" s="5" t="n">
        <v>569</v>
      </c>
      <c r="B263" s="5" t="s">
        <v>623</v>
      </c>
      <c r="C263" s="5" t="n">
        <v>23</v>
      </c>
      <c r="D263" s="0" t="n">
        <f aca="false">VLOOKUP($A263,'[2]Sheet 1'!$A$2:$Q$3504,4,FALSE())</f>
        <v>52</v>
      </c>
      <c r="E263" s="0" t="n">
        <f aca="false">VLOOKUP($A263,'[2]Sheet 1'!$A$2:$Q$3504,5,FALSE())</f>
        <v>0.9</v>
      </c>
      <c r="F263" s="0" t="n">
        <f aca="false">VLOOKUP($A263,'[2]Sheet 1'!$A$2:$Q$3504,6,FALSE())</f>
        <v>2.3</v>
      </c>
      <c r="G263" s="0" t="n">
        <f aca="false">VLOOKUP($A263,'[2]Sheet 1'!$A$2:$Q$3504,7,FALSE())</f>
        <v>0.175</v>
      </c>
      <c r="H263" s="0" t="n">
        <f aca="false">VLOOKUP($A263,'[2]Sheet 1'!$A$2:$Q$3504,8,FALSE())</f>
        <v>0.5</v>
      </c>
      <c r="I263" s="0" t="n">
        <f aca="false">VLOOKUP($A263,'[2]Sheet 1'!$A$2:$Q$3504,9,FALSE())</f>
        <v>44</v>
      </c>
      <c r="J263" s="0" t="n">
        <f aca="false">VLOOKUP($A263,'[2]Sheet 1'!$A$2:$Q$3504,10,FALSE())</f>
        <v>6.5</v>
      </c>
      <c r="K263" s="0" t="n">
        <f aca="false">VLOOKUP($A263,'[2]Sheet 1'!$A$2:$Q$3504,11,FALSE())</f>
        <v>0.05</v>
      </c>
      <c r="L263" s="0" t="n">
        <f aca="false">VLOOKUP($A263,'[2]Sheet 1'!$A$2:$Q$3504,12,FALSE())</f>
        <v>4.7</v>
      </c>
      <c r="M263" s="0" t="n">
        <f aca="false">VLOOKUP($A263,'[2]Sheet 1'!$A$2:$Q$3504,13,FALSE())</f>
        <v>226.5</v>
      </c>
      <c r="N263" s="0" t="n">
        <f aca="false">VLOOKUP($A263,'[2]Sheet 1'!$A$2:$Q$3504,14,FALSE())</f>
        <v>0.11</v>
      </c>
      <c r="O263" s="0" t="n">
        <f aca="false">VLOOKUP($A263,'[2]Sheet 1'!$A$2:$Q$3504,15,FALSE())</f>
        <v>0</v>
      </c>
      <c r="P263" s="0" t="n">
        <f aca="false">VLOOKUP($A263,'[2]Sheet 1'!$A$2:$Q$3504,16,FALSE())</f>
        <v>4.7</v>
      </c>
      <c r="Q263" s="0" t="n">
        <f aca="false">VLOOKUP($A263,'[2]Sheet 1'!$A$2:$Q$3504,17,FALSE())</f>
        <v>5</v>
      </c>
      <c r="S263" s="5"/>
    </row>
    <row r="264" customFormat="false" ht="14.25" hidden="false" customHeight="false" outlineLevel="0" collapsed="false">
      <c r="A264" s="5" t="n">
        <v>570</v>
      </c>
      <c r="B264" s="5" t="s">
        <v>625</v>
      </c>
      <c r="C264" s="5" t="n">
        <v>85</v>
      </c>
      <c r="D264" s="0" t="n">
        <f aca="false">VLOOKUP($A264,'[2]Sheet 1'!$A$2:$Q$3504,4,FALSE())</f>
        <v>52</v>
      </c>
      <c r="E264" s="0" t="n">
        <f aca="false">VLOOKUP($A264,'[2]Sheet 1'!$A$2:$Q$3504,5,FALSE())</f>
        <v>0.9</v>
      </c>
      <c r="F264" s="0" t="n">
        <f aca="false">VLOOKUP($A264,'[2]Sheet 1'!$A$2:$Q$3504,6,FALSE())</f>
        <v>2.3</v>
      </c>
      <c r="G264" s="0" t="n">
        <f aca="false">VLOOKUP($A264,'[2]Sheet 1'!$A$2:$Q$3504,7,FALSE())</f>
        <v>0.175</v>
      </c>
      <c r="H264" s="0" t="n">
        <f aca="false">VLOOKUP($A264,'[2]Sheet 1'!$A$2:$Q$3504,8,FALSE())</f>
        <v>0.5</v>
      </c>
      <c r="I264" s="0" t="n">
        <f aca="false">VLOOKUP($A264,'[2]Sheet 1'!$A$2:$Q$3504,9,FALSE())</f>
        <v>44</v>
      </c>
      <c r="J264" s="0" t="n">
        <f aca="false">VLOOKUP($A264,'[2]Sheet 1'!$A$2:$Q$3504,10,FALSE())</f>
        <v>6.5</v>
      </c>
      <c r="K264" s="0" t="n">
        <f aca="false">VLOOKUP($A264,'[2]Sheet 1'!$A$2:$Q$3504,11,FALSE())</f>
        <v>0.05</v>
      </c>
      <c r="L264" s="0" t="n">
        <f aca="false">VLOOKUP($A264,'[2]Sheet 1'!$A$2:$Q$3504,12,FALSE())</f>
        <v>4.7</v>
      </c>
      <c r="M264" s="0" t="n">
        <f aca="false">VLOOKUP($A264,'[2]Sheet 1'!$A$2:$Q$3504,13,FALSE())</f>
        <v>226.5</v>
      </c>
      <c r="N264" s="0" t="n">
        <f aca="false">VLOOKUP($A264,'[2]Sheet 1'!$A$2:$Q$3504,14,FALSE())</f>
        <v>0.11</v>
      </c>
      <c r="O264" s="0" t="n">
        <f aca="false">VLOOKUP($A264,'[2]Sheet 1'!$A$2:$Q$3504,15,FALSE())</f>
        <v>0</v>
      </c>
      <c r="P264" s="0" t="n">
        <f aca="false">VLOOKUP($A264,'[2]Sheet 1'!$A$2:$Q$3504,16,FALSE())</f>
        <v>4.7</v>
      </c>
      <c r="Q264" s="0" t="n">
        <f aca="false">VLOOKUP($A264,'[2]Sheet 1'!$A$2:$Q$3504,17,FALSE())</f>
        <v>5</v>
      </c>
      <c r="S264" s="5"/>
    </row>
    <row r="265" customFormat="false" ht="14.25" hidden="false" customHeight="false" outlineLevel="0" collapsed="false">
      <c r="A265" s="5" t="n">
        <v>571</v>
      </c>
      <c r="B265" s="5" t="s">
        <v>627</v>
      </c>
      <c r="C265" s="5" t="n">
        <v>18</v>
      </c>
      <c r="D265" s="0" t="n">
        <f aca="false">VLOOKUP($A265,'[2]Sheet 1'!$A$2:$Q$3504,4,FALSE())</f>
        <v>64</v>
      </c>
      <c r="E265" s="0" t="n">
        <f aca="false">VLOOKUP($A265,'[2]Sheet 1'!$A$2:$Q$3504,5,FALSE())</f>
        <v>0.77</v>
      </c>
      <c r="F265" s="0" t="n">
        <f aca="false">VLOOKUP($A265,'[2]Sheet 1'!$A$2:$Q$3504,6,FALSE())</f>
        <v>2.1</v>
      </c>
      <c r="G265" s="0" t="n">
        <f aca="false">VLOOKUP($A265,'[2]Sheet 1'!$A$2:$Q$3504,7,FALSE())</f>
        <v>0.1</v>
      </c>
      <c r="H265" s="0" t="n">
        <f aca="false">VLOOKUP($A265,'[2]Sheet 1'!$A$2:$Q$3504,8,FALSE())</f>
        <v>0.45</v>
      </c>
      <c r="I265" s="0" t="n">
        <f aca="false">VLOOKUP($A265,'[2]Sheet 1'!$A$2:$Q$3504,9,FALSE())</f>
        <v>15</v>
      </c>
      <c r="J265" s="0" t="n">
        <f aca="false">VLOOKUP($A265,'[2]Sheet 1'!$A$2:$Q$3504,10,FALSE())</f>
        <v>27.125</v>
      </c>
      <c r="K265" s="0" t="n">
        <f aca="false">VLOOKUP($A265,'[2]Sheet 1'!$A$2:$Q$3504,11,FALSE())</f>
        <v>0.04375</v>
      </c>
      <c r="L265" s="0" t="n">
        <f aca="false">VLOOKUP($A265,'[2]Sheet 1'!$A$2:$Q$3504,12,FALSE())</f>
        <v>7.6</v>
      </c>
      <c r="M265" s="0" t="n">
        <f aca="false">VLOOKUP($A265,'[2]Sheet 1'!$A$2:$Q$3504,13,FALSE())</f>
        <v>157</v>
      </c>
      <c r="N265" s="0" t="n">
        <f aca="false">VLOOKUP($A265,'[2]Sheet 1'!$A$2:$Q$3504,14,FALSE())</f>
        <v>0.9</v>
      </c>
      <c r="O265" s="0" t="n">
        <f aca="false">VLOOKUP($A265,'[2]Sheet 1'!$A$2:$Q$3504,15,FALSE())</f>
        <v>0</v>
      </c>
      <c r="P265" s="0" t="n">
        <f aca="false">VLOOKUP($A265,'[2]Sheet 1'!$A$2:$Q$3504,16,FALSE())</f>
        <v>4.2</v>
      </c>
      <c r="Q265" s="0" t="n">
        <f aca="false">VLOOKUP($A265,'[2]Sheet 1'!$A$2:$Q$3504,17,FALSE())</f>
        <v>83.33333333</v>
      </c>
      <c r="S265" s="5"/>
    </row>
    <row r="266" customFormat="false" ht="14.25" hidden="false" customHeight="false" outlineLevel="0" collapsed="false">
      <c r="A266" s="5" t="n">
        <v>572</v>
      </c>
      <c r="B266" s="5" t="s">
        <v>629</v>
      </c>
      <c r="C266" s="5" t="n">
        <v>26</v>
      </c>
      <c r="D266" s="0" t="n">
        <f aca="false">VLOOKUP($A266,'[2]Sheet 1'!$A$2:$Q$3504,4,FALSE())</f>
        <v>157</v>
      </c>
      <c r="E266" s="0" t="n">
        <f aca="false">VLOOKUP($A266,'[2]Sheet 1'!$A$2:$Q$3504,5,FALSE())</f>
        <v>1.666666663</v>
      </c>
      <c r="F266" s="0" t="n">
        <f aca="false">VLOOKUP($A266,'[2]Sheet 1'!$A$2:$Q$3504,6,FALSE())</f>
        <v>4.65</v>
      </c>
      <c r="G266" s="0" t="n">
        <f aca="false">VLOOKUP($A266,'[2]Sheet 1'!$A$2:$Q$3504,7,FALSE())</f>
        <v>0.42</v>
      </c>
      <c r="H266" s="0" t="n">
        <f aca="false">VLOOKUP($A266,'[2]Sheet 1'!$A$2:$Q$3504,8,FALSE())</f>
        <v>0.85</v>
      </c>
      <c r="I266" s="0" t="n">
        <f aca="false">VLOOKUP($A266,'[2]Sheet 1'!$A$2:$Q$3504,9,FALSE())</f>
        <v>19</v>
      </c>
      <c r="J266" s="0" t="n">
        <f aca="false">VLOOKUP($A266,'[2]Sheet 1'!$A$2:$Q$3504,10,FALSE())</f>
        <v>58.166666665</v>
      </c>
      <c r="K266" s="0" t="n">
        <f aca="false">VLOOKUP($A266,'[2]Sheet 1'!$A$2:$Q$3504,11,FALSE())</f>
        <v>0.14</v>
      </c>
      <c r="L266" s="0" t="n">
        <f aca="false">VLOOKUP($A266,'[2]Sheet 1'!$A$2:$Q$3504,12,FALSE())</f>
        <v>14.2</v>
      </c>
      <c r="M266" s="0" t="n">
        <f aca="false">VLOOKUP($A266,'[2]Sheet 1'!$A$2:$Q$3504,13,FALSE())</f>
        <v>492.25</v>
      </c>
      <c r="N266" s="0" t="n">
        <f aca="false">VLOOKUP($A266,'[2]Sheet 1'!$A$2:$Q$3504,14,FALSE())</f>
        <v>2.07</v>
      </c>
      <c r="O266" s="0" t="n">
        <f aca="false">VLOOKUP($A266,'[2]Sheet 1'!$A$2:$Q$3504,15,FALSE())</f>
        <v>0</v>
      </c>
      <c r="P266" s="0" t="n">
        <f aca="false">VLOOKUP($A266,'[2]Sheet 1'!$A$2:$Q$3504,16,FALSE())</f>
        <v>21</v>
      </c>
      <c r="Q266" s="0" t="n">
        <f aca="false">VLOOKUP($A266,'[2]Sheet 1'!$A$2:$Q$3504,17,FALSE())</f>
        <v>16</v>
      </c>
      <c r="S266" s="5"/>
    </row>
    <row r="267" customFormat="false" ht="14.25" hidden="false" customHeight="false" outlineLevel="0" collapsed="false">
      <c r="A267" s="5" t="n">
        <v>574</v>
      </c>
      <c r="B267" s="5" t="s">
        <v>631</v>
      </c>
      <c r="C267" s="5" t="n">
        <v>15</v>
      </c>
      <c r="D267" s="0" t="n">
        <f aca="false">VLOOKUP($A267,'[2]Sheet 1'!$A$2:$Q$3504,4,FALSE())</f>
        <v>46.5</v>
      </c>
      <c r="E267" s="0" t="n">
        <f aca="false">VLOOKUP($A267,'[2]Sheet 1'!$A$2:$Q$3504,5,FALSE())</f>
        <v>0.4680000005</v>
      </c>
      <c r="F267" s="0" t="n">
        <f aca="false">VLOOKUP($A267,'[2]Sheet 1'!$A$2:$Q$3504,6,FALSE())</f>
        <v>1</v>
      </c>
      <c r="G267" s="0" t="n">
        <f aca="false">VLOOKUP($A267,'[2]Sheet 1'!$A$2:$Q$3504,7,FALSE())</f>
        <v>0.1115</v>
      </c>
      <c r="H267" s="0" t="n">
        <f aca="false">VLOOKUP($A267,'[2]Sheet 1'!$A$2:$Q$3504,8,FALSE())</f>
        <v>0.5</v>
      </c>
      <c r="I267" s="0" t="n">
        <f aca="false">VLOOKUP($A267,'[2]Sheet 1'!$A$2:$Q$3504,9,FALSE())</f>
        <v>17</v>
      </c>
      <c r="J267" s="0" t="n">
        <f aca="false">VLOOKUP($A267,'[2]Sheet 1'!$A$2:$Q$3504,10,FALSE())</f>
        <v>15</v>
      </c>
      <c r="K267" s="0" t="n">
        <f aca="false">VLOOKUP($A267,'[2]Sheet 1'!$A$2:$Q$3504,11,FALSE())</f>
        <v>0.036</v>
      </c>
      <c r="L267" s="0" t="n">
        <f aca="false">VLOOKUP($A267,'[2]Sheet 1'!$A$2:$Q$3504,12,FALSE())</f>
        <v>163.25</v>
      </c>
      <c r="M267" s="0" t="n">
        <f aca="false">VLOOKUP($A267,'[2]Sheet 1'!$A$2:$Q$3504,13,FALSE())</f>
        <v>128</v>
      </c>
      <c r="N267" s="0" t="n">
        <f aca="false">VLOOKUP($A267,'[2]Sheet 1'!$A$2:$Q$3504,14,FALSE())</f>
        <v>0.02</v>
      </c>
      <c r="O267" s="0" t="n">
        <f aca="false">VLOOKUP($A267,'[2]Sheet 1'!$A$2:$Q$3504,15,FALSE())</f>
        <v>0</v>
      </c>
      <c r="P267" s="0" t="n">
        <f aca="false">VLOOKUP($A267,'[2]Sheet 1'!$A$2:$Q$3504,16,FALSE())</f>
        <v>0.7</v>
      </c>
      <c r="Q267" s="0" t="n">
        <f aca="false">VLOOKUP($A267,'[2]Sheet 1'!$A$2:$Q$3504,17,FALSE())</f>
        <v>5.116666667</v>
      </c>
      <c r="S267" s="5"/>
    </row>
    <row r="268" customFormat="false" ht="14.25" hidden="false" customHeight="false" outlineLevel="0" collapsed="false">
      <c r="A268" s="5" t="n">
        <v>575</v>
      </c>
      <c r="B268" s="5" t="s">
        <v>633</v>
      </c>
      <c r="C268" s="5" t="n">
        <v>15</v>
      </c>
      <c r="D268" s="0" t="n">
        <f aca="false">VLOOKUP($A268,'[2]Sheet 1'!$A$2:$Q$3504,4,FALSE())</f>
        <v>46.5</v>
      </c>
      <c r="E268" s="0" t="n">
        <f aca="false">VLOOKUP($A268,'[2]Sheet 1'!$A$2:$Q$3504,5,FALSE())</f>
        <v>0.4680000005</v>
      </c>
      <c r="F268" s="0" t="n">
        <f aca="false">VLOOKUP($A268,'[2]Sheet 1'!$A$2:$Q$3504,6,FALSE())</f>
        <v>1</v>
      </c>
      <c r="G268" s="0" t="n">
        <f aca="false">VLOOKUP($A268,'[2]Sheet 1'!$A$2:$Q$3504,7,FALSE())</f>
        <v>0.1115</v>
      </c>
      <c r="H268" s="0" t="n">
        <f aca="false">VLOOKUP($A268,'[2]Sheet 1'!$A$2:$Q$3504,8,FALSE())</f>
        <v>0.5</v>
      </c>
      <c r="I268" s="0" t="n">
        <f aca="false">VLOOKUP($A268,'[2]Sheet 1'!$A$2:$Q$3504,9,FALSE())</f>
        <v>17</v>
      </c>
      <c r="J268" s="0" t="n">
        <f aca="false">VLOOKUP($A268,'[2]Sheet 1'!$A$2:$Q$3504,10,FALSE())</f>
        <v>15</v>
      </c>
      <c r="K268" s="0" t="n">
        <f aca="false">VLOOKUP($A268,'[2]Sheet 1'!$A$2:$Q$3504,11,FALSE())</f>
        <v>0.036</v>
      </c>
      <c r="L268" s="0" t="n">
        <f aca="false">VLOOKUP($A268,'[2]Sheet 1'!$A$2:$Q$3504,12,FALSE())</f>
        <v>163.25</v>
      </c>
      <c r="M268" s="0" t="n">
        <f aca="false">VLOOKUP($A268,'[2]Sheet 1'!$A$2:$Q$3504,13,FALSE())</f>
        <v>128</v>
      </c>
      <c r="N268" s="0" t="n">
        <f aca="false">VLOOKUP($A268,'[2]Sheet 1'!$A$2:$Q$3504,14,FALSE())</f>
        <v>0.02</v>
      </c>
      <c r="O268" s="0" t="n">
        <f aca="false">VLOOKUP($A268,'[2]Sheet 1'!$A$2:$Q$3504,15,FALSE())</f>
        <v>0</v>
      </c>
      <c r="P268" s="0" t="n">
        <f aca="false">VLOOKUP($A268,'[2]Sheet 1'!$A$2:$Q$3504,16,FALSE())</f>
        <v>0.7</v>
      </c>
      <c r="Q268" s="0" t="n">
        <f aca="false">VLOOKUP($A268,'[2]Sheet 1'!$A$2:$Q$3504,17,FALSE())</f>
        <v>5.116666667</v>
      </c>
      <c r="S268" s="5"/>
    </row>
    <row r="269" customFormat="false" ht="14.25" hidden="false" customHeight="false" outlineLevel="0" collapsed="false">
      <c r="A269" s="5" t="n">
        <v>576</v>
      </c>
      <c r="B269" s="5" t="s">
        <v>635</v>
      </c>
      <c r="C269" s="7" t="n">
        <v>10</v>
      </c>
      <c r="D269" s="0" t="n">
        <f aca="false">VLOOKUP($A269,'[2]Sheet 1'!$A$2:$Q$3504,4,FALSE())</f>
        <v>53</v>
      </c>
      <c r="E269" s="0" t="n">
        <f aca="false">VLOOKUP($A269,'[2]Sheet 1'!$A$2:$Q$3504,5,FALSE())</f>
        <v>0.2</v>
      </c>
      <c r="F269" s="0" t="n">
        <f aca="false">VLOOKUP($A269,'[2]Sheet 1'!$A$2:$Q$3504,6,FALSE())</f>
        <v>0.2</v>
      </c>
      <c r="G269" s="0" t="n">
        <f aca="false">VLOOKUP($A269,'[2]Sheet 1'!$A$2:$Q$3504,7,FALSE())</f>
        <v>0.06</v>
      </c>
      <c r="H269" s="0" t="n">
        <f aca="false">VLOOKUP($A269,'[2]Sheet 1'!$A$2:$Q$3504,8,FALSE())</f>
        <v>0.26</v>
      </c>
      <c r="I269" s="0" t="n">
        <f aca="false">VLOOKUP($A269,'[2]Sheet 1'!$A$2:$Q$3504,9,FALSE())</f>
        <v>9</v>
      </c>
      <c r="J269" s="0" t="n">
        <f aca="false">VLOOKUP($A269,'[2]Sheet 1'!$A$2:$Q$3504,10,FALSE())</f>
        <v>7</v>
      </c>
      <c r="K269" s="0" t="n">
        <f aca="false">VLOOKUP($A269,'[2]Sheet 1'!$A$2:$Q$3504,11,FALSE())</f>
        <v>0.0105</v>
      </c>
      <c r="L269" s="0" t="n">
        <f aca="false">VLOOKUP($A269,'[2]Sheet 1'!$A$2:$Q$3504,12,FALSE())</f>
        <v>2.1</v>
      </c>
      <c r="M269" s="0" t="n">
        <f aca="false">VLOOKUP($A269,'[2]Sheet 1'!$A$2:$Q$3504,13,FALSE())</f>
        <v>104.5</v>
      </c>
      <c r="N269" s="0" t="n">
        <f aca="false">VLOOKUP($A269,'[2]Sheet 1'!$A$2:$Q$3504,14,FALSE())</f>
        <v>0.2</v>
      </c>
      <c r="O269" s="0" t="n">
        <f aca="false">VLOOKUP($A269,'[2]Sheet 1'!$A$2:$Q$3504,15,FALSE())</f>
        <v>0</v>
      </c>
      <c r="P269" s="0" t="n">
        <f aca="false">VLOOKUP($A269,'[2]Sheet 1'!$A$2:$Q$3504,16,FALSE())</f>
        <v>0.1</v>
      </c>
      <c r="Q269" s="0" t="n">
        <f aca="false">VLOOKUP($A269,'[2]Sheet 1'!$A$2:$Q$3504,17,FALSE())</f>
        <v>7</v>
      </c>
      <c r="S269" s="7"/>
    </row>
    <row r="270" customFormat="false" ht="14.25" hidden="false" customHeight="false" outlineLevel="0" collapsed="false">
      <c r="A270" s="5" t="n">
        <v>577</v>
      </c>
      <c r="B270" s="5" t="s">
        <v>636</v>
      </c>
      <c r="C270" s="5" t="n">
        <v>78</v>
      </c>
      <c r="D270" s="0" t="n">
        <f aca="false">VLOOKUP($A270,'[2]Sheet 1'!$A$2:$Q$3504,4,FALSE())</f>
        <v>149</v>
      </c>
      <c r="E270" s="0" t="n">
        <f aca="false">VLOOKUP($A270,'[2]Sheet 1'!$A$2:$Q$3504,5,FALSE())</f>
        <v>1.705</v>
      </c>
      <c r="F270" s="0" t="n">
        <f aca="false">VLOOKUP($A270,'[2]Sheet 1'!$A$2:$Q$3504,6,FALSE())</f>
        <v>4</v>
      </c>
      <c r="G270" s="0" t="n">
        <f aca="false">VLOOKUP($A270,'[2]Sheet 1'!$A$2:$Q$3504,7,FALSE())</f>
        <v>0.29</v>
      </c>
      <c r="H270" s="0" t="n">
        <f aca="false">VLOOKUP($A270,'[2]Sheet 1'!$A$2:$Q$3504,8,FALSE())</f>
        <v>1.01</v>
      </c>
      <c r="I270" s="0" t="n">
        <f aca="false">VLOOKUP($A270,'[2]Sheet 1'!$A$2:$Q$3504,9,FALSE())</f>
        <v>36.5</v>
      </c>
      <c r="J270" s="0" t="n">
        <f aca="false">VLOOKUP($A270,'[2]Sheet 1'!$A$2:$Q$3504,10,FALSE())</f>
        <v>19</v>
      </c>
      <c r="K270" s="0" t="n">
        <f aca="false">VLOOKUP($A270,'[2]Sheet 1'!$A$2:$Q$3504,11,FALSE())</f>
        <v>0.08</v>
      </c>
      <c r="L270" s="0" t="n">
        <f aca="false">VLOOKUP($A270,'[2]Sheet 1'!$A$2:$Q$3504,12,FALSE())</f>
        <v>8.1</v>
      </c>
      <c r="M270" s="0" t="n">
        <f aca="false">VLOOKUP($A270,'[2]Sheet 1'!$A$2:$Q$3504,13,FALSE())</f>
        <v>654</v>
      </c>
      <c r="N270" s="0" t="n">
        <f aca="false">VLOOKUP($A270,'[2]Sheet 1'!$A$2:$Q$3504,14,FALSE())</f>
        <v>0</v>
      </c>
      <c r="O270" s="0" t="n">
        <f aca="false">VLOOKUP($A270,'[2]Sheet 1'!$A$2:$Q$3504,15,FALSE())</f>
        <v>0</v>
      </c>
      <c r="P270" s="0" t="n">
        <f aca="false">VLOOKUP($A270,'[2]Sheet 1'!$A$2:$Q$3504,16,FALSE())</f>
        <v>2.7</v>
      </c>
      <c r="Q270" s="0" t="n">
        <f aca="false">VLOOKUP($A270,'[2]Sheet 1'!$A$2:$Q$3504,17,FALSE())</f>
        <v>5</v>
      </c>
      <c r="S270" s="5"/>
    </row>
    <row r="271" customFormat="false" ht="14.25" hidden="false" customHeight="false" outlineLevel="0" collapsed="false">
      <c r="A271" s="5" t="n">
        <v>580</v>
      </c>
      <c r="B271" s="5" t="s">
        <v>638</v>
      </c>
      <c r="C271" s="7" t="n">
        <v>20</v>
      </c>
      <c r="D271" s="0" t="n">
        <f aca="false">VLOOKUP($A271,'[2]Sheet 1'!$A$2:$Q$3504,4,FALSE())</f>
        <v>53</v>
      </c>
      <c r="E271" s="0" t="n">
        <f aca="false">VLOOKUP($A271,'[2]Sheet 1'!$A$2:$Q$3504,5,FALSE())</f>
        <v>0.2</v>
      </c>
      <c r="F271" s="0" t="n">
        <f aca="false">VLOOKUP($A271,'[2]Sheet 1'!$A$2:$Q$3504,6,FALSE())</f>
        <v>0.2</v>
      </c>
      <c r="G271" s="0" t="n">
        <f aca="false">VLOOKUP($A271,'[2]Sheet 1'!$A$2:$Q$3504,7,FALSE())</f>
        <v>0.06</v>
      </c>
      <c r="H271" s="0" t="n">
        <f aca="false">VLOOKUP($A271,'[2]Sheet 1'!$A$2:$Q$3504,8,FALSE())</f>
        <v>0.26</v>
      </c>
      <c r="I271" s="0" t="n">
        <f aca="false">VLOOKUP($A271,'[2]Sheet 1'!$A$2:$Q$3504,9,FALSE())</f>
        <v>9</v>
      </c>
      <c r="J271" s="0" t="n">
        <f aca="false">VLOOKUP($A271,'[2]Sheet 1'!$A$2:$Q$3504,10,FALSE())</f>
        <v>7</v>
      </c>
      <c r="K271" s="0" t="n">
        <f aca="false">VLOOKUP($A271,'[2]Sheet 1'!$A$2:$Q$3504,11,FALSE())</f>
        <v>0.0105</v>
      </c>
      <c r="L271" s="0" t="n">
        <f aca="false">VLOOKUP($A271,'[2]Sheet 1'!$A$2:$Q$3504,12,FALSE())</f>
        <v>2.1</v>
      </c>
      <c r="M271" s="0" t="n">
        <f aca="false">VLOOKUP($A271,'[2]Sheet 1'!$A$2:$Q$3504,13,FALSE())</f>
        <v>104.5</v>
      </c>
      <c r="N271" s="0" t="n">
        <f aca="false">VLOOKUP($A271,'[2]Sheet 1'!$A$2:$Q$3504,14,FALSE())</f>
        <v>0.2</v>
      </c>
      <c r="O271" s="0" t="n">
        <f aca="false">VLOOKUP($A271,'[2]Sheet 1'!$A$2:$Q$3504,15,FALSE())</f>
        <v>0</v>
      </c>
      <c r="P271" s="0" t="n">
        <f aca="false">VLOOKUP($A271,'[2]Sheet 1'!$A$2:$Q$3504,16,FALSE())</f>
        <v>0.1</v>
      </c>
      <c r="Q271" s="0" t="n">
        <f aca="false">VLOOKUP($A271,'[2]Sheet 1'!$A$2:$Q$3504,17,FALSE())</f>
        <v>7</v>
      </c>
      <c r="S271" s="7"/>
    </row>
    <row r="272" customFormat="false" ht="14.25" hidden="false" customHeight="false" outlineLevel="0" collapsed="false">
      <c r="A272" s="5" t="n">
        <v>587</v>
      </c>
      <c r="B272" s="5" t="s">
        <v>640</v>
      </c>
      <c r="C272" s="5" t="n">
        <v>22</v>
      </c>
      <c r="D272" s="0" t="n">
        <f aca="false">VLOOKUP($A272,'[2]Sheet 1'!$A$2:$Q$3504,4,FALSE())</f>
        <v>74</v>
      </c>
      <c r="E272" s="0" t="n">
        <f aca="false">VLOOKUP($A272,'[2]Sheet 1'!$A$2:$Q$3504,5,FALSE())</f>
        <v>0.61</v>
      </c>
      <c r="F272" s="0" t="n">
        <f aca="false">VLOOKUP($A272,'[2]Sheet 1'!$A$2:$Q$3504,6,FALSE())</f>
        <v>1.45</v>
      </c>
      <c r="G272" s="0" t="n">
        <f aca="false">VLOOKUP($A272,'[2]Sheet 1'!$A$2:$Q$3504,7,FALSE())</f>
        <v>0.095</v>
      </c>
      <c r="H272" s="0" t="n">
        <f aca="false">VLOOKUP($A272,'[2]Sheet 1'!$A$2:$Q$3504,8,FALSE())</f>
        <v>0.2</v>
      </c>
      <c r="I272" s="0" t="n">
        <f aca="false">VLOOKUP($A272,'[2]Sheet 1'!$A$2:$Q$3504,9,FALSE())</f>
        <v>18.5</v>
      </c>
      <c r="J272" s="0" t="n">
        <f aca="false">VLOOKUP($A272,'[2]Sheet 1'!$A$2:$Q$3504,10,FALSE())</f>
        <v>8</v>
      </c>
      <c r="K272" s="0" t="n">
        <f aca="false">VLOOKUP($A272,'[2]Sheet 1'!$A$2:$Q$3504,11,FALSE())</f>
        <v>0.015</v>
      </c>
      <c r="L272" s="0" t="n">
        <f aca="false">VLOOKUP($A272,'[2]Sheet 1'!$A$2:$Q$3504,12,FALSE())</f>
        <v>7.6</v>
      </c>
      <c r="M272" s="0" t="n">
        <f aca="false">VLOOKUP($A272,'[2]Sheet 1'!$A$2:$Q$3504,13,FALSE())</f>
        <v>161</v>
      </c>
      <c r="N272" s="0" t="n">
        <f aca="false">VLOOKUP($A272,'[2]Sheet 1'!$A$2:$Q$3504,14,FALSE())</f>
        <v>0</v>
      </c>
      <c r="O272" s="0" t="n">
        <f aca="false">VLOOKUP($A272,'[2]Sheet 1'!$A$2:$Q$3504,15,FALSE())</f>
        <v>0</v>
      </c>
      <c r="P272" s="0" t="n">
        <f aca="false">VLOOKUP($A272,'[2]Sheet 1'!$A$2:$Q$3504,16,FALSE())</f>
        <v>0</v>
      </c>
      <c r="Q272" s="0" t="n">
        <f aca="false">VLOOKUP($A272,'[2]Sheet 1'!$A$2:$Q$3504,17,FALSE())</f>
        <v>27</v>
      </c>
      <c r="S272" s="5"/>
    </row>
    <row r="273" customFormat="false" ht="14.25" hidden="false" customHeight="false" outlineLevel="0" collapsed="false">
      <c r="A273" s="5" t="n">
        <v>591</v>
      </c>
      <c r="B273" s="5" t="s">
        <v>642</v>
      </c>
      <c r="C273" s="5" t="n">
        <v>15</v>
      </c>
      <c r="D273" s="0" t="n">
        <f aca="false">VLOOKUP($A273,'[2]Sheet 1'!$A$2:$Q$3504,4,FALSE())</f>
        <v>53</v>
      </c>
      <c r="E273" s="0" t="n">
        <f aca="false">VLOOKUP($A273,'[2]Sheet 1'!$A$2:$Q$3504,5,FALSE())</f>
        <v>0.9</v>
      </c>
      <c r="F273" s="0" t="n">
        <f aca="false">VLOOKUP($A273,'[2]Sheet 1'!$A$2:$Q$3504,6,FALSE())</f>
        <v>0.8</v>
      </c>
      <c r="G273" s="0" t="n">
        <f aca="false">VLOOKUP($A273,'[2]Sheet 1'!$A$2:$Q$3504,7,FALSE())</f>
        <v>0</v>
      </c>
      <c r="H273" s="0" t="n">
        <f aca="false">VLOOKUP($A273,'[2]Sheet 1'!$A$2:$Q$3504,8,FALSE())</f>
        <v>0.4</v>
      </c>
      <c r="I273" s="0" t="n">
        <f aca="false">VLOOKUP($A273,'[2]Sheet 1'!$A$2:$Q$3504,9,FALSE())</f>
        <v>10</v>
      </c>
      <c r="J273" s="0" t="n">
        <f aca="false">VLOOKUP($A273,'[2]Sheet 1'!$A$2:$Q$3504,10,FALSE())</f>
        <v>0</v>
      </c>
      <c r="K273" s="0" t="n">
        <f aca="false">VLOOKUP($A273,'[2]Sheet 1'!$A$2:$Q$3504,11,FALSE())</f>
        <v>0.05</v>
      </c>
      <c r="L273" s="0" t="n">
        <f aca="false">VLOOKUP($A273,'[2]Sheet 1'!$A$2:$Q$3504,12,FALSE())</f>
        <v>0</v>
      </c>
      <c r="M273" s="0" t="n">
        <f aca="false">VLOOKUP($A273,'[2]Sheet 1'!$A$2:$Q$3504,13,FALSE())</f>
        <v>111.5</v>
      </c>
      <c r="N273" s="0" t="n">
        <f aca="false">VLOOKUP($A273,'[2]Sheet 1'!$A$2:$Q$3504,14,FALSE())</f>
        <v>0</v>
      </c>
      <c r="O273" s="0" t="n">
        <f aca="false">VLOOKUP($A273,'[2]Sheet 1'!$A$2:$Q$3504,15,FALSE())</f>
        <v>0</v>
      </c>
      <c r="P273" s="0" t="n">
        <f aca="false">VLOOKUP($A273,'[2]Sheet 1'!$A$2:$Q$3504,16,FALSE())</f>
        <v>0</v>
      </c>
      <c r="Q273" s="0" t="n">
        <f aca="false">VLOOKUP($A273,'[2]Sheet 1'!$A$2:$Q$3504,17,FALSE())</f>
        <v>17</v>
      </c>
      <c r="S273" s="5"/>
    </row>
    <row r="274" customFormat="false" ht="14.25" hidden="false" customHeight="false" outlineLevel="0" collapsed="false">
      <c r="A274" s="5" t="n">
        <v>592</v>
      </c>
      <c r="B274" s="5" t="s">
        <v>644</v>
      </c>
      <c r="C274" s="5" t="n">
        <v>10</v>
      </c>
      <c r="D274" s="0" t="n">
        <f aca="false">VLOOKUP($A274,'[2]Sheet 1'!$A$2:$Q$3504,4,FALSE())</f>
        <v>61</v>
      </c>
      <c r="E274" s="0" t="n">
        <f aca="false">VLOOKUP($A274,'[2]Sheet 1'!$A$2:$Q$3504,5,FALSE())</f>
        <v>1.07</v>
      </c>
      <c r="F274" s="0" t="n">
        <f aca="false">VLOOKUP($A274,'[2]Sheet 1'!$A$2:$Q$3504,6,FALSE())</f>
        <v>2.5</v>
      </c>
      <c r="G274" s="0" t="n">
        <f aca="false">VLOOKUP($A274,'[2]Sheet 1'!$A$2:$Q$3504,7,FALSE())</f>
        <v>0.155</v>
      </c>
      <c r="H274" s="0" t="n">
        <f aca="false">VLOOKUP($A274,'[2]Sheet 1'!$A$2:$Q$3504,8,FALSE())</f>
        <v>0.4</v>
      </c>
      <c r="I274" s="0" t="n">
        <f aca="false">VLOOKUP($A274,'[2]Sheet 1'!$A$2:$Q$3504,9,FALSE())</f>
        <v>27</v>
      </c>
      <c r="J274" s="0" t="n">
        <f aca="false">VLOOKUP($A274,'[2]Sheet 1'!$A$2:$Q$3504,10,FALSE())</f>
        <v>25</v>
      </c>
      <c r="K274" s="0" t="n">
        <f aca="false">VLOOKUP($A274,'[2]Sheet 1'!$A$2:$Q$3504,11,FALSE())</f>
        <v>0.0355</v>
      </c>
      <c r="L274" s="0" t="n">
        <f aca="false">VLOOKUP($A274,'[2]Sheet 1'!$A$2:$Q$3504,12,FALSE())</f>
        <v>6.4</v>
      </c>
      <c r="M274" s="0" t="n">
        <f aca="false">VLOOKUP($A274,'[2]Sheet 1'!$A$2:$Q$3504,13,FALSE())</f>
        <v>324</v>
      </c>
      <c r="N274" s="0" t="n">
        <f aca="false">VLOOKUP($A274,'[2]Sheet 1'!$A$2:$Q$3504,14,FALSE())</f>
        <v>1.46</v>
      </c>
      <c r="O274" s="0" t="n">
        <f aca="false">VLOOKUP($A274,'[2]Sheet 1'!$A$2:$Q$3504,15,FALSE())</f>
        <v>0</v>
      </c>
      <c r="P274" s="0" t="n">
        <f aca="false">VLOOKUP($A274,'[2]Sheet 1'!$A$2:$Q$3504,16,FALSE())</f>
        <v>40.3</v>
      </c>
      <c r="Q274" s="0" t="n">
        <f aca="false">VLOOKUP($A274,'[2]Sheet 1'!$A$2:$Q$3504,17,FALSE())</f>
        <v>11</v>
      </c>
      <c r="S274" s="5"/>
    </row>
    <row r="275" customFormat="false" ht="14.25" hidden="false" customHeight="false" outlineLevel="0" collapsed="false">
      <c r="A275" s="5" t="n">
        <v>600</v>
      </c>
      <c r="B275" s="5" t="s">
        <v>646</v>
      </c>
      <c r="C275" s="5" t="n">
        <v>11</v>
      </c>
      <c r="D275" s="0" t="n">
        <f aca="false">VLOOKUP($A275,'[2]Sheet 1'!$A$2:$Q$3504,4,FALSE())</f>
        <v>35.4</v>
      </c>
      <c r="E275" s="0" t="n">
        <f aca="false">VLOOKUP($A275,'[2]Sheet 1'!$A$2:$Q$3504,5,FALSE())</f>
        <v>0.55</v>
      </c>
      <c r="F275" s="0" t="n">
        <f aca="false">VLOOKUP($A275,'[2]Sheet 1'!$A$2:$Q$3504,6,FALSE())</f>
        <v>1.15</v>
      </c>
      <c r="G275" s="0" t="n">
        <f aca="false">VLOOKUP($A275,'[2]Sheet 1'!$A$2:$Q$3504,7,FALSE())</f>
        <v>0.1</v>
      </c>
      <c r="H275" s="0" t="n">
        <f aca="false">VLOOKUP($A275,'[2]Sheet 1'!$A$2:$Q$3504,8,FALSE())</f>
        <v>0.4</v>
      </c>
      <c r="I275" s="0" t="n">
        <f aca="false">VLOOKUP($A275,'[2]Sheet 1'!$A$2:$Q$3504,9,FALSE())</f>
        <v>22</v>
      </c>
      <c r="J275" s="0" t="n">
        <f aca="false">VLOOKUP($A275,'[2]Sheet 1'!$A$2:$Q$3504,10,FALSE())</f>
        <v>31</v>
      </c>
      <c r="K275" s="0" t="n">
        <f aca="false">VLOOKUP($A275,'[2]Sheet 1'!$A$2:$Q$3504,11,FALSE())</f>
        <v>0.03</v>
      </c>
      <c r="L275" s="0" t="n">
        <f aca="false">VLOOKUP($A275,'[2]Sheet 1'!$A$2:$Q$3504,12,FALSE())</f>
        <v>6.1</v>
      </c>
      <c r="M275" s="0" t="n">
        <f aca="false">VLOOKUP($A275,'[2]Sheet 1'!$A$2:$Q$3504,13,FALSE())</f>
        <v>182</v>
      </c>
      <c r="N275" s="0" t="n">
        <f aca="false">VLOOKUP($A275,'[2]Sheet 1'!$A$2:$Q$3504,14,FALSE())</f>
        <v>0.3</v>
      </c>
      <c r="O275" s="0" t="n">
        <f aca="false">VLOOKUP($A275,'[2]Sheet 1'!$A$2:$Q$3504,15,FALSE())</f>
        <v>0</v>
      </c>
      <c r="P275" s="0" t="n">
        <f aca="false">VLOOKUP($A275,'[2]Sheet 1'!$A$2:$Q$3504,16,FALSE())</f>
        <v>2.6</v>
      </c>
      <c r="Q275" s="0" t="n">
        <f aca="false">VLOOKUP($A275,'[2]Sheet 1'!$A$2:$Q$3504,17,FALSE())</f>
        <v>79.16666667</v>
      </c>
      <c r="S275" s="5"/>
    </row>
    <row r="276" customFormat="false" ht="14.25" hidden="false" customHeight="false" outlineLevel="0" collapsed="false">
      <c r="A276" s="5" t="n">
        <v>603</v>
      </c>
      <c r="B276" s="5" t="s">
        <v>648</v>
      </c>
      <c r="C276" s="5" t="n">
        <v>15</v>
      </c>
      <c r="D276" s="0" t="n">
        <f aca="false">VLOOKUP($A276,'[2]Sheet 1'!$A$2:$Q$3504,4,FALSE())</f>
        <v>71.5</v>
      </c>
      <c r="E276" s="0" t="n">
        <f aca="false">VLOOKUP($A276,'[2]Sheet 1'!$A$2:$Q$3504,5,FALSE())</f>
        <v>1.1</v>
      </c>
      <c r="F276" s="0" t="n">
        <f aca="false">VLOOKUP($A276,'[2]Sheet 1'!$A$2:$Q$3504,6,FALSE())</f>
        <v>2</v>
      </c>
      <c r="G276" s="0" t="n">
        <f aca="false">VLOOKUP($A276,'[2]Sheet 1'!$A$2:$Q$3504,7,FALSE())</f>
        <v>0.12</v>
      </c>
      <c r="H276" s="0" t="n">
        <f aca="false">VLOOKUP($A276,'[2]Sheet 1'!$A$2:$Q$3504,8,FALSE())</f>
        <v>0.7</v>
      </c>
      <c r="I276" s="0" t="n">
        <f aca="false">VLOOKUP($A276,'[2]Sheet 1'!$A$2:$Q$3504,9,FALSE())</f>
        <v>22.5</v>
      </c>
      <c r="J276" s="0" t="n">
        <f aca="false">VLOOKUP($A276,'[2]Sheet 1'!$A$2:$Q$3504,10,FALSE())</f>
        <v>14</v>
      </c>
      <c r="K276" s="0" t="n">
        <f aca="false">VLOOKUP($A276,'[2]Sheet 1'!$A$2:$Q$3504,11,FALSE())</f>
        <v>0.05</v>
      </c>
      <c r="L276" s="0" t="n">
        <f aca="false">VLOOKUP($A276,'[2]Sheet 1'!$A$2:$Q$3504,12,FALSE())</f>
        <v>7.6</v>
      </c>
      <c r="M276" s="0" t="n">
        <f aca="false">VLOOKUP($A276,'[2]Sheet 1'!$A$2:$Q$3504,13,FALSE())</f>
        <v>248.5</v>
      </c>
      <c r="N276" s="0" t="n">
        <f aca="false">VLOOKUP($A276,'[2]Sheet 1'!$A$2:$Q$3504,14,FALSE())</f>
        <v>0.02</v>
      </c>
      <c r="O276" s="0" t="n">
        <f aca="false">VLOOKUP($A276,'[2]Sheet 1'!$A$2:$Q$3504,15,FALSE())</f>
        <v>0</v>
      </c>
      <c r="P276" s="0" t="n">
        <f aca="false">VLOOKUP($A276,'[2]Sheet 1'!$A$2:$Q$3504,16,FALSE())</f>
        <v>0.7</v>
      </c>
      <c r="Q276" s="0" t="n">
        <f aca="false">VLOOKUP($A276,'[2]Sheet 1'!$A$2:$Q$3504,17,FALSE())</f>
        <v>5.833333333</v>
      </c>
      <c r="S276" s="5"/>
    </row>
    <row r="277" customFormat="false" ht="14.25" hidden="false" customHeight="false" outlineLevel="0" collapsed="false">
      <c r="A277" s="5" t="n">
        <v>619</v>
      </c>
      <c r="B277" s="5" t="s">
        <v>651</v>
      </c>
      <c r="C277" s="5" t="n">
        <v>15</v>
      </c>
      <c r="D277" s="0" t="n">
        <f aca="false">VLOOKUP($A277,'[2]Sheet 1'!$A$2:$Q$3504,4,FALSE())</f>
        <v>70.5</v>
      </c>
      <c r="E277" s="0" t="n">
        <f aca="false">VLOOKUP($A277,'[2]Sheet 1'!$A$2:$Q$3504,5,FALSE())</f>
        <v>1.2</v>
      </c>
      <c r="F277" s="0" t="n">
        <f aca="false">VLOOKUP($A277,'[2]Sheet 1'!$A$2:$Q$3504,6,FALSE())</f>
        <v>3.7</v>
      </c>
      <c r="G277" s="0" t="n">
        <f aca="false">VLOOKUP($A277,'[2]Sheet 1'!$A$2:$Q$3504,7,FALSE())</f>
        <v>0.12</v>
      </c>
      <c r="H277" s="0" t="n">
        <f aca="false">VLOOKUP($A277,'[2]Sheet 1'!$A$2:$Q$3504,8,FALSE())</f>
        <v>1</v>
      </c>
      <c r="I277" s="0" t="n">
        <f aca="false">VLOOKUP($A277,'[2]Sheet 1'!$A$2:$Q$3504,9,FALSE())</f>
        <v>31</v>
      </c>
      <c r="J277" s="0" t="n">
        <f aca="false">VLOOKUP($A277,'[2]Sheet 1'!$A$2:$Q$3504,10,FALSE())</f>
        <v>14</v>
      </c>
      <c r="K277" s="0" t="n">
        <f aca="false">VLOOKUP($A277,'[2]Sheet 1'!$A$2:$Q$3504,11,FALSE())</f>
        <v>0.04</v>
      </c>
      <c r="L277" s="0" t="n">
        <f aca="false">VLOOKUP($A277,'[2]Sheet 1'!$A$2:$Q$3504,12,FALSE())</f>
        <v>8.1</v>
      </c>
      <c r="M277" s="0" t="n">
        <f aca="false">VLOOKUP($A277,'[2]Sheet 1'!$A$2:$Q$3504,13,FALSE())</f>
        <v>246.5</v>
      </c>
      <c r="N277" s="0" t="n">
        <f aca="false">VLOOKUP($A277,'[2]Sheet 1'!$A$2:$Q$3504,14,FALSE())</f>
        <v>0.6</v>
      </c>
      <c r="O277" s="0" t="n">
        <f aca="false">VLOOKUP($A277,'[2]Sheet 1'!$A$2:$Q$3504,15,FALSE())</f>
        <v>0</v>
      </c>
      <c r="P277" s="0" t="n">
        <f aca="false">VLOOKUP($A277,'[2]Sheet 1'!$A$2:$Q$3504,16,FALSE())</f>
        <v>16.4</v>
      </c>
      <c r="Q277" s="0" t="n">
        <f aca="false">VLOOKUP($A277,'[2]Sheet 1'!$A$2:$Q$3504,17,FALSE())</f>
        <v>6.5</v>
      </c>
      <c r="S277" s="5"/>
    </row>
    <row r="278" customFormat="false" ht="14.25" hidden="false" customHeight="false" outlineLevel="0" collapsed="false">
      <c r="A278" s="5" t="n">
        <v>620</v>
      </c>
      <c r="B278" s="5" t="s">
        <v>653</v>
      </c>
      <c r="C278" s="5" t="n">
        <v>85</v>
      </c>
      <c r="D278" s="0" t="n">
        <f aca="false">VLOOKUP($A278,'[2]Sheet 1'!$A$2:$Q$3504,4,FALSE())</f>
        <v>286</v>
      </c>
      <c r="E278" s="0" t="n">
        <f aca="false">VLOOKUP($A278,'[2]Sheet 1'!$A$2:$Q$3504,5,FALSE())</f>
        <v>3.4</v>
      </c>
      <c r="F278" s="0" t="n">
        <f aca="false">VLOOKUP($A278,'[2]Sheet 1'!$A$2:$Q$3504,6,FALSE())</f>
        <v>8.2</v>
      </c>
      <c r="G278" s="0" t="n">
        <f aca="false">VLOOKUP($A278,'[2]Sheet 1'!$A$2:$Q$3504,7,FALSE())</f>
        <v>0.405</v>
      </c>
      <c r="H278" s="0" t="n">
        <f aca="false">VLOOKUP($A278,'[2]Sheet 1'!$A$2:$Q$3504,8,FALSE())</f>
        <v>1.75</v>
      </c>
      <c r="I278" s="0" t="n">
        <f aca="false">VLOOKUP($A278,'[2]Sheet 1'!$A$2:$Q$3504,9,FALSE())</f>
        <v>35</v>
      </c>
      <c r="J278" s="0" t="n">
        <f aca="false">VLOOKUP($A278,'[2]Sheet 1'!$A$2:$Q$3504,10,FALSE())</f>
        <v>10</v>
      </c>
      <c r="K278" s="0" t="n">
        <f aca="false">VLOOKUP($A278,'[2]Sheet 1'!$A$2:$Q$3504,11,FALSE())</f>
        <v>0.145</v>
      </c>
      <c r="L278" s="0" t="n">
        <f aca="false">VLOOKUP($A278,'[2]Sheet 1'!$A$2:$Q$3504,12,FALSE())</f>
        <v>15.15</v>
      </c>
      <c r="M278" s="0" t="n">
        <f aca="false">VLOOKUP($A278,'[2]Sheet 1'!$A$2:$Q$3504,13,FALSE())</f>
        <v>802</v>
      </c>
      <c r="N278" s="0" t="n">
        <f aca="false">VLOOKUP($A278,'[2]Sheet 1'!$A$2:$Q$3504,14,FALSE())</f>
        <v>0.12</v>
      </c>
      <c r="O278" s="0" t="n">
        <f aca="false">VLOOKUP($A278,'[2]Sheet 1'!$A$2:$Q$3504,15,FALSE())</f>
        <v>0</v>
      </c>
      <c r="P278" s="0" t="n">
        <f aca="false">VLOOKUP($A278,'[2]Sheet 1'!$A$2:$Q$3504,16,FALSE())</f>
        <v>3.5</v>
      </c>
      <c r="Q278" s="0" t="n">
        <f aca="false">VLOOKUP($A278,'[2]Sheet 1'!$A$2:$Q$3504,17,FALSE())</f>
        <v>1.5</v>
      </c>
      <c r="S278" s="5"/>
    </row>
    <row r="279" customFormat="false" ht="14.25" hidden="false" customHeight="false" outlineLevel="0" collapsed="false">
      <c r="A279" s="5" t="n">
        <v>622</v>
      </c>
      <c r="B279" s="5" t="s">
        <v>656</v>
      </c>
      <c r="C279" s="5" t="n">
        <v>12</v>
      </c>
      <c r="D279" s="0" t="n">
        <f aca="false">VLOOKUP($A279,'[2]Sheet 1'!$A$2:$Q$3504,4,FALSE())</f>
        <v>53</v>
      </c>
      <c r="E279" s="0" t="n">
        <f aca="false">VLOOKUP($A279,'[2]Sheet 1'!$A$2:$Q$3504,5,FALSE())</f>
        <v>0.2</v>
      </c>
      <c r="F279" s="0" t="n">
        <f aca="false">VLOOKUP($A279,'[2]Sheet 1'!$A$2:$Q$3504,6,FALSE())</f>
        <v>0.2</v>
      </c>
      <c r="G279" s="0" t="n">
        <f aca="false">VLOOKUP($A279,'[2]Sheet 1'!$A$2:$Q$3504,7,FALSE())</f>
        <v>0.06</v>
      </c>
      <c r="H279" s="0" t="n">
        <f aca="false">VLOOKUP($A279,'[2]Sheet 1'!$A$2:$Q$3504,8,FALSE())</f>
        <v>0.26</v>
      </c>
      <c r="I279" s="0" t="n">
        <f aca="false">VLOOKUP($A279,'[2]Sheet 1'!$A$2:$Q$3504,9,FALSE())</f>
        <v>9</v>
      </c>
      <c r="J279" s="0" t="n">
        <f aca="false">VLOOKUP($A279,'[2]Sheet 1'!$A$2:$Q$3504,10,FALSE())</f>
        <v>7</v>
      </c>
      <c r="K279" s="0" t="n">
        <f aca="false">VLOOKUP($A279,'[2]Sheet 1'!$A$2:$Q$3504,11,FALSE())</f>
        <v>0.0105</v>
      </c>
      <c r="L279" s="0" t="n">
        <f aca="false">VLOOKUP($A279,'[2]Sheet 1'!$A$2:$Q$3504,12,FALSE())</f>
        <v>2.1</v>
      </c>
      <c r="M279" s="0" t="n">
        <f aca="false">VLOOKUP($A279,'[2]Sheet 1'!$A$2:$Q$3504,13,FALSE())</f>
        <v>104.5</v>
      </c>
      <c r="N279" s="0" t="n">
        <f aca="false">VLOOKUP($A279,'[2]Sheet 1'!$A$2:$Q$3504,14,FALSE())</f>
        <v>0.2</v>
      </c>
      <c r="O279" s="0" t="n">
        <f aca="false">VLOOKUP($A279,'[2]Sheet 1'!$A$2:$Q$3504,15,FALSE())</f>
        <v>0</v>
      </c>
      <c r="P279" s="0" t="n">
        <f aca="false">VLOOKUP($A279,'[2]Sheet 1'!$A$2:$Q$3504,16,FALSE())</f>
        <v>0.1</v>
      </c>
      <c r="Q279" s="0" t="n">
        <f aca="false">VLOOKUP($A279,'[2]Sheet 1'!$A$2:$Q$3504,17,FALSE())</f>
        <v>7</v>
      </c>
      <c r="S279" s="5"/>
    </row>
    <row r="280" customFormat="false" ht="14.25" hidden="false" customHeight="false" outlineLevel="0" collapsed="false">
      <c r="A280" s="5" t="n">
        <v>623</v>
      </c>
      <c r="B280" s="5" t="s">
        <v>659</v>
      </c>
      <c r="C280" s="5" t="n">
        <v>12</v>
      </c>
      <c r="D280" s="0" t="n">
        <f aca="false">VLOOKUP($A280,'[2]Sheet 1'!$A$2:$Q$3504,4,FALSE())</f>
        <v>48</v>
      </c>
      <c r="E280" s="0" t="n">
        <f aca="false">VLOOKUP($A280,'[2]Sheet 1'!$A$2:$Q$3504,5,FALSE())</f>
        <v>0.645</v>
      </c>
      <c r="F280" s="0" t="n">
        <f aca="false">VLOOKUP($A280,'[2]Sheet 1'!$A$2:$Q$3504,6,FALSE())</f>
        <v>1.8</v>
      </c>
      <c r="G280" s="0" t="n">
        <f aca="false">VLOOKUP($A280,'[2]Sheet 1'!$A$2:$Q$3504,7,FALSE())</f>
        <v>0.105</v>
      </c>
      <c r="H280" s="0" t="n">
        <f aca="false">VLOOKUP($A280,'[2]Sheet 1'!$A$2:$Q$3504,8,FALSE())</f>
        <v>0.39</v>
      </c>
      <c r="I280" s="0" t="n">
        <f aca="false">VLOOKUP($A280,'[2]Sheet 1'!$A$2:$Q$3504,9,FALSE())</f>
        <v>11</v>
      </c>
      <c r="J280" s="0" t="n">
        <f aca="false">VLOOKUP($A280,'[2]Sheet 1'!$A$2:$Q$3504,10,FALSE())</f>
        <v>3</v>
      </c>
      <c r="K280" s="0" t="n">
        <f aca="false">VLOOKUP($A280,'[2]Sheet 1'!$A$2:$Q$3504,11,FALSE())</f>
        <v>0.025</v>
      </c>
      <c r="L280" s="0" t="n">
        <f aca="false">VLOOKUP($A280,'[2]Sheet 1'!$A$2:$Q$3504,12,FALSE())</f>
        <v>4.1</v>
      </c>
      <c r="M280" s="0" t="n">
        <f aca="false">VLOOKUP($A280,'[2]Sheet 1'!$A$2:$Q$3504,13,FALSE())</f>
        <v>137.5</v>
      </c>
      <c r="N280" s="0" t="n">
        <f aca="false">VLOOKUP($A280,'[2]Sheet 1'!$A$2:$Q$3504,14,FALSE())</f>
        <v>0.89</v>
      </c>
      <c r="O280" s="0" t="n">
        <f aca="false">VLOOKUP($A280,'[2]Sheet 1'!$A$2:$Q$3504,15,FALSE())</f>
        <v>0</v>
      </c>
      <c r="P280" s="0" t="n">
        <f aca="false">VLOOKUP($A280,'[2]Sheet 1'!$A$2:$Q$3504,16,FALSE())</f>
        <v>3.3</v>
      </c>
      <c r="Q280" s="0" t="n">
        <f aca="false">VLOOKUP($A280,'[2]Sheet 1'!$A$2:$Q$3504,17,FALSE())</f>
        <v>8</v>
      </c>
      <c r="S280" s="5"/>
    </row>
    <row r="281" customFormat="false" ht="14.25" hidden="false" customHeight="false" outlineLevel="0" collapsed="false">
      <c r="A281" s="5" t="n">
        <v>626</v>
      </c>
      <c r="B281" s="5" t="s">
        <v>664</v>
      </c>
      <c r="C281" s="5" t="n">
        <v>20</v>
      </c>
      <c r="D281" s="0" t="n">
        <f aca="false">VLOOKUP($A281,'[2]Sheet 1'!$A$2:$Q$3504,4,FALSE())</f>
        <v>51</v>
      </c>
      <c r="E281" s="0" t="n">
        <f aca="false">VLOOKUP($A281,'[2]Sheet 1'!$A$2:$Q$3504,5,FALSE())</f>
        <v>0.2</v>
      </c>
      <c r="F281" s="0" t="n">
        <f aca="false">VLOOKUP($A281,'[2]Sheet 1'!$A$2:$Q$3504,6,FALSE())</f>
        <v>1.7</v>
      </c>
      <c r="G281" s="0" t="n">
        <f aca="false">VLOOKUP($A281,'[2]Sheet 1'!$A$2:$Q$3504,7,FALSE())</f>
        <v>0.04</v>
      </c>
      <c r="H281" s="0" t="n">
        <f aca="false">VLOOKUP($A281,'[2]Sheet 1'!$A$2:$Q$3504,8,FALSE())</f>
        <v>0.23</v>
      </c>
      <c r="I281" s="0" t="n">
        <f aca="false">VLOOKUP($A281,'[2]Sheet 1'!$A$2:$Q$3504,9,FALSE())</f>
        <v>5</v>
      </c>
      <c r="J281" s="0" t="n">
        <f aca="false">VLOOKUP($A281,'[2]Sheet 1'!$A$2:$Q$3504,10,FALSE())</f>
        <v>2</v>
      </c>
      <c r="K281" s="0" t="n">
        <f aca="false">VLOOKUP($A281,'[2]Sheet 1'!$A$2:$Q$3504,11,FALSE())</f>
        <v>0.029</v>
      </c>
      <c r="L281" s="0" t="n">
        <f aca="false">VLOOKUP($A281,'[2]Sheet 1'!$A$2:$Q$3504,12,FALSE())</f>
        <v>3.5</v>
      </c>
      <c r="M281" s="0" t="n">
        <f aca="false">VLOOKUP($A281,'[2]Sheet 1'!$A$2:$Q$3504,13,FALSE())</f>
        <v>115</v>
      </c>
      <c r="N281" s="0" t="n">
        <f aca="false">VLOOKUP($A281,'[2]Sheet 1'!$A$2:$Q$3504,14,FALSE())</f>
        <v>0</v>
      </c>
      <c r="O281" s="0" t="n">
        <f aca="false">VLOOKUP($A281,'[2]Sheet 1'!$A$2:$Q$3504,15,FALSE())</f>
        <v>0</v>
      </c>
      <c r="P281" s="0" t="n">
        <f aca="false">VLOOKUP($A281,'[2]Sheet 1'!$A$2:$Q$3504,16,FALSE())</f>
        <v>2.9</v>
      </c>
      <c r="Q281" s="0" t="n">
        <f aca="false">VLOOKUP($A281,'[2]Sheet 1'!$A$2:$Q$3504,17,FALSE())</f>
        <v>2</v>
      </c>
      <c r="S281" s="5"/>
    </row>
    <row r="282" customFormat="false" ht="14.25" hidden="false" customHeight="false" outlineLevel="0" collapsed="false">
      <c r="A282" s="5" t="n">
        <v>628</v>
      </c>
      <c r="B282" s="5" t="s">
        <v>666</v>
      </c>
      <c r="C282" s="5" t="n">
        <v>20</v>
      </c>
      <c r="D282" s="0" t="n">
        <f aca="false">VLOOKUP($A282,'[2]Sheet 1'!$A$2:$Q$3504,4,FALSE())</f>
        <v>55</v>
      </c>
      <c r="E282" s="0" t="n">
        <f aca="false">VLOOKUP($A282,'[2]Sheet 1'!$A$2:$Q$3504,5,FALSE())</f>
        <v>0.41</v>
      </c>
      <c r="F282" s="0" t="n">
        <f aca="false">VLOOKUP($A282,'[2]Sheet 1'!$A$2:$Q$3504,6,FALSE())</f>
        <v>1.2</v>
      </c>
      <c r="G282" s="0" t="n">
        <f aca="false">VLOOKUP($A282,'[2]Sheet 1'!$A$2:$Q$3504,7,FALSE())</f>
        <v>0.08</v>
      </c>
      <c r="H282" s="0" t="n">
        <f aca="false">VLOOKUP($A282,'[2]Sheet 1'!$A$2:$Q$3504,8,FALSE())</f>
        <v>0.29</v>
      </c>
      <c r="I282" s="0" t="n">
        <f aca="false">VLOOKUP($A282,'[2]Sheet 1'!$A$2:$Q$3504,9,FALSE())</f>
        <v>5</v>
      </c>
      <c r="J282" s="0" t="n">
        <f aca="false">VLOOKUP($A282,'[2]Sheet 1'!$A$2:$Q$3504,10,FALSE())</f>
        <v>2</v>
      </c>
      <c r="K282" s="0" t="n">
        <f aca="false">VLOOKUP($A282,'[2]Sheet 1'!$A$2:$Q$3504,11,FALSE())</f>
        <v>0.038</v>
      </c>
      <c r="L282" s="0" t="n">
        <f aca="false">VLOOKUP($A282,'[2]Sheet 1'!$A$2:$Q$3504,12,FALSE())</f>
        <v>0</v>
      </c>
      <c r="M282" s="0" t="n">
        <f aca="false">VLOOKUP($A282,'[2]Sheet 1'!$A$2:$Q$3504,13,FALSE())</f>
        <v>85</v>
      </c>
      <c r="N282" s="0" t="n">
        <f aca="false">VLOOKUP($A282,'[2]Sheet 1'!$A$2:$Q$3504,14,FALSE())</f>
        <v>0</v>
      </c>
      <c r="O282" s="0" t="n">
        <f aca="false">VLOOKUP($A282,'[2]Sheet 1'!$A$2:$Q$3504,15,FALSE())</f>
        <v>0</v>
      </c>
      <c r="P282" s="0" t="n">
        <f aca="false">VLOOKUP($A282,'[2]Sheet 1'!$A$2:$Q$3504,16,FALSE())</f>
        <v>2.9</v>
      </c>
      <c r="Q282" s="0" t="n">
        <f aca="false">VLOOKUP($A282,'[2]Sheet 1'!$A$2:$Q$3504,17,FALSE())</f>
        <v>10</v>
      </c>
      <c r="S282" s="5"/>
    </row>
    <row r="283" customFormat="false" ht="14.25" hidden="false" customHeight="false" outlineLevel="0" collapsed="false">
      <c r="A283" s="5" t="n">
        <v>630</v>
      </c>
      <c r="B283" s="5" t="s">
        <v>668</v>
      </c>
      <c r="C283" s="5" t="n">
        <v>0</v>
      </c>
      <c r="D283" s="0" t="e">
        <f aca="false">VLOOKUP($A283,'[2]Sheet 1'!$A$2:$Q$3504,4,FALSE())</f>
        <v>#N/A</v>
      </c>
      <c r="E283" s="0" t="e">
        <f aca="false">VLOOKUP($A283,'[2]Sheet 1'!$A$2:$Q$3504,5,FALSE())</f>
        <v>#N/A</v>
      </c>
      <c r="F283" s="0" t="e">
        <f aca="false">VLOOKUP($A283,'[2]Sheet 1'!$A$2:$Q$3504,6,FALSE())</f>
        <v>#N/A</v>
      </c>
      <c r="G283" s="0" t="e">
        <f aca="false">VLOOKUP($A283,'[2]Sheet 1'!$A$2:$Q$3504,7,FALSE())</f>
        <v>#N/A</v>
      </c>
      <c r="H283" s="0" t="e">
        <f aca="false">VLOOKUP($A283,'[2]Sheet 1'!$A$2:$Q$3504,8,FALSE())</f>
        <v>#N/A</v>
      </c>
      <c r="I283" s="0" t="e">
        <f aca="false">VLOOKUP($A283,'[2]Sheet 1'!$A$2:$Q$3504,9,FALSE())</f>
        <v>#N/A</v>
      </c>
      <c r="J283" s="0" t="e">
        <f aca="false">VLOOKUP($A283,'[2]Sheet 1'!$A$2:$Q$3504,10,FALSE())</f>
        <v>#N/A</v>
      </c>
      <c r="K283" s="0" t="e">
        <f aca="false">VLOOKUP($A283,'[2]Sheet 1'!$A$2:$Q$3504,11,FALSE())</f>
        <v>#N/A</v>
      </c>
      <c r="L283" s="0" t="e">
        <f aca="false">VLOOKUP($A283,'[2]Sheet 1'!$A$2:$Q$3504,12,FALSE())</f>
        <v>#N/A</v>
      </c>
      <c r="M283" s="0" t="e">
        <f aca="false">VLOOKUP($A283,'[2]Sheet 1'!$A$2:$Q$3504,13,FALSE())</f>
        <v>#N/A</v>
      </c>
      <c r="N283" s="0" t="e">
        <f aca="false">VLOOKUP($A283,'[2]Sheet 1'!$A$2:$Q$3504,14,FALSE())</f>
        <v>#N/A</v>
      </c>
      <c r="O283" s="0" t="e">
        <f aca="false">VLOOKUP($A283,'[2]Sheet 1'!$A$2:$Q$3504,15,FALSE())</f>
        <v>#N/A</v>
      </c>
      <c r="P283" s="0" t="e">
        <f aca="false">VLOOKUP($A283,'[2]Sheet 1'!$A$2:$Q$3504,16,FALSE())</f>
        <v>#N/A</v>
      </c>
      <c r="Q283" s="0" t="e">
        <f aca="false">VLOOKUP($A283,'[2]Sheet 1'!$A$2:$Q$3504,17,FALSE())</f>
        <v>#N/A</v>
      </c>
      <c r="S283" s="5"/>
    </row>
    <row r="284" customFormat="false" ht="14.25" hidden="false" customHeight="false" outlineLevel="0" collapsed="false">
      <c r="A284" s="5" t="n">
        <v>631</v>
      </c>
      <c r="B284" s="5" t="s">
        <v>670</v>
      </c>
      <c r="C284" s="5" t="n">
        <v>1</v>
      </c>
      <c r="D284" s="0" t="e">
        <f aca="false">VLOOKUP($A284,'[2]Sheet 1'!$A$2:$Q$3504,4,FALSE())</f>
        <v>#N/A</v>
      </c>
      <c r="E284" s="0" t="e">
        <f aca="false">VLOOKUP($A284,'[2]Sheet 1'!$A$2:$Q$3504,5,FALSE())</f>
        <v>#N/A</v>
      </c>
      <c r="F284" s="0" t="e">
        <f aca="false">VLOOKUP($A284,'[2]Sheet 1'!$A$2:$Q$3504,6,FALSE())</f>
        <v>#N/A</v>
      </c>
      <c r="G284" s="0" t="e">
        <f aca="false">VLOOKUP($A284,'[2]Sheet 1'!$A$2:$Q$3504,7,FALSE())</f>
        <v>#N/A</v>
      </c>
      <c r="H284" s="0" t="e">
        <f aca="false">VLOOKUP($A284,'[2]Sheet 1'!$A$2:$Q$3504,8,FALSE())</f>
        <v>#N/A</v>
      </c>
      <c r="I284" s="0" t="e">
        <f aca="false">VLOOKUP($A284,'[2]Sheet 1'!$A$2:$Q$3504,9,FALSE())</f>
        <v>#N/A</v>
      </c>
      <c r="J284" s="0" t="e">
        <f aca="false">VLOOKUP($A284,'[2]Sheet 1'!$A$2:$Q$3504,10,FALSE())</f>
        <v>#N/A</v>
      </c>
      <c r="K284" s="0" t="e">
        <f aca="false">VLOOKUP($A284,'[2]Sheet 1'!$A$2:$Q$3504,11,FALSE())</f>
        <v>#N/A</v>
      </c>
      <c r="L284" s="0" t="e">
        <f aca="false">VLOOKUP($A284,'[2]Sheet 1'!$A$2:$Q$3504,12,FALSE())</f>
        <v>#N/A</v>
      </c>
      <c r="M284" s="0" t="e">
        <f aca="false">VLOOKUP($A284,'[2]Sheet 1'!$A$2:$Q$3504,13,FALSE())</f>
        <v>#N/A</v>
      </c>
      <c r="N284" s="0" t="e">
        <f aca="false">VLOOKUP($A284,'[2]Sheet 1'!$A$2:$Q$3504,14,FALSE())</f>
        <v>#N/A</v>
      </c>
      <c r="O284" s="0" t="e">
        <f aca="false">VLOOKUP($A284,'[2]Sheet 1'!$A$2:$Q$3504,15,FALSE())</f>
        <v>#N/A</v>
      </c>
      <c r="P284" s="0" t="e">
        <f aca="false">VLOOKUP($A284,'[2]Sheet 1'!$A$2:$Q$3504,16,FALSE())</f>
        <v>#N/A</v>
      </c>
      <c r="Q284" s="0" t="e">
        <f aca="false">VLOOKUP($A284,'[2]Sheet 1'!$A$2:$Q$3504,17,FALSE())</f>
        <v>#N/A</v>
      </c>
      <c r="S284" s="5"/>
    </row>
    <row r="285" customFormat="false" ht="14.25" hidden="false" customHeight="false" outlineLevel="0" collapsed="false">
      <c r="A285" s="5" t="n">
        <v>633</v>
      </c>
      <c r="B285" s="5" t="s">
        <v>673</v>
      </c>
      <c r="C285" s="5" t="n">
        <v>8</v>
      </c>
      <c r="D285" s="0" t="n">
        <f aca="false">VLOOKUP($A285,'[2]Sheet 1'!$A$2:$Q$3504,4,FALSE())</f>
        <v>43</v>
      </c>
      <c r="E285" s="0" t="n">
        <f aca="false">VLOOKUP($A285,'[2]Sheet 1'!$A$2:$Q$3504,5,FALSE())</f>
        <v>0.46</v>
      </c>
      <c r="F285" s="0" t="n">
        <f aca="false">VLOOKUP($A285,'[2]Sheet 1'!$A$2:$Q$3504,6,FALSE())</f>
        <v>0</v>
      </c>
      <c r="G285" s="0" t="n">
        <f aca="false">VLOOKUP($A285,'[2]Sheet 1'!$A$2:$Q$3504,7,FALSE())</f>
        <v>0.14</v>
      </c>
      <c r="H285" s="0" t="n">
        <f aca="false">VLOOKUP($A285,'[2]Sheet 1'!$A$2:$Q$3504,8,FALSE())</f>
        <v>0.6</v>
      </c>
      <c r="I285" s="0" t="n">
        <f aca="false">VLOOKUP($A285,'[2]Sheet 1'!$A$2:$Q$3504,9,FALSE())</f>
        <v>8</v>
      </c>
      <c r="J285" s="0" t="n">
        <f aca="false">VLOOKUP($A285,'[2]Sheet 1'!$A$2:$Q$3504,10,FALSE())</f>
        <v>3</v>
      </c>
      <c r="K285" s="0" t="n">
        <f aca="false">VLOOKUP($A285,'[2]Sheet 1'!$A$2:$Q$3504,11,FALSE())</f>
        <v>0.04</v>
      </c>
      <c r="L285" s="0" t="n">
        <f aca="false">VLOOKUP($A285,'[2]Sheet 1'!$A$2:$Q$3504,12,FALSE())</f>
        <v>5.05</v>
      </c>
      <c r="M285" s="0" t="n">
        <f aca="false">VLOOKUP($A285,'[2]Sheet 1'!$A$2:$Q$3504,13,FALSE())</f>
        <v>31</v>
      </c>
      <c r="N285" s="0" t="n">
        <f aca="false">VLOOKUP($A285,'[2]Sheet 1'!$A$2:$Q$3504,14,FALSE())</f>
        <v>0.0236608496560383</v>
      </c>
      <c r="O285" s="0" t="n">
        <f aca="false">VLOOKUP($A285,'[2]Sheet 1'!$A$2:$Q$3504,15,FALSE())</f>
        <v>0.0158578034928767</v>
      </c>
      <c r="P285" s="0" t="n">
        <f aca="false">VLOOKUP($A285,'[2]Sheet 1'!$A$2:$Q$3504,16,FALSE())</f>
        <v>0.010068446662144</v>
      </c>
      <c r="Q285" s="0" t="n">
        <f aca="false">VLOOKUP($A285,'[2]Sheet 1'!$A$2:$Q$3504,17,FALSE())</f>
        <v>0</v>
      </c>
      <c r="S285" s="5"/>
    </row>
    <row r="286" customFormat="false" ht="14.25" hidden="false" customHeight="false" outlineLevel="0" collapsed="false">
      <c r="A286" s="5" t="n">
        <v>634</v>
      </c>
      <c r="B286" s="5" t="s">
        <v>676</v>
      </c>
      <c r="C286" s="5" t="n">
        <v>40</v>
      </c>
      <c r="D286" s="0" t="n">
        <f aca="false">VLOOKUP($A286,'[2]Sheet 1'!$A$2:$Q$3504,4,FALSE())</f>
        <v>141</v>
      </c>
      <c r="E286" s="0" t="n">
        <f aca="false">VLOOKUP($A286,'[2]Sheet 1'!$A$2:$Q$3504,5,FALSE())</f>
        <v>0</v>
      </c>
      <c r="F286" s="0" t="n">
        <f aca="false">VLOOKUP($A286,'[2]Sheet 1'!$A$2:$Q$3504,6,FALSE())</f>
        <v>0.3</v>
      </c>
      <c r="G286" s="0" t="n">
        <f aca="false">VLOOKUP($A286,'[2]Sheet 1'!$A$2:$Q$3504,7,FALSE())</f>
        <v>0</v>
      </c>
      <c r="H286" s="0" t="n">
        <f aca="false">VLOOKUP($A286,'[2]Sheet 1'!$A$2:$Q$3504,8,FALSE())</f>
        <v>0.04</v>
      </c>
      <c r="I286" s="0" t="n">
        <f aca="false">VLOOKUP($A286,'[2]Sheet 1'!$A$2:$Q$3504,9,FALSE())</f>
        <v>0</v>
      </c>
      <c r="J286" s="0" t="n">
        <f aca="false">VLOOKUP($A286,'[2]Sheet 1'!$A$2:$Q$3504,10,FALSE())</f>
        <v>0</v>
      </c>
      <c r="K286" s="0" t="n">
        <f aca="false">VLOOKUP($A286,'[2]Sheet 1'!$A$2:$Q$3504,11,FALSE())</f>
        <v>0.004</v>
      </c>
      <c r="L286" s="0" t="n">
        <f aca="false">VLOOKUP($A286,'[2]Sheet 1'!$A$2:$Q$3504,12,FALSE())</f>
        <v>0</v>
      </c>
      <c r="M286" s="0" t="n">
        <f aca="false">VLOOKUP($A286,'[2]Sheet 1'!$A$2:$Q$3504,13,FALSE())</f>
        <v>2</v>
      </c>
      <c r="N286" s="0" t="n">
        <f aca="false">VLOOKUP($A286,'[2]Sheet 1'!$A$2:$Q$3504,14,FALSE())</f>
        <v>0</v>
      </c>
      <c r="O286" s="0" t="n">
        <f aca="false">VLOOKUP($A286,'[2]Sheet 1'!$A$2:$Q$3504,15,FALSE())</f>
        <v>0</v>
      </c>
      <c r="P286" s="0" t="n">
        <f aca="false">VLOOKUP($A286,'[2]Sheet 1'!$A$2:$Q$3504,16,FALSE())</f>
        <v>0</v>
      </c>
      <c r="Q286" s="0" t="n">
        <f aca="false">VLOOKUP($A286,'[2]Sheet 1'!$A$2:$Q$3504,17,FALSE())</f>
        <v>0</v>
      </c>
      <c r="S286" s="5"/>
    </row>
    <row r="287" customFormat="false" ht="14.25" hidden="false" customHeight="false" outlineLevel="0" collapsed="false">
      <c r="A287" s="5" t="n">
        <v>635</v>
      </c>
      <c r="B287" s="5" t="s">
        <v>679</v>
      </c>
      <c r="C287" s="5" t="n">
        <v>86</v>
      </c>
      <c r="D287" s="0" t="n">
        <f aca="false">VLOOKUP($A287,'[2]Sheet 1'!$A$2:$Q$3504,4,FALSE())</f>
        <v>0</v>
      </c>
      <c r="E287" s="0" t="n">
        <f aca="false">VLOOKUP($A287,'[2]Sheet 1'!$A$2:$Q$3504,5,FALSE())</f>
        <v>0</v>
      </c>
      <c r="F287" s="0" t="n">
        <f aca="false">VLOOKUP($A287,'[2]Sheet 1'!$A$2:$Q$3504,6,FALSE())</f>
        <v>0</v>
      </c>
      <c r="G287" s="0" t="n">
        <f aca="false">VLOOKUP($A287,'[2]Sheet 1'!$A$2:$Q$3504,7,FALSE())</f>
        <v>0</v>
      </c>
      <c r="H287" s="0" t="n">
        <f aca="false">VLOOKUP($A287,'[2]Sheet 1'!$A$2:$Q$3504,8,FALSE())</f>
        <v>0</v>
      </c>
      <c r="I287" s="0" t="n">
        <f aca="false">VLOOKUP($A287,'[2]Sheet 1'!$A$2:$Q$3504,9,FALSE())</f>
        <v>0</v>
      </c>
      <c r="J287" s="0" t="n">
        <f aca="false">VLOOKUP($A287,'[2]Sheet 1'!$A$2:$Q$3504,10,FALSE())</f>
        <v>0</v>
      </c>
      <c r="K287" s="0" t="n">
        <f aca="false">VLOOKUP($A287,'[2]Sheet 1'!$A$2:$Q$3504,11,FALSE())</f>
        <v>0</v>
      </c>
      <c r="L287" s="0" t="n">
        <f aca="false">VLOOKUP($A287,'[2]Sheet 1'!$A$2:$Q$3504,12,FALSE())</f>
        <v>0</v>
      </c>
      <c r="M287" s="0" t="n">
        <f aca="false">VLOOKUP($A287,'[2]Sheet 1'!$A$2:$Q$3504,13,FALSE())</f>
        <v>0</v>
      </c>
      <c r="N287" s="0" t="n">
        <f aca="false">VLOOKUP($A287,'[2]Sheet 1'!$A$2:$Q$3504,14,FALSE())</f>
        <v>0</v>
      </c>
      <c r="O287" s="0" t="n">
        <f aca="false">VLOOKUP($A287,'[2]Sheet 1'!$A$2:$Q$3504,15,FALSE())</f>
        <v>0</v>
      </c>
      <c r="P287" s="0" t="n">
        <f aca="false">VLOOKUP($A287,'[2]Sheet 1'!$A$2:$Q$3504,16,FALSE())</f>
        <v>0</v>
      </c>
      <c r="Q287" s="0" t="n">
        <f aca="false">VLOOKUP($A287,'[2]Sheet 1'!$A$2:$Q$3504,17,FALSE())</f>
        <v>0</v>
      </c>
      <c r="S287" s="5"/>
    </row>
    <row r="288" customFormat="false" ht="14.25" hidden="false" customHeight="false" outlineLevel="0" collapsed="false">
      <c r="A288" s="5" t="n">
        <v>646</v>
      </c>
      <c r="B288" s="5" t="s">
        <v>687</v>
      </c>
      <c r="C288" s="5" t="n">
        <v>12</v>
      </c>
      <c r="D288" s="0" t="n">
        <f aca="false">VLOOKUP($A288,'[2]Sheet 1'!$A$2:$Q$3504,4,FALSE())</f>
        <v>35</v>
      </c>
      <c r="E288" s="0" t="n">
        <f aca="false">VLOOKUP($A288,'[2]Sheet 1'!$A$2:$Q$3504,5,FALSE())</f>
        <v>0.76</v>
      </c>
      <c r="F288" s="0" t="n">
        <f aca="false">VLOOKUP($A288,'[2]Sheet 1'!$A$2:$Q$3504,6,FALSE())</f>
        <v>3</v>
      </c>
      <c r="G288" s="0" t="n">
        <f aca="false">VLOOKUP($A288,'[2]Sheet 1'!$A$2:$Q$3504,7,FALSE())</f>
        <v>0.2</v>
      </c>
      <c r="H288" s="0" t="n">
        <f aca="false">VLOOKUP($A288,'[2]Sheet 1'!$A$2:$Q$3504,8,FALSE())</f>
        <v>0.34</v>
      </c>
      <c r="I288" s="0" t="n">
        <f aca="false">VLOOKUP($A288,'[2]Sheet 1'!$A$2:$Q$3504,9,FALSE())</f>
        <v>30</v>
      </c>
      <c r="J288" s="0" t="n">
        <f aca="false">VLOOKUP($A288,'[2]Sheet 1'!$A$2:$Q$3504,10,FALSE())</f>
        <v>14</v>
      </c>
      <c r="K288" s="0" t="n">
        <f aca="false">VLOOKUP($A288,'[2]Sheet 1'!$A$2:$Q$3504,11,FALSE())</f>
        <v>0.044</v>
      </c>
      <c r="L288" s="0" t="n">
        <f aca="false">VLOOKUP($A288,'[2]Sheet 1'!$A$2:$Q$3504,12,FALSE())</f>
        <v>8.8</v>
      </c>
      <c r="M288" s="0" t="n">
        <f aca="false">VLOOKUP($A288,'[2]Sheet 1'!$A$2:$Q$3504,13,FALSE())</f>
        <v>235</v>
      </c>
      <c r="N288" s="0" t="n">
        <f aca="false">VLOOKUP($A288,'[2]Sheet 1'!$A$2:$Q$3504,14,FALSE())</f>
        <v>1.03</v>
      </c>
      <c r="O288" s="0" t="n">
        <f aca="false">VLOOKUP($A288,'[2]Sheet 1'!$A$2:$Q$3504,15,FALSE())</f>
        <v>0</v>
      </c>
      <c r="P288" s="0" t="n">
        <f aca="false">VLOOKUP($A288,'[2]Sheet 1'!$A$2:$Q$3504,16,FALSE())</f>
        <v>13.7</v>
      </c>
      <c r="Q288" s="0" t="n">
        <f aca="false">VLOOKUP($A288,'[2]Sheet 1'!$A$2:$Q$3504,17,FALSE())</f>
        <v>852</v>
      </c>
      <c r="S288" s="5"/>
    </row>
    <row r="289" customFormat="false" ht="14.25" hidden="false" customHeight="false" outlineLevel="0" collapsed="false">
      <c r="A289" s="5" t="n">
        <v>651</v>
      </c>
      <c r="B289" s="5" t="s">
        <v>689</v>
      </c>
      <c r="C289" s="5" t="n">
        <v>86</v>
      </c>
      <c r="D289" s="0" t="n">
        <f aca="false">VLOOKUP($A289,'[2]Sheet 1'!$A$2:$Q$3504,4,FALSE())</f>
        <v>0</v>
      </c>
      <c r="E289" s="0" t="n">
        <f aca="false">VLOOKUP($A289,'[2]Sheet 1'!$A$2:$Q$3504,5,FALSE())</f>
        <v>0</v>
      </c>
      <c r="F289" s="0" t="n">
        <f aca="false">VLOOKUP($A289,'[2]Sheet 1'!$A$2:$Q$3504,6,FALSE())</f>
        <v>0</v>
      </c>
      <c r="G289" s="0" t="n">
        <f aca="false">VLOOKUP($A289,'[2]Sheet 1'!$A$2:$Q$3504,7,FALSE())</f>
        <v>0</v>
      </c>
      <c r="H289" s="0" t="n">
        <f aca="false">VLOOKUP($A289,'[2]Sheet 1'!$A$2:$Q$3504,8,FALSE())</f>
        <v>0</v>
      </c>
      <c r="I289" s="0" t="n">
        <f aca="false">VLOOKUP($A289,'[2]Sheet 1'!$A$2:$Q$3504,9,FALSE())</f>
        <v>0</v>
      </c>
      <c r="J289" s="0" t="n">
        <f aca="false">VLOOKUP($A289,'[2]Sheet 1'!$A$2:$Q$3504,10,FALSE())</f>
        <v>0</v>
      </c>
      <c r="K289" s="0" t="n">
        <f aca="false">VLOOKUP($A289,'[2]Sheet 1'!$A$2:$Q$3504,11,FALSE())</f>
        <v>0</v>
      </c>
      <c r="L289" s="0" t="n">
        <f aca="false">VLOOKUP($A289,'[2]Sheet 1'!$A$2:$Q$3504,12,FALSE())</f>
        <v>0</v>
      </c>
      <c r="M289" s="0" t="n">
        <f aca="false">VLOOKUP($A289,'[2]Sheet 1'!$A$2:$Q$3504,13,FALSE())</f>
        <v>0</v>
      </c>
      <c r="N289" s="0" t="n">
        <f aca="false">VLOOKUP($A289,'[2]Sheet 1'!$A$2:$Q$3504,14,FALSE())</f>
        <v>0</v>
      </c>
      <c r="O289" s="0" t="n">
        <f aca="false">VLOOKUP($A289,'[2]Sheet 1'!$A$2:$Q$3504,15,FALSE())</f>
        <v>0</v>
      </c>
      <c r="P289" s="0" t="n">
        <f aca="false">VLOOKUP($A289,'[2]Sheet 1'!$A$2:$Q$3504,16,FALSE())</f>
        <v>0</v>
      </c>
      <c r="Q289" s="0" t="n">
        <f aca="false">VLOOKUP($A289,'[2]Sheet 1'!$A$2:$Q$3504,17,FALSE())</f>
        <v>0</v>
      </c>
      <c r="S289" s="5"/>
    </row>
    <row r="290" customFormat="false" ht="14.25" hidden="false" customHeight="false" outlineLevel="0" collapsed="false">
      <c r="A290" s="5" t="n">
        <v>652</v>
      </c>
      <c r="B290" s="5" t="s">
        <v>691</v>
      </c>
      <c r="C290" s="5" t="n">
        <v>86</v>
      </c>
      <c r="D290" s="0" t="e">
        <f aca="false">VLOOKUP($A290,'[2]Sheet 1'!$A$2:$Q$3504,4,FALSE())</f>
        <v>#N/A</v>
      </c>
      <c r="E290" s="0" t="e">
        <f aca="false">VLOOKUP($A290,'[2]Sheet 1'!$A$2:$Q$3504,5,FALSE())</f>
        <v>#N/A</v>
      </c>
      <c r="F290" s="0" t="e">
        <f aca="false">VLOOKUP($A290,'[2]Sheet 1'!$A$2:$Q$3504,6,FALSE())</f>
        <v>#N/A</v>
      </c>
      <c r="G290" s="0" t="e">
        <f aca="false">VLOOKUP($A290,'[2]Sheet 1'!$A$2:$Q$3504,7,FALSE())</f>
        <v>#N/A</v>
      </c>
      <c r="H290" s="0" t="e">
        <f aca="false">VLOOKUP($A290,'[2]Sheet 1'!$A$2:$Q$3504,8,FALSE())</f>
        <v>#N/A</v>
      </c>
      <c r="I290" s="0" t="e">
        <f aca="false">VLOOKUP($A290,'[2]Sheet 1'!$A$2:$Q$3504,9,FALSE())</f>
        <v>#N/A</v>
      </c>
      <c r="J290" s="0" t="e">
        <f aca="false">VLOOKUP($A290,'[2]Sheet 1'!$A$2:$Q$3504,10,FALSE())</f>
        <v>#N/A</v>
      </c>
      <c r="K290" s="0" t="e">
        <f aca="false">VLOOKUP($A290,'[2]Sheet 1'!$A$2:$Q$3504,11,FALSE())</f>
        <v>#N/A</v>
      </c>
      <c r="L290" s="0" t="e">
        <f aca="false">VLOOKUP($A290,'[2]Sheet 1'!$A$2:$Q$3504,12,FALSE())</f>
        <v>#N/A</v>
      </c>
      <c r="M290" s="0" t="e">
        <f aca="false">VLOOKUP($A290,'[2]Sheet 1'!$A$2:$Q$3504,13,FALSE())</f>
        <v>#N/A</v>
      </c>
      <c r="N290" s="0" t="e">
        <f aca="false">VLOOKUP($A290,'[2]Sheet 1'!$A$2:$Q$3504,14,FALSE())</f>
        <v>#N/A</v>
      </c>
      <c r="O290" s="0" t="e">
        <f aca="false">VLOOKUP($A290,'[2]Sheet 1'!$A$2:$Q$3504,15,FALSE())</f>
        <v>#N/A</v>
      </c>
      <c r="P290" s="0" t="e">
        <f aca="false">VLOOKUP($A290,'[2]Sheet 1'!$A$2:$Q$3504,16,FALSE())</f>
        <v>#N/A</v>
      </c>
      <c r="Q290" s="0" t="e">
        <f aca="false">VLOOKUP($A290,'[2]Sheet 1'!$A$2:$Q$3504,17,FALSE())</f>
        <v>#N/A</v>
      </c>
      <c r="S290" s="5"/>
    </row>
    <row r="291" customFormat="false" ht="14.25" hidden="false" customHeight="false" outlineLevel="0" collapsed="false">
      <c r="A291" s="5" t="n">
        <v>653</v>
      </c>
      <c r="B291" s="5" t="s">
        <v>693</v>
      </c>
      <c r="C291" s="5" t="n">
        <v>75</v>
      </c>
      <c r="D291" s="0" t="e">
        <f aca="false">VLOOKUP($A291,'[2]Sheet 1'!$A$2:$Q$3504,4,FALSE())</f>
        <v>#N/A</v>
      </c>
      <c r="E291" s="0" t="e">
        <f aca="false">VLOOKUP($A291,'[2]Sheet 1'!$A$2:$Q$3504,5,FALSE())</f>
        <v>#N/A</v>
      </c>
      <c r="F291" s="0" t="e">
        <f aca="false">VLOOKUP($A291,'[2]Sheet 1'!$A$2:$Q$3504,6,FALSE())</f>
        <v>#N/A</v>
      </c>
      <c r="G291" s="0" t="e">
        <f aca="false">VLOOKUP($A291,'[2]Sheet 1'!$A$2:$Q$3504,7,FALSE())</f>
        <v>#N/A</v>
      </c>
      <c r="H291" s="0" t="e">
        <f aca="false">VLOOKUP($A291,'[2]Sheet 1'!$A$2:$Q$3504,8,FALSE())</f>
        <v>#N/A</v>
      </c>
      <c r="I291" s="0" t="e">
        <f aca="false">VLOOKUP($A291,'[2]Sheet 1'!$A$2:$Q$3504,9,FALSE())</f>
        <v>#N/A</v>
      </c>
      <c r="J291" s="0" t="e">
        <f aca="false">VLOOKUP($A291,'[2]Sheet 1'!$A$2:$Q$3504,10,FALSE())</f>
        <v>#N/A</v>
      </c>
      <c r="K291" s="0" t="e">
        <f aca="false">VLOOKUP($A291,'[2]Sheet 1'!$A$2:$Q$3504,11,FALSE())</f>
        <v>#N/A</v>
      </c>
      <c r="L291" s="0" t="e">
        <f aca="false">VLOOKUP($A291,'[2]Sheet 1'!$A$2:$Q$3504,12,FALSE())</f>
        <v>#N/A</v>
      </c>
      <c r="M291" s="0" t="e">
        <f aca="false">VLOOKUP($A291,'[2]Sheet 1'!$A$2:$Q$3504,13,FALSE())</f>
        <v>#N/A</v>
      </c>
      <c r="N291" s="0" t="e">
        <f aca="false">VLOOKUP($A291,'[2]Sheet 1'!$A$2:$Q$3504,14,FALSE())</f>
        <v>#N/A</v>
      </c>
      <c r="O291" s="0" t="e">
        <f aca="false">VLOOKUP($A291,'[2]Sheet 1'!$A$2:$Q$3504,15,FALSE())</f>
        <v>#N/A</v>
      </c>
      <c r="P291" s="0" t="e">
        <f aca="false">VLOOKUP($A291,'[2]Sheet 1'!$A$2:$Q$3504,16,FALSE())</f>
        <v>#N/A</v>
      </c>
      <c r="Q291" s="0" t="e">
        <f aca="false">VLOOKUP($A291,'[2]Sheet 1'!$A$2:$Q$3504,17,FALSE())</f>
        <v>#N/A</v>
      </c>
      <c r="S291" s="5"/>
    </row>
    <row r="292" customFormat="false" ht="14.25" hidden="false" customHeight="false" outlineLevel="0" collapsed="false">
      <c r="A292" s="5" t="n">
        <v>654</v>
      </c>
      <c r="B292" s="5" t="s">
        <v>696</v>
      </c>
      <c r="C292" s="5" t="n">
        <v>40</v>
      </c>
      <c r="D292" s="0" t="n">
        <f aca="false">VLOOKUP($A292,'[2]Sheet 1'!$A$2:$Q$3504,4,FALSE())</f>
        <v>0</v>
      </c>
      <c r="E292" s="0" t="n">
        <f aca="false">VLOOKUP($A292,'[2]Sheet 1'!$A$2:$Q$3504,5,FALSE())</f>
        <v>0</v>
      </c>
      <c r="F292" s="0" t="n">
        <f aca="false">VLOOKUP($A292,'[2]Sheet 1'!$A$2:$Q$3504,6,FALSE())</f>
        <v>0</v>
      </c>
      <c r="G292" s="0" t="n">
        <f aca="false">VLOOKUP($A292,'[2]Sheet 1'!$A$2:$Q$3504,7,FALSE())</f>
        <v>0</v>
      </c>
      <c r="H292" s="0" t="n">
        <f aca="false">VLOOKUP($A292,'[2]Sheet 1'!$A$2:$Q$3504,8,FALSE())</f>
        <v>0</v>
      </c>
      <c r="I292" s="0" t="n">
        <f aca="false">VLOOKUP($A292,'[2]Sheet 1'!$A$2:$Q$3504,9,FALSE())</f>
        <v>0</v>
      </c>
      <c r="J292" s="0" t="n">
        <f aca="false">VLOOKUP($A292,'[2]Sheet 1'!$A$2:$Q$3504,10,FALSE())</f>
        <v>0</v>
      </c>
      <c r="K292" s="0" t="n">
        <f aca="false">VLOOKUP($A292,'[2]Sheet 1'!$A$2:$Q$3504,11,FALSE())</f>
        <v>0</v>
      </c>
      <c r="L292" s="0" t="n">
        <f aca="false">VLOOKUP($A292,'[2]Sheet 1'!$A$2:$Q$3504,12,FALSE())</f>
        <v>0</v>
      </c>
      <c r="M292" s="0" t="n">
        <f aca="false">VLOOKUP($A292,'[2]Sheet 1'!$A$2:$Q$3504,13,FALSE())</f>
        <v>0</v>
      </c>
      <c r="N292" s="0" t="n">
        <f aca="false">VLOOKUP($A292,'[2]Sheet 1'!$A$2:$Q$3504,14,FALSE())</f>
        <v>0</v>
      </c>
      <c r="O292" s="0" t="n">
        <f aca="false">VLOOKUP($A292,'[2]Sheet 1'!$A$2:$Q$3504,15,FALSE())</f>
        <v>0</v>
      </c>
      <c r="P292" s="0" t="n">
        <f aca="false">VLOOKUP($A292,'[2]Sheet 1'!$A$2:$Q$3504,16,FALSE())</f>
        <v>0</v>
      </c>
      <c r="Q292" s="0" t="n">
        <f aca="false">VLOOKUP($A292,'[2]Sheet 1'!$A$2:$Q$3504,17,FALSE())</f>
        <v>0</v>
      </c>
      <c r="S292" s="5"/>
    </row>
    <row r="293" customFormat="false" ht="14.25" hidden="false" customHeight="false" outlineLevel="0" collapsed="false">
      <c r="A293" s="5" t="n">
        <v>656</v>
      </c>
      <c r="B293" s="5" t="s">
        <v>697</v>
      </c>
      <c r="C293" s="5" t="n">
        <v>90</v>
      </c>
      <c r="D293" s="0" t="n">
        <f aca="false">VLOOKUP($A293,'[2]Sheet 1'!$A$2:$Q$3504,4,FALSE())</f>
        <v>185.2825</v>
      </c>
      <c r="E293" s="0" t="n">
        <f aca="false">VLOOKUP($A293,'[2]Sheet 1'!$A$2:$Q$3504,5,FALSE())</f>
        <v>13.9</v>
      </c>
      <c r="F293" s="0" t="n">
        <f aca="false">VLOOKUP($A293,'[2]Sheet 1'!$A$2:$Q$3504,6,FALSE())</f>
        <v>0</v>
      </c>
      <c r="G293" s="0" t="n">
        <f aca="false">VLOOKUP($A293,'[2]Sheet 1'!$A$2:$Q$3504,7,FALSE())</f>
        <v>0.53065</v>
      </c>
      <c r="H293" s="0" t="n">
        <f aca="false">VLOOKUP($A293,'[2]Sheet 1'!$A$2:$Q$3504,8,FALSE())</f>
        <v>4.4</v>
      </c>
      <c r="I293" s="0" t="n">
        <f aca="false">VLOOKUP($A293,'[2]Sheet 1'!$A$2:$Q$3504,9,FALSE())</f>
        <v>130</v>
      </c>
      <c r="J293" s="0" t="n">
        <f aca="false">VLOOKUP($A293,'[2]Sheet 1'!$A$2:$Q$3504,10,FALSE())</f>
        <v>17.315</v>
      </c>
      <c r="K293" s="0" t="n">
        <f aca="false">VLOOKUP($A293,'[2]Sheet 1'!$A$2:$Q$3504,11,FALSE())</f>
        <v>0.16</v>
      </c>
      <c r="L293" s="0" t="n">
        <f aca="false">VLOOKUP($A293,'[2]Sheet 1'!$A$2:$Q$3504,12,FALSE())</f>
        <v>43.069</v>
      </c>
      <c r="M293" s="0" t="n">
        <f aca="false">VLOOKUP($A293,'[2]Sheet 1'!$A$2:$Q$3504,13,FALSE())</f>
        <v>2225.8425</v>
      </c>
      <c r="N293" s="0" t="n">
        <f aca="false">VLOOKUP($A293,'[2]Sheet 1'!$A$2:$Q$3504,14,FALSE())</f>
        <v>0</v>
      </c>
      <c r="O293" s="0" t="n">
        <f aca="false">VLOOKUP($A293,'[2]Sheet 1'!$A$2:$Q$3504,15,FALSE())</f>
        <v>0</v>
      </c>
      <c r="P293" s="0" t="n">
        <f aca="false">VLOOKUP($A293,'[2]Sheet 1'!$A$2:$Q$3504,16,FALSE())</f>
        <v>1.9</v>
      </c>
      <c r="Q293" s="0" t="n">
        <f aca="false">VLOOKUP($A293,'[2]Sheet 1'!$A$2:$Q$3504,17,FALSE())</f>
        <v>0</v>
      </c>
      <c r="S293" s="5"/>
    </row>
    <row r="294" customFormat="false" ht="14.25" hidden="false" customHeight="false" outlineLevel="0" collapsed="false">
      <c r="A294" s="5" t="n">
        <v>657</v>
      </c>
      <c r="B294" s="5" t="s">
        <v>699</v>
      </c>
      <c r="C294" s="5" t="n">
        <v>97</v>
      </c>
      <c r="D294" s="0" t="n">
        <f aca="false">VLOOKUP($A294,'[2]Sheet 1'!$A$2:$Q$3504,4,FALSE())</f>
        <v>185.2825</v>
      </c>
      <c r="E294" s="0" t="n">
        <f aca="false">VLOOKUP($A294,'[2]Sheet 1'!$A$2:$Q$3504,5,FALSE())</f>
        <v>13.9</v>
      </c>
      <c r="F294" s="0" t="n">
        <f aca="false">VLOOKUP($A294,'[2]Sheet 1'!$A$2:$Q$3504,6,FALSE())</f>
        <v>0</v>
      </c>
      <c r="G294" s="0" t="n">
        <f aca="false">VLOOKUP($A294,'[2]Sheet 1'!$A$2:$Q$3504,7,FALSE())</f>
        <v>0.53065</v>
      </c>
      <c r="H294" s="0" t="n">
        <f aca="false">VLOOKUP($A294,'[2]Sheet 1'!$A$2:$Q$3504,8,FALSE())</f>
        <v>4.4</v>
      </c>
      <c r="I294" s="0" t="n">
        <f aca="false">VLOOKUP($A294,'[2]Sheet 1'!$A$2:$Q$3504,9,FALSE())</f>
        <v>130</v>
      </c>
      <c r="J294" s="0" t="n">
        <f aca="false">VLOOKUP($A294,'[2]Sheet 1'!$A$2:$Q$3504,10,FALSE())</f>
        <v>17.315</v>
      </c>
      <c r="K294" s="0" t="n">
        <f aca="false">VLOOKUP($A294,'[2]Sheet 1'!$A$2:$Q$3504,11,FALSE())</f>
        <v>0.16</v>
      </c>
      <c r="L294" s="0" t="n">
        <f aca="false">VLOOKUP($A294,'[2]Sheet 1'!$A$2:$Q$3504,12,FALSE())</f>
        <v>43.069</v>
      </c>
      <c r="M294" s="0" t="n">
        <f aca="false">VLOOKUP($A294,'[2]Sheet 1'!$A$2:$Q$3504,13,FALSE())</f>
        <v>2225.8425</v>
      </c>
      <c r="N294" s="0" t="n">
        <f aca="false">VLOOKUP($A294,'[2]Sheet 1'!$A$2:$Q$3504,14,FALSE())</f>
        <v>0</v>
      </c>
      <c r="O294" s="0" t="n">
        <f aca="false">VLOOKUP($A294,'[2]Sheet 1'!$A$2:$Q$3504,15,FALSE())</f>
        <v>0</v>
      </c>
      <c r="P294" s="0" t="n">
        <f aca="false">VLOOKUP($A294,'[2]Sheet 1'!$A$2:$Q$3504,16,FALSE())</f>
        <v>1.9</v>
      </c>
      <c r="Q294" s="0" t="n">
        <f aca="false">VLOOKUP($A294,'[2]Sheet 1'!$A$2:$Q$3504,17,FALSE())</f>
        <v>0</v>
      </c>
      <c r="S294" s="5"/>
    </row>
    <row r="295" customFormat="false" ht="14.25" hidden="false" customHeight="false" outlineLevel="0" collapsed="false">
      <c r="A295" s="5" t="n">
        <v>658</v>
      </c>
      <c r="B295" s="5" t="s">
        <v>702</v>
      </c>
      <c r="C295" s="5" t="n">
        <v>97</v>
      </c>
      <c r="D295" s="0" t="n">
        <f aca="false">VLOOKUP($A295,'[2]Sheet 1'!$A$2:$Q$3504,4,FALSE())</f>
        <v>360</v>
      </c>
      <c r="E295" s="0" t="n">
        <f aca="false">VLOOKUP($A295,'[2]Sheet 1'!$A$2:$Q$3504,5,FALSE())</f>
        <v>13.635</v>
      </c>
      <c r="F295" s="0" t="n">
        <f aca="false">VLOOKUP($A295,'[2]Sheet 1'!$A$2:$Q$3504,6,FALSE())</f>
        <v>23.3</v>
      </c>
      <c r="G295" s="0" t="n">
        <f aca="false">VLOOKUP($A295,'[2]Sheet 1'!$A$2:$Q$3504,7,FALSE())</f>
        <v>0.51</v>
      </c>
      <c r="H295" s="0" t="n">
        <f aca="false">VLOOKUP($A295,'[2]Sheet 1'!$A$2:$Q$3504,8,FALSE())</f>
        <v>7.45</v>
      </c>
      <c r="I295" s="0" t="n">
        <f aca="false">VLOOKUP($A295,'[2]Sheet 1'!$A$2:$Q$3504,9,FALSE())</f>
        <v>111.63</v>
      </c>
      <c r="J295" s="0" t="n">
        <f aca="false">VLOOKUP($A295,'[2]Sheet 1'!$A$2:$Q$3504,10,FALSE())</f>
        <v>52</v>
      </c>
      <c r="K295" s="0" t="n">
        <f aca="false">VLOOKUP($A295,'[2]Sheet 1'!$A$2:$Q$3504,11,FALSE())</f>
        <v>0.095</v>
      </c>
      <c r="L295" s="0" t="n">
        <f aca="false">VLOOKUP($A295,'[2]Sheet 1'!$A$2:$Q$3504,12,FALSE())</f>
        <v>13.4</v>
      </c>
      <c r="M295" s="0" t="n">
        <f aca="false">VLOOKUP($A295,'[2]Sheet 1'!$A$2:$Q$3504,13,FALSE())</f>
        <v>2443</v>
      </c>
      <c r="N295" s="0" t="n">
        <f aca="false">VLOOKUP($A295,'[2]Sheet 1'!$A$2:$Q$3504,14,FALSE())</f>
        <v>0</v>
      </c>
      <c r="O295" s="0" t="n">
        <f aca="false">VLOOKUP($A295,'[2]Sheet 1'!$A$2:$Q$3504,15,FALSE())</f>
        <v>0</v>
      </c>
      <c r="P295" s="0" t="n">
        <f aca="false">VLOOKUP($A295,'[2]Sheet 1'!$A$2:$Q$3504,16,FALSE())</f>
        <v>1.9</v>
      </c>
      <c r="Q295" s="0" t="n">
        <f aca="false">VLOOKUP($A295,'[2]Sheet 1'!$A$2:$Q$3504,17,FALSE())</f>
        <v>4.805</v>
      </c>
      <c r="S295" s="5"/>
    </row>
    <row r="296" customFormat="false" ht="14.25" hidden="false" customHeight="false" outlineLevel="0" collapsed="false">
      <c r="A296" s="5" t="n">
        <v>659</v>
      </c>
      <c r="B296" s="5" t="s">
        <v>704</v>
      </c>
      <c r="C296" s="5" t="n">
        <v>97</v>
      </c>
      <c r="D296" s="0" t="n">
        <f aca="false">VLOOKUP($A296,'[2]Sheet 1'!$A$2:$Q$3504,4,FALSE())</f>
        <v>185.2825</v>
      </c>
      <c r="E296" s="0" t="n">
        <f aca="false">VLOOKUP($A296,'[2]Sheet 1'!$A$2:$Q$3504,5,FALSE())</f>
        <v>13.9</v>
      </c>
      <c r="F296" s="0" t="n">
        <f aca="false">VLOOKUP($A296,'[2]Sheet 1'!$A$2:$Q$3504,6,FALSE())</f>
        <v>0</v>
      </c>
      <c r="G296" s="0" t="n">
        <f aca="false">VLOOKUP($A296,'[2]Sheet 1'!$A$2:$Q$3504,7,FALSE())</f>
        <v>0.53065</v>
      </c>
      <c r="H296" s="0" t="n">
        <f aca="false">VLOOKUP($A296,'[2]Sheet 1'!$A$2:$Q$3504,8,FALSE())</f>
        <v>4.4</v>
      </c>
      <c r="I296" s="0" t="n">
        <f aca="false">VLOOKUP($A296,'[2]Sheet 1'!$A$2:$Q$3504,9,FALSE())</f>
        <v>130</v>
      </c>
      <c r="J296" s="0" t="n">
        <f aca="false">VLOOKUP($A296,'[2]Sheet 1'!$A$2:$Q$3504,10,FALSE())</f>
        <v>17.315</v>
      </c>
      <c r="K296" s="0" t="n">
        <f aca="false">VLOOKUP($A296,'[2]Sheet 1'!$A$2:$Q$3504,11,FALSE())</f>
        <v>0.16</v>
      </c>
      <c r="L296" s="0" t="n">
        <f aca="false">VLOOKUP($A296,'[2]Sheet 1'!$A$2:$Q$3504,12,FALSE())</f>
        <v>43.069</v>
      </c>
      <c r="M296" s="0" t="n">
        <f aca="false">VLOOKUP($A296,'[2]Sheet 1'!$A$2:$Q$3504,13,FALSE())</f>
        <v>2225.8425</v>
      </c>
      <c r="N296" s="0" t="n">
        <f aca="false">VLOOKUP($A296,'[2]Sheet 1'!$A$2:$Q$3504,14,FALSE())</f>
        <v>0</v>
      </c>
      <c r="O296" s="0" t="n">
        <f aca="false">VLOOKUP($A296,'[2]Sheet 1'!$A$2:$Q$3504,15,FALSE())</f>
        <v>0</v>
      </c>
      <c r="P296" s="0" t="n">
        <f aca="false">VLOOKUP($A296,'[2]Sheet 1'!$A$2:$Q$3504,16,FALSE())</f>
        <v>1.9</v>
      </c>
      <c r="Q296" s="0" t="n">
        <f aca="false">VLOOKUP($A296,'[2]Sheet 1'!$A$2:$Q$3504,17,FALSE())</f>
        <v>0</v>
      </c>
      <c r="S296" s="5"/>
    </row>
    <row r="297" customFormat="false" ht="14.25" hidden="false" customHeight="false" outlineLevel="0" collapsed="false">
      <c r="A297" s="5" t="n">
        <v>660</v>
      </c>
      <c r="B297" s="5" t="s">
        <v>707</v>
      </c>
      <c r="C297" s="5" t="n">
        <v>97</v>
      </c>
      <c r="D297" s="0" t="n">
        <f aca="false">VLOOKUP($A297,'[2]Sheet 1'!$A$2:$Q$3504,4,FALSE())</f>
        <v>353</v>
      </c>
      <c r="E297" s="0" t="n">
        <f aca="false">VLOOKUP($A297,'[2]Sheet 1'!$A$2:$Q$3504,5,FALSE())</f>
        <v>12.2</v>
      </c>
      <c r="F297" s="0" t="n">
        <f aca="false">VLOOKUP($A297,'[2]Sheet 1'!$A$2:$Q$3504,6,FALSE())</f>
        <v>0</v>
      </c>
      <c r="G297" s="0" t="n">
        <f aca="false">VLOOKUP($A297,'[2]Sheet 1'!$A$2:$Q$3504,7,FALSE())</f>
        <v>0.35</v>
      </c>
      <c r="H297" s="0" t="n">
        <f aca="false">VLOOKUP($A297,'[2]Sheet 1'!$A$2:$Q$3504,8,FALSE())</f>
        <v>4.41</v>
      </c>
      <c r="I297" s="0" t="n">
        <f aca="false">VLOOKUP($A297,'[2]Sheet 1'!$A$2:$Q$3504,9,FALSE())</f>
        <v>141</v>
      </c>
      <c r="J297" s="0" t="n">
        <f aca="false">VLOOKUP($A297,'[2]Sheet 1'!$A$2:$Q$3504,10,FALSE())</f>
        <v>0</v>
      </c>
      <c r="K297" s="0" t="n">
        <f aca="false">VLOOKUP($A297,'[2]Sheet 1'!$A$2:$Q$3504,11,FALSE())</f>
        <v>0.074</v>
      </c>
      <c r="L297" s="0" t="n">
        <f aca="false">VLOOKUP($A297,'[2]Sheet 1'!$A$2:$Q$3504,12,FALSE())</f>
        <v>101.9</v>
      </c>
      <c r="M297" s="0" t="n">
        <f aca="false">VLOOKUP($A297,'[2]Sheet 1'!$A$2:$Q$3504,13,FALSE())</f>
        <v>3535</v>
      </c>
      <c r="N297" s="0" t="n">
        <f aca="false">VLOOKUP($A297,'[2]Sheet 1'!$A$2:$Q$3504,14,FALSE())</f>
        <v>0</v>
      </c>
      <c r="O297" s="0" t="n">
        <f aca="false">VLOOKUP($A297,'[2]Sheet 1'!$A$2:$Q$3504,15,FALSE())</f>
        <v>0</v>
      </c>
      <c r="P297" s="0" t="n">
        <f aca="false">VLOOKUP($A297,'[2]Sheet 1'!$A$2:$Q$3504,16,FALSE())</f>
        <v>1.9</v>
      </c>
      <c r="Q297" s="0" t="n">
        <f aca="false">VLOOKUP($A297,'[2]Sheet 1'!$A$2:$Q$3504,17,FALSE())</f>
        <v>0</v>
      </c>
      <c r="S297" s="5"/>
    </row>
    <row r="298" customFormat="false" ht="14.25" hidden="false" customHeight="false" outlineLevel="0" collapsed="false">
      <c r="A298" s="5" t="n">
        <v>661</v>
      </c>
      <c r="B298" s="5" t="s">
        <v>708</v>
      </c>
      <c r="C298" s="5" t="n">
        <v>90</v>
      </c>
      <c r="D298" s="0" t="n">
        <f aca="false">VLOOKUP($A298,'[2]Sheet 1'!$A$2:$Q$3504,4,FALSE())</f>
        <v>228</v>
      </c>
      <c r="E298" s="0" t="n">
        <f aca="false">VLOOKUP($A298,'[2]Sheet 1'!$A$2:$Q$3504,5,FALSE())</f>
        <v>16</v>
      </c>
      <c r="F298" s="0" t="n">
        <f aca="false">VLOOKUP($A298,'[2]Sheet 1'!$A$2:$Q$3504,6,FALSE())</f>
        <v>37</v>
      </c>
      <c r="G298" s="0" t="n">
        <f aca="false">VLOOKUP($A298,'[2]Sheet 1'!$A$2:$Q$3504,7,FALSE())</f>
        <v>6.81</v>
      </c>
      <c r="H298" s="0" t="n">
        <f aca="false">VLOOKUP($A298,'[2]Sheet 1'!$A$2:$Q$3504,8,FALSE())</f>
        <v>3.4</v>
      </c>
      <c r="I298" s="0" t="n">
        <f aca="false">VLOOKUP($A298,'[2]Sheet 1'!$A$2:$Q$3504,9,FALSE())</f>
        <v>124.3</v>
      </c>
      <c r="J298" s="0" t="n">
        <f aca="false">VLOOKUP($A298,'[2]Sheet 1'!$A$2:$Q$3504,10,FALSE())</f>
        <v>32</v>
      </c>
      <c r="K298" s="0" t="n">
        <f aca="false">VLOOKUP($A298,'[2]Sheet 1'!$A$2:$Q$3504,11,FALSE())</f>
        <v>0.1755</v>
      </c>
      <c r="L298" s="0" t="n">
        <f aca="false">VLOOKUP($A298,'[2]Sheet 1'!$A$2:$Q$3504,12,FALSE())</f>
        <v>12</v>
      </c>
      <c r="M298" s="0" t="n">
        <f aca="false">VLOOKUP($A298,'[2]Sheet 1'!$A$2:$Q$3504,13,FALSE())</f>
        <v>830</v>
      </c>
      <c r="N298" s="0" t="n">
        <f aca="false">VLOOKUP($A298,'[2]Sheet 1'!$A$2:$Q$3504,14,FALSE())</f>
        <v>0</v>
      </c>
      <c r="O298" s="0" t="n">
        <f aca="false">VLOOKUP($A298,'[2]Sheet 1'!$A$2:$Q$3504,15,FALSE())</f>
        <v>0</v>
      </c>
      <c r="P298" s="0" t="n">
        <f aca="false">VLOOKUP($A298,'[2]Sheet 1'!$A$2:$Q$3504,16,FALSE())</f>
        <v>0</v>
      </c>
      <c r="Q298" s="0" t="n">
        <f aca="false">VLOOKUP($A298,'[2]Sheet 1'!$A$2:$Q$3504,17,FALSE())</f>
        <v>0</v>
      </c>
      <c r="S298" s="5"/>
    </row>
    <row r="299" customFormat="false" ht="14.25" hidden="false" customHeight="false" outlineLevel="0" collapsed="false">
      <c r="A299" s="5" t="n">
        <v>662</v>
      </c>
      <c r="B299" s="5" t="s">
        <v>710</v>
      </c>
      <c r="C299" s="5" t="n">
        <v>90</v>
      </c>
      <c r="D299" s="0" t="n">
        <f aca="false">VLOOKUP($A299,'[2]Sheet 1'!$A$2:$Q$3504,4,FALSE())</f>
        <v>579</v>
      </c>
      <c r="E299" s="0" t="n">
        <f aca="false">VLOOKUP($A299,'[2]Sheet 1'!$A$2:$Q$3504,5,FALSE())</f>
        <v>6.12</v>
      </c>
      <c r="F299" s="0" t="n">
        <f aca="false">VLOOKUP($A299,'[2]Sheet 1'!$A$2:$Q$3504,6,FALSE())</f>
        <v>8</v>
      </c>
      <c r="G299" s="0" t="n">
        <f aca="false">VLOOKUP($A299,'[2]Sheet 1'!$A$2:$Q$3504,7,FALSE())</f>
        <v>2.65</v>
      </c>
      <c r="H299" s="0" t="n">
        <f aca="false">VLOOKUP($A299,'[2]Sheet 1'!$A$2:$Q$3504,8,FALSE())</f>
        <v>6.32</v>
      </c>
      <c r="I299" s="0" t="n">
        <f aca="false">VLOOKUP($A299,'[2]Sheet 1'!$A$2:$Q$3504,9,FALSE())</f>
        <v>62</v>
      </c>
      <c r="J299" s="0" t="n">
        <f aca="false">VLOOKUP($A299,'[2]Sheet 1'!$A$2:$Q$3504,10,FALSE())</f>
        <v>0</v>
      </c>
      <c r="K299" s="0" t="n">
        <f aca="false">VLOOKUP($A299,'[2]Sheet 1'!$A$2:$Q$3504,11,FALSE())</f>
        <v>0.049</v>
      </c>
      <c r="L299" s="0" t="n">
        <f aca="false">VLOOKUP($A299,'[2]Sheet 1'!$A$2:$Q$3504,12,FALSE())</f>
        <v>0</v>
      </c>
      <c r="M299" s="0" t="n">
        <f aca="false">VLOOKUP($A299,'[2]Sheet 1'!$A$2:$Q$3504,13,FALSE())</f>
        <v>567</v>
      </c>
      <c r="N299" s="0" t="n">
        <f aca="false">VLOOKUP($A299,'[2]Sheet 1'!$A$2:$Q$3504,14,FALSE())</f>
        <v>0.59</v>
      </c>
      <c r="O299" s="0" t="n">
        <f aca="false">VLOOKUP($A299,'[2]Sheet 1'!$A$2:$Q$3504,15,FALSE())</f>
        <v>0.18</v>
      </c>
      <c r="P299" s="0" t="n">
        <f aca="false">VLOOKUP($A299,'[2]Sheet 1'!$A$2:$Q$3504,16,FALSE())</f>
        <v>7.2</v>
      </c>
      <c r="Q299" s="0" t="n">
        <f aca="false">VLOOKUP($A299,'[2]Sheet 1'!$A$2:$Q$3504,17,FALSE())</f>
        <v>3</v>
      </c>
      <c r="S299" s="5"/>
    </row>
    <row r="300" customFormat="false" ht="14.25" hidden="false" customHeight="false" outlineLevel="0" collapsed="false">
      <c r="A300" s="5" t="n">
        <v>664</v>
      </c>
      <c r="B300" s="5" t="s">
        <v>712</v>
      </c>
      <c r="C300" s="5" t="n">
        <v>97</v>
      </c>
      <c r="D300" s="0" t="n">
        <f aca="false">VLOOKUP($A300,'[2]Sheet 1'!$A$2:$Q$3504,4,FALSE())</f>
        <v>884</v>
      </c>
      <c r="E300" s="0" t="n">
        <f aca="false">VLOOKUP($A300,'[2]Sheet 1'!$A$2:$Q$3504,5,FALSE())</f>
        <v>0</v>
      </c>
      <c r="F300" s="0" t="n">
        <f aca="false">VLOOKUP($A300,'[2]Sheet 1'!$A$2:$Q$3504,6,FALSE())</f>
        <v>0</v>
      </c>
      <c r="G300" s="0" t="n">
        <f aca="false">VLOOKUP($A300,'[2]Sheet 1'!$A$2:$Q$3504,7,FALSE())</f>
        <v>0</v>
      </c>
      <c r="H300" s="0" t="n">
        <f aca="false">VLOOKUP($A300,'[2]Sheet 1'!$A$2:$Q$3504,8,FALSE())</f>
        <v>0</v>
      </c>
      <c r="I300" s="0" t="n">
        <f aca="false">VLOOKUP($A300,'[2]Sheet 1'!$A$2:$Q$3504,9,FALSE())</f>
        <v>0</v>
      </c>
      <c r="J300" s="0" t="n">
        <f aca="false">VLOOKUP($A300,'[2]Sheet 1'!$A$2:$Q$3504,10,FALSE())</f>
        <v>0</v>
      </c>
      <c r="K300" s="0" t="n">
        <f aca="false">VLOOKUP($A300,'[2]Sheet 1'!$A$2:$Q$3504,11,FALSE())</f>
        <v>0</v>
      </c>
      <c r="L300" s="0" t="n">
        <f aca="false">VLOOKUP($A300,'[2]Sheet 1'!$A$2:$Q$3504,12,FALSE())</f>
        <v>0.3</v>
      </c>
      <c r="M300" s="0" t="n">
        <f aca="false">VLOOKUP($A300,'[2]Sheet 1'!$A$2:$Q$3504,13,FALSE())</f>
        <v>0</v>
      </c>
      <c r="N300" s="0" t="n">
        <f aca="false">VLOOKUP($A300,'[2]Sheet 1'!$A$2:$Q$3504,14,FALSE())</f>
        <v>1.8</v>
      </c>
      <c r="O300" s="0" t="n">
        <f aca="false">VLOOKUP($A300,'[2]Sheet 1'!$A$2:$Q$3504,15,FALSE())</f>
        <v>0</v>
      </c>
      <c r="P300" s="0" t="n">
        <f aca="false">VLOOKUP($A300,'[2]Sheet 1'!$A$2:$Q$3504,16,FALSE())</f>
        <v>24.7</v>
      </c>
      <c r="Q300" s="0" t="n">
        <f aca="false">VLOOKUP($A300,'[2]Sheet 1'!$A$2:$Q$3504,17,FALSE())</f>
        <v>0</v>
      </c>
      <c r="S300" s="5"/>
    </row>
    <row r="301" customFormat="false" ht="14.25" hidden="false" customHeight="false" outlineLevel="0" collapsed="false">
      <c r="A301" s="5" t="n">
        <v>665</v>
      </c>
      <c r="B301" s="5" t="s">
        <v>1227</v>
      </c>
      <c r="C301" s="5" t="n">
        <v>97</v>
      </c>
      <c r="D301" s="0" t="n">
        <f aca="false">VLOOKUP($A301,'[2]Sheet 1'!$A$2:$Q$3504,4,FALSE())</f>
        <v>398</v>
      </c>
      <c r="E301" s="0" t="n">
        <f aca="false">VLOOKUP($A301,'[2]Sheet 1'!$A$2:$Q$3504,5,FALSE())</f>
        <v>6.67</v>
      </c>
      <c r="F301" s="0" t="n">
        <f aca="false">VLOOKUP($A301,'[2]Sheet 1'!$A$2:$Q$3504,6,FALSE())</f>
        <v>3.7</v>
      </c>
      <c r="G301" s="0" t="n">
        <f aca="false">VLOOKUP($A301,'[2]Sheet 1'!$A$2:$Q$3504,7,FALSE())</f>
        <v>1.46</v>
      </c>
      <c r="H301" s="0" t="n">
        <f aca="false">VLOOKUP($A301,'[2]Sheet 1'!$A$2:$Q$3504,8,FALSE())</f>
        <v>1.19</v>
      </c>
      <c r="I301" s="0" t="n">
        <f aca="false">VLOOKUP($A301,'[2]Sheet 1'!$A$2:$Q$3504,9,FALSE())</f>
        <v>133</v>
      </c>
      <c r="J301" s="0" t="n">
        <f aca="false">VLOOKUP($A301,'[2]Sheet 1'!$A$2:$Q$3504,10,FALSE())</f>
        <v>6</v>
      </c>
      <c r="K301" s="0" t="n">
        <f aca="false">VLOOKUP($A301,'[2]Sheet 1'!$A$2:$Q$3504,11,FALSE())</f>
        <v>0.565</v>
      </c>
      <c r="L301" s="0" t="n">
        <f aca="false">VLOOKUP($A301,'[2]Sheet 1'!$A$2:$Q$3504,12,FALSE())</f>
        <v>33.1</v>
      </c>
      <c r="M301" s="0" t="n">
        <f aca="false">VLOOKUP($A301,'[2]Sheet 1'!$A$2:$Q$3504,13,FALSE())</f>
        <v>712</v>
      </c>
      <c r="N301" s="0" t="n">
        <f aca="false">VLOOKUP($A301,'[2]Sheet 1'!$A$2:$Q$3504,14,FALSE())</f>
        <v>0.19</v>
      </c>
      <c r="O301" s="0" t="n">
        <f aca="false">VLOOKUP($A301,'[2]Sheet 1'!$A$2:$Q$3504,15,FALSE())</f>
        <v>0.35</v>
      </c>
      <c r="P301" s="0" t="n">
        <f aca="false">VLOOKUP($A301,'[2]Sheet 1'!$A$2:$Q$3504,16,FALSE())</f>
        <v>0.9</v>
      </c>
      <c r="Q301" s="0" t="n">
        <f aca="false">VLOOKUP($A301,'[2]Sheet 1'!$A$2:$Q$3504,17,FALSE())</f>
        <v>1</v>
      </c>
      <c r="S301" s="5"/>
    </row>
    <row r="302" customFormat="false" ht="14.25" hidden="false" customHeight="false" outlineLevel="0" collapsed="false">
      <c r="A302" s="5" t="n">
        <v>666</v>
      </c>
      <c r="B302" s="5" t="s">
        <v>718</v>
      </c>
      <c r="C302" s="5" t="n">
        <v>18</v>
      </c>
      <c r="D302" s="0" t="n">
        <f aca="false">VLOOKUP($A302,'[2]Sheet 1'!$A$2:$Q$3504,4,FALSE())</f>
        <v>279</v>
      </c>
      <c r="E302" s="0" t="n">
        <f aca="false">VLOOKUP($A302,'[2]Sheet 1'!$A$2:$Q$3504,5,FALSE())</f>
        <v>2.1</v>
      </c>
      <c r="F302" s="0" t="n">
        <f aca="false">VLOOKUP($A302,'[2]Sheet 1'!$A$2:$Q$3504,6,FALSE())</f>
        <v>2.6</v>
      </c>
      <c r="G302" s="0" t="n">
        <f aca="false">VLOOKUP($A302,'[2]Sheet 1'!$A$2:$Q$3504,7,FALSE())</f>
        <v>0.73</v>
      </c>
      <c r="H302" s="0" t="n">
        <f aca="false">VLOOKUP($A302,'[2]Sheet 1'!$A$2:$Q$3504,8,FALSE())</f>
        <v>2.11</v>
      </c>
      <c r="I302" s="0" t="n">
        <f aca="false">VLOOKUP($A302,'[2]Sheet 1'!$A$2:$Q$3504,9,FALSE())</f>
        <v>14</v>
      </c>
      <c r="J302" s="0" t="n">
        <f aca="false">VLOOKUP($A302,'[2]Sheet 1'!$A$2:$Q$3504,10,FALSE())</f>
        <v>2</v>
      </c>
      <c r="K302" s="0" t="n">
        <f aca="false">VLOOKUP($A302,'[2]Sheet 1'!$A$2:$Q$3504,11,FALSE())</f>
        <v>0.05</v>
      </c>
      <c r="L302" s="0" t="n">
        <f aca="false">VLOOKUP($A302,'[2]Sheet 1'!$A$2:$Q$3504,12,FALSE())</f>
        <v>1.3</v>
      </c>
      <c r="M302" s="0" t="n">
        <f aca="false">VLOOKUP($A302,'[2]Sheet 1'!$A$2:$Q$3504,13,FALSE())</f>
        <v>224</v>
      </c>
      <c r="N302" s="0" t="n">
        <f aca="false">VLOOKUP($A302,'[2]Sheet 1'!$A$2:$Q$3504,14,FALSE())</f>
        <v>0.02</v>
      </c>
      <c r="O302" s="0" t="n">
        <f aca="false">VLOOKUP($A302,'[2]Sheet 1'!$A$2:$Q$3504,15,FALSE())</f>
        <v>0</v>
      </c>
      <c r="P302" s="0" t="n">
        <f aca="false">VLOOKUP($A302,'[2]Sheet 1'!$A$2:$Q$3504,16,FALSE())</f>
        <v>0.5</v>
      </c>
      <c r="Q302" s="0" t="n">
        <f aca="false">VLOOKUP($A302,'[2]Sheet 1'!$A$2:$Q$3504,17,FALSE())</f>
        <v>0</v>
      </c>
      <c r="S302" s="5"/>
    </row>
    <row r="303" customFormat="false" ht="14.25" hidden="false" customHeight="false" outlineLevel="0" collapsed="false">
      <c r="A303" s="5" t="n">
        <v>667</v>
      </c>
      <c r="B303" s="5" t="s">
        <v>722</v>
      </c>
      <c r="C303" s="5" t="n">
        <v>95</v>
      </c>
      <c r="D303" s="0" t="n">
        <f aca="false">VLOOKUP($A303,'[2]Sheet 1'!$A$2:$Q$3504,4,FALSE())</f>
        <v>6.23125</v>
      </c>
      <c r="E303" s="0" t="n">
        <f aca="false">VLOOKUP($A303,'[2]Sheet 1'!$A$2:$Q$3504,5,FALSE())</f>
        <v>3.75</v>
      </c>
      <c r="F303" s="0" t="n">
        <f aca="false">VLOOKUP($A303,'[2]Sheet 1'!$A$2:$Q$3504,6,FALSE())</f>
        <v>0</v>
      </c>
      <c r="G303" s="0" t="n">
        <f aca="false">VLOOKUP($A303,'[2]Sheet 1'!$A$2:$Q$3504,7,FALSE())</f>
        <v>0.124625</v>
      </c>
      <c r="H303" s="0" t="n">
        <f aca="false">VLOOKUP($A303,'[2]Sheet 1'!$A$2:$Q$3504,8,FALSE())</f>
        <v>9.3123125</v>
      </c>
      <c r="I303" s="0" t="n">
        <f aca="false">VLOOKUP($A303,'[2]Sheet 1'!$A$2:$Q$3504,9,FALSE())</f>
        <v>167.5</v>
      </c>
      <c r="J303" s="0" t="n">
        <f aca="false">VLOOKUP($A303,'[2]Sheet 1'!$A$2:$Q$3504,10,FALSE())</f>
        <v>31.15625</v>
      </c>
      <c r="K303" s="0" t="n">
        <f aca="false">VLOOKUP($A303,'[2]Sheet 1'!$A$2:$Q$3504,11,FALSE())</f>
        <v>0.21861875</v>
      </c>
      <c r="L303" s="0" t="n">
        <f aca="false">VLOOKUP($A303,'[2]Sheet 1'!$A$2:$Q$3504,12,FALSE())</f>
        <v>2.4925</v>
      </c>
      <c r="M303" s="0" t="n">
        <f aca="false">VLOOKUP($A303,'[2]Sheet 1'!$A$2:$Q$3504,13,FALSE())</f>
        <v>230.55625</v>
      </c>
      <c r="N303" s="0" t="n">
        <f aca="false">VLOOKUP($A303,'[2]Sheet 1'!$A$2:$Q$3504,14,FALSE())</f>
        <v>0</v>
      </c>
      <c r="O303" s="0" t="n">
        <f aca="false">VLOOKUP($A303,'[2]Sheet 1'!$A$2:$Q$3504,15,FALSE())</f>
        <v>0</v>
      </c>
      <c r="P303" s="0" t="n">
        <f aca="false">VLOOKUP($A303,'[2]Sheet 1'!$A$2:$Q$3504,16,FALSE())</f>
        <v>0</v>
      </c>
      <c r="Q303" s="0" t="n">
        <f aca="false">VLOOKUP($A303,'[2]Sheet 1'!$A$2:$Q$3504,17,FALSE())</f>
        <v>0</v>
      </c>
      <c r="S303" s="5"/>
    </row>
    <row r="304" customFormat="false" ht="14.25" hidden="false" customHeight="false" outlineLevel="0" collapsed="false">
      <c r="A304" s="5" t="n">
        <v>671</v>
      </c>
      <c r="B304" s="5" t="s">
        <v>1228</v>
      </c>
      <c r="C304" s="5" t="n">
        <v>95</v>
      </c>
      <c r="D304" s="0" t="n">
        <f aca="false">VLOOKUP($A304,'[2]Sheet 1'!$A$2:$Q$3504,4,FALSE())</f>
        <v>6.23125</v>
      </c>
      <c r="E304" s="0" t="n">
        <f aca="false">VLOOKUP($A304,'[2]Sheet 1'!$A$2:$Q$3504,5,FALSE())</f>
        <v>3.75</v>
      </c>
      <c r="F304" s="0" t="n">
        <f aca="false">VLOOKUP($A304,'[2]Sheet 1'!$A$2:$Q$3504,6,FALSE())</f>
        <v>0</v>
      </c>
      <c r="G304" s="0" t="n">
        <f aca="false">VLOOKUP($A304,'[2]Sheet 1'!$A$2:$Q$3504,7,FALSE())</f>
        <v>0.124625</v>
      </c>
      <c r="H304" s="0" t="n">
        <f aca="false">VLOOKUP($A304,'[2]Sheet 1'!$A$2:$Q$3504,8,FALSE())</f>
        <v>9.3123125</v>
      </c>
      <c r="I304" s="0" t="n">
        <f aca="false">VLOOKUP($A304,'[2]Sheet 1'!$A$2:$Q$3504,9,FALSE())</f>
        <v>167.5</v>
      </c>
      <c r="J304" s="0" t="n">
        <f aca="false">VLOOKUP($A304,'[2]Sheet 1'!$A$2:$Q$3504,10,FALSE())</f>
        <v>31.15625</v>
      </c>
      <c r="K304" s="0" t="n">
        <f aca="false">VLOOKUP($A304,'[2]Sheet 1'!$A$2:$Q$3504,11,FALSE())</f>
        <v>0.21861875</v>
      </c>
      <c r="L304" s="0" t="n">
        <f aca="false">VLOOKUP($A304,'[2]Sheet 1'!$A$2:$Q$3504,12,FALSE())</f>
        <v>2.4925</v>
      </c>
      <c r="M304" s="0" t="n">
        <f aca="false">VLOOKUP($A304,'[2]Sheet 1'!$A$2:$Q$3504,13,FALSE())</f>
        <v>230.55625</v>
      </c>
      <c r="N304" s="0" t="n">
        <f aca="false">VLOOKUP($A304,'[2]Sheet 1'!$A$2:$Q$3504,14,FALSE())</f>
        <v>0</v>
      </c>
      <c r="O304" s="0" t="n">
        <f aca="false">VLOOKUP($A304,'[2]Sheet 1'!$A$2:$Q$3504,15,FALSE())</f>
        <v>0</v>
      </c>
      <c r="P304" s="0" t="n">
        <f aca="false">VLOOKUP($A304,'[2]Sheet 1'!$A$2:$Q$3504,16,FALSE())</f>
        <v>0</v>
      </c>
      <c r="Q304" s="0" t="n">
        <f aca="false">VLOOKUP($A304,'[2]Sheet 1'!$A$2:$Q$3504,17,FALSE())</f>
        <v>0</v>
      </c>
      <c r="S304" s="5"/>
    </row>
    <row r="305" customFormat="false" ht="14.25" hidden="false" customHeight="false" outlineLevel="0" collapsed="false">
      <c r="A305" s="5" t="n">
        <v>672</v>
      </c>
      <c r="B305" s="5" t="s">
        <v>727</v>
      </c>
      <c r="C305" s="5" t="n">
        <v>95</v>
      </c>
      <c r="D305" s="0" t="n">
        <f aca="false">VLOOKUP($A305,'[2]Sheet 1'!$A$2:$Q$3504,4,FALSE())</f>
        <v>6.23125</v>
      </c>
      <c r="E305" s="0" t="n">
        <f aca="false">VLOOKUP($A305,'[2]Sheet 1'!$A$2:$Q$3504,5,FALSE())</f>
        <v>3.75</v>
      </c>
      <c r="F305" s="0" t="n">
        <f aca="false">VLOOKUP($A305,'[2]Sheet 1'!$A$2:$Q$3504,6,FALSE())</f>
        <v>0</v>
      </c>
      <c r="G305" s="0" t="n">
        <f aca="false">VLOOKUP($A305,'[2]Sheet 1'!$A$2:$Q$3504,7,FALSE())</f>
        <v>0.124625</v>
      </c>
      <c r="H305" s="0" t="n">
        <f aca="false">VLOOKUP($A305,'[2]Sheet 1'!$A$2:$Q$3504,8,FALSE())</f>
        <v>9.3123125</v>
      </c>
      <c r="I305" s="0" t="n">
        <f aca="false">VLOOKUP($A305,'[2]Sheet 1'!$A$2:$Q$3504,9,FALSE())</f>
        <v>167.5</v>
      </c>
      <c r="J305" s="0" t="n">
        <f aca="false">VLOOKUP($A305,'[2]Sheet 1'!$A$2:$Q$3504,10,FALSE())</f>
        <v>31.15625</v>
      </c>
      <c r="K305" s="0" t="n">
        <f aca="false">VLOOKUP($A305,'[2]Sheet 1'!$A$2:$Q$3504,11,FALSE())</f>
        <v>0.21861875</v>
      </c>
      <c r="L305" s="0" t="n">
        <f aca="false">VLOOKUP($A305,'[2]Sheet 1'!$A$2:$Q$3504,12,FALSE())</f>
        <v>2.4925</v>
      </c>
      <c r="M305" s="0" t="n">
        <f aca="false">VLOOKUP($A305,'[2]Sheet 1'!$A$2:$Q$3504,13,FALSE())</f>
        <v>230.55625</v>
      </c>
      <c r="N305" s="0" t="n">
        <f aca="false">VLOOKUP($A305,'[2]Sheet 1'!$A$2:$Q$3504,14,FALSE())</f>
        <v>0</v>
      </c>
      <c r="O305" s="0" t="n">
        <f aca="false">VLOOKUP($A305,'[2]Sheet 1'!$A$2:$Q$3504,15,FALSE())</f>
        <v>0</v>
      </c>
      <c r="P305" s="0" t="n">
        <f aca="false">VLOOKUP($A305,'[2]Sheet 1'!$A$2:$Q$3504,16,FALSE())</f>
        <v>0</v>
      </c>
      <c r="Q305" s="0" t="n">
        <f aca="false">VLOOKUP($A305,'[2]Sheet 1'!$A$2:$Q$3504,17,FALSE())</f>
        <v>0</v>
      </c>
      <c r="S305" s="5"/>
    </row>
    <row r="306" customFormat="false" ht="14.25" hidden="false" customHeight="false" outlineLevel="0" collapsed="false">
      <c r="A306" s="5" t="n">
        <v>677</v>
      </c>
      <c r="B306" s="5" t="s">
        <v>729</v>
      </c>
      <c r="C306" s="5" t="n">
        <v>20</v>
      </c>
      <c r="D306" s="0" t="n">
        <f aca="false">VLOOKUP($A306,'[2]Sheet 1'!$A$2:$Q$3504,4,FALSE())</f>
        <v>1</v>
      </c>
      <c r="E306" s="0" t="n">
        <f aca="false">VLOOKUP($A306,'[2]Sheet 1'!$A$2:$Q$3504,5,FALSE())</f>
        <v>0</v>
      </c>
      <c r="F306" s="0" t="n">
        <f aca="false">VLOOKUP($A306,'[2]Sheet 1'!$A$2:$Q$3504,6,FALSE())</f>
        <v>0</v>
      </c>
      <c r="G306" s="0" t="n">
        <f aca="false">VLOOKUP($A306,'[2]Sheet 1'!$A$2:$Q$3504,7,FALSE())</f>
        <v>0.02</v>
      </c>
      <c r="H306" s="0" t="n">
        <f aca="false">VLOOKUP($A306,'[2]Sheet 1'!$A$2:$Q$3504,8,FALSE())</f>
        <v>0.02</v>
      </c>
      <c r="I306" s="0" t="n">
        <f aca="false">VLOOKUP($A306,'[2]Sheet 1'!$A$2:$Q$3504,9,FALSE())</f>
        <v>0</v>
      </c>
      <c r="J306" s="0" t="n">
        <f aca="false">VLOOKUP($A306,'[2]Sheet 1'!$A$2:$Q$3504,10,FALSE())</f>
        <v>5</v>
      </c>
      <c r="K306" s="0" t="n">
        <f aca="false">VLOOKUP($A306,'[2]Sheet 1'!$A$2:$Q$3504,11,FALSE())</f>
        <v>0.014</v>
      </c>
      <c r="L306" s="0" t="n">
        <f aca="false">VLOOKUP($A306,'[2]Sheet 1'!$A$2:$Q$3504,12,FALSE())</f>
        <v>0.4</v>
      </c>
      <c r="M306" s="0" t="n">
        <f aca="false">VLOOKUP($A306,'[2]Sheet 1'!$A$2:$Q$3504,13,FALSE())</f>
        <v>37</v>
      </c>
      <c r="N306" s="0" t="n">
        <f aca="false">VLOOKUP($A306,'[2]Sheet 1'!$A$2:$Q$3504,14,FALSE())</f>
        <v>0</v>
      </c>
      <c r="O306" s="0" t="n">
        <f aca="false">VLOOKUP($A306,'[2]Sheet 1'!$A$2:$Q$3504,15,FALSE())</f>
        <v>0</v>
      </c>
      <c r="P306" s="0" t="n">
        <f aca="false">VLOOKUP($A306,'[2]Sheet 1'!$A$2:$Q$3504,16,FALSE())</f>
        <v>0</v>
      </c>
      <c r="Q306" s="0" t="n">
        <f aca="false">VLOOKUP($A306,'[2]Sheet 1'!$A$2:$Q$3504,17,FALSE())</f>
        <v>0</v>
      </c>
      <c r="S306" s="5"/>
    </row>
    <row r="307" customFormat="false" ht="14.25" hidden="false" customHeight="false" outlineLevel="0" collapsed="false">
      <c r="A307" s="5" t="n">
        <v>687</v>
      </c>
      <c r="B307" s="5" t="s">
        <v>732</v>
      </c>
      <c r="C307" s="5" t="n">
        <v>7</v>
      </c>
      <c r="D307" s="0" t="n">
        <f aca="false">VLOOKUP($A307,'[2]Sheet 1'!$A$2:$Q$3504,4,FALSE())</f>
        <v>302.5</v>
      </c>
      <c r="E307" s="0" t="n">
        <f aca="false">VLOOKUP($A307,'[2]Sheet 1'!$A$2:$Q$3504,5,FALSE())</f>
        <v>10.4</v>
      </c>
      <c r="F307" s="0" t="n">
        <f aca="false">VLOOKUP($A307,'[2]Sheet 1'!$A$2:$Q$3504,6,FALSE())</f>
        <v>25.3</v>
      </c>
      <c r="G307" s="0" t="n">
        <f aca="false">VLOOKUP($A307,'[2]Sheet 1'!$A$2:$Q$3504,7,FALSE())</f>
        <v>1.19</v>
      </c>
      <c r="H307" s="0" t="n">
        <f aca="false">VLOOKUP($A307,'[2]Sheet 1'!$A$2:$Q$3504,8,FALSE())</f>
        <v>12</v>
      </c>
      <c r="I307" s="0" t="n">
        <f aca="false">VLOOKUP($A307,'[2]Sheet 1'!$A$2:$Q$3504,9,FALSE())</f>
        <v>440</v>
      </c>
      <c r="J307" s="0" t="n">
        <f aca="false">VLOOKUP($A307,'[2]Sheet 1'!$A$2:$Q$3504,10,FALSE())</f>
        <v>13.5</v>
      </c>
      <c r="K307" s="0" t="n">
        <f aca="false">VLOOKUP($A307,'[2]Sheet 1'!$A$2:$Q$3504,11,FALSE())</f>
        <v>0.09</v>
      </c>
      <c r="L307" s="0" t="n">
        <f aca="false">VLOOKUP($A307,'[2]Sheet 1'!$A$2:$Q$3504,12,FALSE())</f>
        <v>11.3</v>
      </c>
      <c r="M307" s="0" t="n">
        <f aca="false">VLOOKUP($A307,'[2]Sheet 1'!$A$2:$Q$3504,13,FALSE())</f>
        <v>695.5</v>
      </c>
      <c r="N307" s="0" t="n">
        <f aca="false">VLOOKUP($A307,'[2]Sheet 1'!$A$2:$Q$3504,14,FALSE())</f>
        <v>1.04</v>
      </c>
      <c r="O307" s="0" t="n">
        <f aca="false">VLOOKUP($A307,'[2]Sheet 1'!$A$2:$Q$3504,15,FALSE())</f>
        <v>0</v>
      </c>
      <c r="P307" s="0" t="n">
        <f aca="false">VLOOKUP($A307,'[2]Sheet 1'!$A$2:$Q$3504,16,FALSE())</f>
        <v>163.7</v>
      </c>
      <c r="Q307" s="0" t="n">
        <f aca="false">VLOOKUP($A307,'[2]Sheet 1'!$A$2:$Q$3504,17,FALSE())</f>
        <v>12</v>
      </c>
      <c r="S307" s="5"/>
    </row>
    <row r="308" customFormat="false" ht="14.25" hidden="false" customHeight="false" outlineLevel="0" collapsed="false">
      <c r="A308" s="5" t="n">
        <v>689</v>
      </c>
      <c r="B308" s="5" t="s">
        <v>735</v>
      </c>
      <c r="C308" s="5" t="n">
        <v>20</v>
      </c>
      <c r="D308" s="0" t="n">
        <f aca="false">VLOOKUP($A308,'[2]Sheet 1'!$A$2:$Q$3504,4,FALSE())</f>
        <v>282</v>
      </c>
      <c r="E308" s="0" t="n">
        <f aca="false">VLOOKUP($A308,'[2]Sheet 1'!$A$2:$Q$3504,5,FALSE())</f>
        <v>12.65</v>
      </c>
      <c r="F308" s="0" t="n">
        <f aca="false">VLOOKUP($A308,'[2]Sheet 1'!$A$2:$Q$3504,6,FALSE())</f>
        <v>22.9</v>
      </c>
      <c r="G308" s="0" t="n">
        <f aca="false">VLOOKUP($A308,'[2]Sheet 1'!$A$2:$Q$3504,7,FALSE())</f>
        <v>2.615</v>
      </c>
      <c r="H308" s="0" t="n">
        <f aca="false">VLOOKUP($A308,'[2]Sheet 1'!$A$2:$Q$3504,8,FALSE())</f>
        <v>5.23</v>
      </c>
      <c r="I308" s="0" t="n">
        <f aca="false">VLOOKUP($A308,'[2]Sheet 1'!$A$2:$Q$3504,9,FALSE())</f>
        <v>154</v>
      </c>
      <c r="J308" s="0" t="n">
        <f aca="false">VLOOKUP($A308,'[2]Sheet 1'!$A$2:$Q$3504,10,FALSE())</f>
        <v>42.5</v>
      </c>
      <c r="K308" s="0" t="n">
        <f aca="false">VLOOKUP($A308,'[2]Sheet 1'!$A$2:$Q$3504,11,FALSE())</f>
        <v>0.2</v>
      </c>
      <c r="L308" s="0" t="n">
        <f aca="false">VLOOKUP($A308,'[2]Sheet 1'!$A$2:$Q$3504,12,FALSE())</f>
        <v>51.5</v>
      </c>
      <c r="M308" s="0" t="n">
        <f aca="false">VLOOKUP($A308,'[2]Sheet 1'!$A$2:$Q$3504,13,FALSE())</f>
        <v>1982</v>
      </c>
      <c r="N308" s="0" t="n">
        <f aca="false">VLOOKUP($A308,'[2]Sheet 1'!$A$2:$Q$3504,14,FALSE())</f>
        <v>0.69</v>
      </c>
      <c r="O308" s="0" t="n">
        <f aca="false">VLOOKUP($A308,'[2]Sheet 1'!$A$2:$Q$3504,15,FALSE())</f>
        <v>0</v>
      </c>
      <c r="P308" s="0" t="n">
        <f aca="false">VLOOKUP($A308,'[2]Sheet 1'!$A$2:$Q$3504,16,FALSE())</f>
        <v>8.3</v>
      </c>
      <c r="Q308" s="0" t="n">
        <f aca="false">VLOOKUP($A308,'[2]Sheet 1'!$A$2:$Q$3504,17,FALSE())</f>
        <v>162.500000015</v>
      </c>
      <c r="S308" s="5"/>
    </row>
    <row r="309" customFormat="false" ht="14.25" hidden="false" customHeight="false" outlineLevel="0" collapsed="false">
      <c r="A309" s="5" t="n">
        <v>692</v>
      </c>
      <c r="B309" s="5" t="s">
        <v>738</v>
      </c>
      <c r="C309" s="5" t="n">
        <v>95</v>
      </c>
      <c r="D309" s="0" t="n">
        <f aca="false">VLOOKUP($A309,'[2]Sheet 1'!$A$2:$Q$3504,4,FALSE())</f>
        <v>288</v>
      </c>
      <c r="E309" s="0" t="n">
        <f aca="false">VLOOKUP($A309,'[2]Sheet 1'!$A$2:$Q$3504,5,FALSE())</f>
        <v>0.06</v>
      </c>
      <c r="F309" s="0" t="n">
        <f aca="false">VLOOKUP($A309,'[2]Sheet 1'!$A$2:$Q$3504,6,FALSE())</f>
        <v>0</v>
      </c>
      <c r="G309" s="0" t="n">
        <f aca="false">VLOOKUP($A309,'[2]Sheet 1'!$A$2:$Q$3504,7,FALSE())</f>
        <v>0.11</v>
      </c>
      <c r="H309" s="0" t="n">
        <f aca="false">VLOOKUP($A309,'[2]Sheet 1'!$A$2:$Q$3504,8,FALSE())</f>
        <v>0.12</v>
      </c>
      <c r="I309" s="0" t="n">
        <f aca="false">VLOOKUP($A309,'[2]Sheet 1'!$A$2:$Q$3504,9,FALSE())</f>
        <v>11</v>
      </c>
      <c r="J309" s="0" t="n">
        <f aca="false">VLOOKUP($A309,'[2]Sheet 1'!$A$2:$Q$3504,10,FALSE())</f>
        <v>0</v>
      </c>
      <c r="K309" s="0" t="n">
        <f aca="false">VLOOKUP($A309,'[2]Sheet 1'!$A$2:$Q$3504,11,FALSE())</f>
        <v>0.095</v>
      </c>
      <c r="L309" s="0" t="n">
        <f aca="false">VLOOKUP($A309,'[2]Sheet 1'!$A$2:$Q$3504,12,FALSE())</f>
        <v>0</v>
      </c>
      <c r="M309" s="0" t="n">
        <f aca="false">VLOOKUP($A309,'[2]Sheet 1'!$A$2:$Q$3504,13,FALSE())</f>
        <v>148</v>
      </c>
      <c r="N309" s="0" t="n">
        <f aca="false">VLOOKUP($A309,'[2]Sheet 1'!$A$2:$Q$3504,14,FALSE())</f>
        <v>0</v>
      </c>
      <c r="O309" s="0" t="n">
        <f aca="false">VLOOKUP($A309,'[2]Sheet 1'!$A$2:$Q$3504,15,FALSE())</f>
        <v>0</v>
      </c>
      <c r="P309" s="0" t="n">
        <f aca="false">VLOOKUP($A309,'[2]Sheet 1'!$A$2:$Q$3504,16,FALSE())</f>
        <v>0</v>
      </c>
      <c r="Q309" s="0" t="n">
        <f aca="false">VLOOKUP($A309,'[2]Sheet 1'!$A$2:$Q$3504,17,FALSE())</f>
        <v>0</v>
      </c>
      <c r="S309" s="5"/>
    </row>
    <row r="310" customFormat="false" ht="14.25" hidden="false" customHeight="false" outlineLevel="0" collapsed="false">
      <c r="A310" s="5" t="n">
        <v>693</v>
      </c>
      <c r="B310" s="5" t="s">
        <v>1229</v>
      </c>
      <c r="C310" s="5" t="n">
        <v>95</v>
      </c>
      <c r="D310" s="0" t="n">
        <f aca="false">VLOOKUP($A310,'[2]Sheet 1'!$A$2:$Q$3504,4,FALSE())</f>
        <v>276</v>
      </c>
      <c r="E310" s="0" t="n">
        <f aca="false">VLOOKUP($A310,'[2]Sheet 1'!$A$2:$Q$3504,5,FALSE())</f>
        <v>3.645</v>
      </c>
      <c r="F310" s="0" t="n">
        <f aca="false">VLOOKUP($A310,'[2]Sheet 1'!$A$2:$Q$3504,6,FALSE())</f>
        <v>53.1</v>
      </c>
      <c r="G310" s="0" t="n">
        <f aca="false">VLOOKUP($A310,'[2]Sheet 1'!$A$2:$Q$3504,7,FALSE())</f>
        <v>1.83</v>
      </c>
      <c r="H310" s="0" t="n">
        <f aca="false">VLOOKUP($A310,'[2]Sheet 1'!$A$2:$Q$3504,8,FALSE())</f>
        <v>8.32</v>
      </c>
      <c r="I310" s="0" t="n">
        <f aca="false">VLOOKUP($A310,'[2]Sheet 1'!$A$2:$Q$3504,9,FALSE())</f>
        <v>735</v>
      </c>
      <c r="J310" s="0" t="n">
        <f aca="false">VLOOKUP($A310,'[2]Sheet 1'!$A$2:$Q$3504,10,FALSE())</f>
        <v>6</v>
      </c>
      <c r="K310" s="0" t="n">
        <f aca="false">VLOOKUP($A310,'[2]Sheet 1'!$A$2:$Q$3504,11,FALSE())</f>
        <v>0.0555</v>
      </c>
      <c r="L310" s="0" t="n">
        <f aca="false">VLOOKUP($A310,'[2]Sheet 1'!$A$2:$Q$3504,12,FALSE())</f>
        <v>11</v>
      </c>
      <c r="M310" s="0" t="n">
        <f aca="false">VLOOKUP($A310,'[2]Sheet 1'!$A$2:$Q$3504,13,FALSE())</f>
        <v>431</v>
      </c>
      <c r="N310" s="0" t="n">
        <f aca="false">VLOOKUP($A310,'[2]Sheet 1'!$A$2:$Q$3504,14,FALSE())</f>
        <v>2.32</v>
      </c>
      <c r="O310" s="0" t="n">
        <f aca="false">VLOOKUP($A310,'[2]Sheet 1'!$A$2:$Q$3504,15,FALSE())</f>
        <v>0</v>
      </c>
      <c r="P310" s="0" t="n">
        <f aca="false">VLOOKUP($A310,'[2]Sheet 1'!$A$2:$Q$3504,16,FALSE())</f>
        <v>31.2</v>
      </c>
      <c r="Q310" s="0" t="n">
        <f aca="false">VLOOKUP($A310,'[2]Sheet 1'!$A$2:$Q$3504,17,FALSE())</f>
        <v>14.75</v>
      </c>
      <c r="S310" s="5"/>
    </row>
    <row r="311" customFormat="false" ht="14.25" hidden="false" customHeight="false" outlineLevel="0" collapsed="false">
      <c r="A311" s="5" t="n">
        <v>698</v>
      </c>
      <c r="B311" s="5" t="s">
        <v>744</v>
      </c>
      <c r="C311" s="5" t="n">
        <v>95</v>
      </c>
      <c r="D311" s="0" t="n">
        <f aca="false">VLOOKUP($A311,'[2]Sheet 1'!$A$2:$Q$3504,4,FALSE())</f>
        <v>274</v>
      </c>
      <c r="E311" s="0" t="n">
        <f aca="false">VLOOKUP($A311,'[2]Sheet 1'!$A$2:$Q$3504,5,FALSE())</f>
        <v>5</v>
      </c>
      <c r="F311" s="0" t="n">
        <f aca="false">VLOOKUP($A311,'[2]Sheet 1'!$A$2:$Q$3504,6,FALSE())</f>
        <v>21.45</v>
      </c>
      <c r="G311" s="0" t="n">
        <f aca="false">VLOOKUP($A311,'[2]Sheet 1'!$A$2:$Q$3504,7,FALSE())</f>
        <v>2.32</v>
      </c>
      <c r="H311" s="0" t="n">
        <f aca="false">VLOOKUP($A311,'[2]Sheet 1'!$A$2:$Q$3504,8,FALSE())</f>
        <v>11.83</v>
      </c>
      <c r="I311" s="0" t="n">
        <f aca="false">VLOOKUP($A311,'[2]Sheet 1'!$A$2:$Q$3504,9,FALSE())</f>
        <v>632</v>
      </c>
      <c r="J311" s="0" t="n">
        <f aca="false">VLOOKUP($A311,'[2]Sheet 1'!$A$2:$Q$3504,10,FALSE())</f>
        <v>25</v>
      </c>
      <c r="K311" s="0" t="n">
        <f aca="false">VLOOKUP($A311,'[2]Sheet 1'!$A$2:$Q$3504,11,FALSE())</f>
        <v>0.11</v>
      </c>
      <c r="L311" s="0" t="n">
        <f aca="false">VLOOKUP($A311,'[2]Sheet 1'!$A$2:$Q$3504,12,FALSE())</f>
        <v>37.4</v>
      </c>
      <c r="M311" s="0" t="n">
        <f aca="false">VLOOKUP($A311,'[2]Sheet 1'!$A$2:$Q$3504,13,FALSE())</f>
        <v>1020</v>
      </c>
      <c r="N311" s="0" t="n">
        <f aca="false">VLOOKUP($A311,'[2]Sheet 1'!$A$2:$Q$3504,14,FALSE())</f>
        <v>8.82</v>
      </c>
      <c r="O311" s="0" t="n">
        <f aca="false">VLOOKUP($A311,'[2]Sheet 1'!$A$2:$Q$3504,15,FALSE())</f>
        <v>0</v>
      </c>
      <c r="P311" s="0" t="n">
        <f aca="false">VLOOKUP($A311,'[2]Sheet 1'!$A$2:$Q$3504,16,FALSE())</f>
        <v>141.8</v>
      </c>
      <c r="Q311" s="0" t="n">
        <f aca="false">VLOOKUP($A311,'[2]Sheet 1'!$A$2:$Q$3504,17,FALSE())</f>
        <v>8</v>
      </c>
      <c r="S311" s="5"/>
    </row>
    <row r="312" customFormat="false" ht="14.25" hidden="false" customHeight="false" outlineLevel="0" collapsed="false">
      <c r="A312" s="5" t="n">
        <v>702</v>
      </c>
      <c r="B312" s="5" t="s">
        <v>747</v>
      </c>
      <c r="C312" s="5" t="n">
        <v>95</v>
      </c>
      <c r="D312" s="0" t="n">
        <f aca="false">VLOOKUP($A312,'[2]Sheet 1'!$A$2:$Q$3504,4,FALSE())</f>
        <v>413.5</v>
      </c>
      <c r="E312" s="0" t="n">
        <f aca="false">VLOOKUP($A312,'[2]Sheet 1'!$A$2:$Q$3504,5,FALSE())</f>
        <v>8.25</v>
      </c>
      <c r="F312" s="0" t="n">
        <f aca="false">VLOOKUP($A312,'[2]Sheet 1'!$A$2:$Q$3504,6,FALSE())</f>
        <v>20.1</v>
      </c>
      <c r="G312" s="0" t="n">
        <f aca="false">VLOOKUP($A312,'[2]Sheet 1'!$A$2:$Q$3504,7,FALSE())</f>
        <v>2.15</v>
      </c>
      <c r="H312" s="0" t="n">
        <f aca="false">VLOOKUP($A312,'[2]Sheet 1'!$A$2:$Q$3504,8,FALSE())</f>
        <v>12.45</v>
      </c>
      <c r="I312" s="0" t="n">
        <f aca="false">VLOOKUP($A312,'[2]Sheet 1'!$A$2:$Q$3504,9,FALSE())</f>
        <v>157</v>
      </c>
      <c r="J312" s="0" t="n">
        <f aca="false">VLOOKUP($A312,'[2]Sheet 1'!$A$2:$Q$3504,10,FALSE())</f>
        <v>76</v>
      </c>
      <c r="K312" s="0" t="n">
        <f aca="false">VLOOKUP($A312,'[2]Sheet 1'!$A$2:$Q$3504,11,FALSE())</f>
        <v>0.057</v>
      </c>
      <c r="L312" s="0" t="n">
        <f aca="false">VLOOKUP($A312,'[2]Sheet 1'!$A$2:$Q$3504,12,FALSE())</f>
        <v>779.4</v>
      </c>
      <c r="M312" s="0" t="n">
        <f aca="false">VLOOKUP($A312,'[2]Sheet 1'!$A$2:$Q$3504,13,FALSE())</f>
        <v>463</v>
      </c>
      <c r="N312" s="0" t="n">
        <f aca="false">VLOOKUP($A312,'[2]Sheet 1'!$A$2:$Q$3504,14,FALSE())</f>
        <v>0</v>
      </c>
      <c r="O312" s="0" t="n">
        <f aca="false">VLOOKUP($A312,'[2]Sheet 1'!$A$2:$Q$3504,15,FALSE())</f>
        <v>0</v>
      </c>
      <c r="P312" s="0" t="n">
        <f aca="false">VLOOKUP($A312,'[2]Sheet 1'!$A$2:$Q$3504,16,FALSE())</f>
        <v>0</v>
      </c>
      <c r="Q312" s="0" t="n">
        <f aca="false">VLOOKUP($A312,'[2]Sheet 1'!$A$2:$Q$3504,17,FALSE())</f>
        <v>0.12</v>
      </c>
      <c r="S312" s="5"/>
    </row>
    <row r="313" customFormat="false" ht="14.25" hidden="false" customHeight="false" outlineLevel="0" collapsed="false">
      <c r="A313" s="5" t="n">
        <v>711</v>
      </c>
      <c r="B313" s="5" t="s">
        <v>751</v>
      </c>
      <c r="C313" s="5" t="n">
        <v>95</v>
      </c>
      <c r="D313" s="0" t="n">
        <f aca="false">VLOOKUP($A313,'[2]Sheet 1'!$A$2:$Q$3504,4,FALSE())</f>
        <v>341</v>
      </c>
      <c r="E313" s="0" t="n">
        <f aca="false">VLOOKUP($A313,'[2]Sheet 1'!$A$2:$Q$3504,5,FALSE())</f>
        <v>16.7</v>
      </c>
      <c r="F313" s="0" t="n">
        <f aca="false">VLOOKUP($A313,'[2]Sheet 1'!$A$2:$Q$3504,6,FALSE())</f>
        <v>14.6</v>
      </c>
      <c r="G313" s="0" t="n">
        <f aca="false">VLOOKUP($A313,'[2]Sheet 1'!$A$2:$Q$3504,7,FALSE())</f>
        <v>4.8</v>
      </c>
      <c r="H313" s="0" t="n">
        <f aca="false">VLOOKUP($A313,'[2]Sheet 1'!$A$2:$Q$3504,8,FALSE())</f>
        <v>27.5</v>
      </c>
      <c r="I313" s="0" t="n">
        <f aca="false">VLOOKUP($A313,'[2]Sheet 1'!$A$2:$Q$3504,9,FALSE())</f>
        <v>709</v>
      </c>
      <c r="J313" s="0" t="n">
        <f aca="false">VLOOKUP($A313,'[2]Sheet 1'!$A$2:$Q$3504,10,FALSE())</f>
        <v>10</v>
      </c>
      <c r="K313" s="0" t="n">
        <f aca="false">VLOOKUP($A313,'[2]Sheet 1'!$A$2:$Q$3504,11,FALSE())</f>
        <v>0.3085</v>
      </c>
      <c r="L313" s="0" t="n">
        <f aca="false">VLOOKUP($A313,'[2]Sheet 1'!$A$2:$Q$3504,12,FALSE())</f>
        <v>544.85</v>
      </c>
      <c r="M313" s="0" t="n">
        <f aca="false">VLOOKUP($A313,'[2]Sheet 1'!$A$2:$Q$3504,13,FALSE())</f>
        <v>1440.5</v>
      </c>
      <c r="N313" s="0" t="n">
        <f aca="false">VLOOKUP($A313,'[2]Sheet 1'!$A$2:$Q$3504,14,FALSE())</f>
        <v>0</v>
      </c>
      <c r="O313" s="0" t="n">
        <f aca="false">VLOOKUP($A313,'[2]Sheet 1'!$A$2:$Q$3504,15,FALSE())</f>
        <v>0</v>
      </c>
      <c r="P313" s="0" t="n">
        <f aca="false">VLOOKUP($A313,'[2]Sheet 1'!$A$2:$Q$3504,16,FALSE())</f>
        <v>0</v>
      </c>
      <c r="Q313" s="0" t="n">
        <f aca="false">VLOOKUP($A313,'[2]Sheet 1'!$A$2:$Q$3504,17,FALSE())</f>
        <v>16</v>
      </c>
      <c r="S313" s="5"/>
    </row>
    <row r="314" customFormat="false" ht="14.25" hidden="false" customHeight="false" outlineLevel="0" collapsed="false">
      <c r="A314" s="5" t="n">
        <v>720</v>
      </c>
      <c r="B314" s="5" t="s">
        <v>755</v>
      </c>
      <c r="C314" s="5" t="n">
        <v>13</v>
      </c>
      <c r="D314" s="0" t="n">
        <f aca="false">VLOOKUP($A314,'[2]Sheet 1'!$A$2:$Q$3504,4,FALSE())</f>
        <v>191.5</v>
      </c>
      <c r="E314" s="0" t="n">
        <f aca="false">VLOOKUP($A314,'[2]Sheet 1'!$A$2:$Q$3504,5,FALSE())</f>
        <v>4.8</v>
      </c>
      <c r="F314" s="0" t="n">
        <f aca="false">VLOOKUP($A314,'[2]Sheet 1'!$A$2:$Q$3504,6,FALSE())</f>
        <v>2.9</v>
      </c>
      <c r="G314" s="0" t="n">
        <f aca="false">VLOOKUP($A314,'[2]Sheet 1'!$A$2:$Q$3504,7,FALSE())</f>
        <v>1.447745401</v>
      </c>
      <c r="H314" s="0" t="n">
        <f aca="false">VLOOKUP($A314,'[2]Sheet 1'!$A$2:$Q$3504,8,FALSE())</f>
        <v>2.554844825</v>
      </c>
      <c r="I314" s="0" t="n">
        <f aca="false">VLOOKUP($A314,'[2]Sheet 1'!$A$2:$Q$3504,9,FALSE())</f>
        <v>48.361367785</v>
      </c>
      <c r="J314" s="0" t="n">
        <f aca="false">VLOOKUP($A314,'[2]Sheet 1'!$A$2:$Q$3504,10,FALSE())</f>
        <v>13</v>
      </c>
      <c r="K314" s="0" t="n">
        <f aca="false">VLOOKUP($A314,'[2]Sheet 1'!$A$2:$Q$3504,11,FALSE())</f>
        <v>0.105</v>
      </c>
      <c r="L314" s="0" t="n">
        <f aca="false">VLOOKUP($A314,'[2]Sheet 1'!$A$2:$Q$3504,12,FALSE())</f>
        <v>41.2</v>
      </c>
      <c r="M314" s="0" t="n">
        <f aca="false">VLOOKUP($A314,'[2]Sheet 1'!$A$2:$Q$3504,13,FALSE())</f>
        <v>867.5</v>
      </c>
      <c r="N314" s="0" t="n">
        <f aca="false">VLOOKUP($A314,'[2]Sheet 1'!$A$2:$Q$3504,14,FALSE())</f>
        <v>0</v>
      </c>
      <c r="O314" s="0" t="n">
        <f aca="false">VLOOKUP($A314,'[2]Sheet 1'!$A$2:$Q$3504,15,FALSE())</f>
        <v>0</v>
      </c>
      <c r="P314" s="0" t="n">
        <f aca="false">VLOOKUP($A314,'[2]Sheet 1'!$A$2:$Q$3504,16,FALSE())</f>
        <v>0.8</v>
      </c>
      <c r="Q314" s="0" t="n">
        <f aca="false">VLOOKUP($A314,'[2]Sheet 1'!$A$2:$Q$3504,17,FALSE())</f>
        <v>0</v>
      </c>
      <c r="S314" s="5"/>
    </row>
    <row r="315" customFormat="false" ht="14.25" hidden="false" customHeight="false" outlineLevel="0" collapsed="false">
      <c r="A315" s="5" t="n">
        <v>723</v>
      </c>
      <c r="B315" s="5" t="s">
        <v>1230</v>
      </c>
      <c r="C315" s="5" t="n">
        <v>95</v>
      </c>
      <c r="D315" s="0" t="n">
        <f aca="false">VLOOKUP($A315,'[2]Sheet 1'!$A$2:$Q$3504,4,FALSE())</f>
        <v>289</v>
      </c>
      <c r="E315" s="0" t="n">
        <f aca="false">VLOOKUP($A315,'[2]Sheet 1'!$A$2:$Q$3504,5,FALSE())</f>
        <v>7.3</v>
      </c>
      <c r="F315" s="0" t="n">
        <f aca="false">VLOOKUP($A315,'[2]Sheet 1'!$A$2:$Q$3504,6,FALSE())</f>
        <v>12.2</v>
      </c>
      <c r="G315" s="0" t="n">
        <f aca="false">VLOOKUP($A315,'[2]Sheet 1'!$A$2:$Q$3504,7,FALSE())</f>
        <v>2.895</v>
      </c>
      <c r="H315" s="0" t="n">
        <f aca="false">VLOOKUP($A315,'[2]Sheet 1'!$A$2:$Q$3504,8,FALSE())</f>
        <v>12</v>
      </c>
      <c r="I315" s="0" t="n">
        <f aca="false">VLOOKUP($A315,'[2]Sheet 1'!$A$2:$Q$3504,9,FALSE())</f>
        <v>243</v>
      </c>
      <c r="J315" s="0" t="n">
        <f aca="false">VLOOKUP($A315,'[2]Sheet 1'!$A$2:$Q$3504,10,FALSE())</f>
        <v>150</v>
      </c>
      <c r="K315" s="0" t="n">
        <f aca="false">VLOOKUP($A315,'[2]Sheet 1'!$A$2:$Q$3504,11,FALSE())</f>
        <v>0.261</v>
      </c>
      <c r="L315" s="0" t="n">
        <f aca="false">VLOOKUP($A315,'[2]Sheet 1'!$A$2:$Q$3504,12,FALSE())</f>
        <v>46.4</v>
      </c>
      <c r="M315" s="0" t="n">
        <f aca="false">VLOOKUP($A315,'[2]Sheet 1'!$A$2:$Q$3504,13,FALSE())</f>
        <v>738</v>
      </c>
      <c r="N315" s="0" t="n">
        <f aca="false">VLOOKUP($A315,'[2]Sheet 1'!$A$2:$Q$3504,14,FALSE())</f>
        <v>4.43</v>
      </c>
      <c r="O315" s="0" t="n">
        <f aca="false">VLOOKUP($A315,'[2]Sheet 1'!$A$2:$Q$3504,15,FALSE())</f>
        <v>0</v>
      </c>
      <c r="P315" s="0" t="n">
        <f aca="false">VLOOKUP($A315,'[2]Sheet 1'!$A$2:$Q$3504,16,FALSE())</f>
        <v>13.4</v>
      </c>
      <c r="Q315" s="0" t="n">
        <f aca="false">VLOOKUP($A315,'[2]Sheet 1'!$A$2:$Q$3504,17,FALSE())</f>
        <v>156</v>
      </c>
      <c r="S315" s="5"/>
    </row>
    <row r="316" customFormat="false" ht="14.25" hidden="false" customHeight="false" outlineLevel="0" collapsed="false">
      <c r="A316" s="5" t="n">
        <v>737</v>
      </c>
      <c r="B316" s="5" t="s">
        <v>761</v>
      </c>
      <c r="C316" s="5" t="n">
        <v>0</v>
      </c>
      <c r="D316" s="0" t="e">
        <f aca="false">VLOOKUP($A316,'[2]Sheet 1'!$A$2:$Q$3504,4,FALSE())</f>
        <v>#N/A</v>
      </c>
      <c r="E316" s="0" t="e">
        <f aca="false">VLOOKUP($A316,'[2]Sheet 1'!$A$2:$Q$3504,5,FALSE())</f>
        <v>#N/A</v>
      </c>
      <c r="F316" s="0" t="e">
        <f aca="false">VLOOKUP($A316,'[2]Sheet 1'!$A$2:$Q$3504,6,FALSE())</f>
        <v>#N/A</v>
      </c>
      <c r="G316" s="0" t="e">
        <f aca="false">VLOOKUP($A316,'[2]Sheet 1'!$A$2:$Q$3504,7,FALSE())</f>
        <v>#N/A</v>
      </c>
      <c r="H316" s="0" t="e">
        <f aca="false">VLOOKUP($A316,'[2]Sheet 1'!$A$2:$Q$3504,8,FALSE())</f>
        <v>#N/A</v>
      </c>
      <c r="I316" s="0" t="e">
        <f aca="false">VLOOKUP($A316,'[2]Sheet 1'!$A$2:$Q$3504,9,FALSE())</f>
        <v>#N/A</v>
      </c>
      <c r="J316" s="0" t="e">
        <f aca="false">VLOOKUP($A316,'[2]Sheet 1'!$A$2:$Q$3504,10,FALSE())</f>
        <v>#N/A</v>
      </c>
      <c r="K316" s="0" t="e">
        <f aca="false">VLOOKUP($A316,'[2]Sheet 1'!$A$2:$Q$3504,11,FALSE())</f>
        <v>#N/A</v>
      </c>
      <c r="L316" s="0" t="e">
        <f aca="false">VLOOKUP($A316,'[2]Sheet 1'!$A$2:$Q$3504,12,FALSE())</f>
        <v>#N/A</v>
      </c>
      <c r="M316" s="0" t="e">
        <f aca="false">VLOOKUP($A316,'[2]Sheet 1'!$A$2:$Q$3504,13,FALSE())</f>
        <v>#N/A</v>
      </c>
      <c r="N316" s="0" t="e">
        <f aca="false">VLOOKUP($A316,'[2]Sheet 1'!$A$2:$Q$3504,14,FALSE())</f>
        <v>#N/A</v>
      </c>
      <c r="O316" s="0" t="e">
        <f aca="false">VLOOKUP($A316,'[2]Sheet 1'!$A$2:$Q$3504,15,FALSE())</f>
        <v>#N/A</v>
      </c>
      <c r="P316" s="0" t="e">
        <f aca="false">VLOOKUP($A316,'[2]Sheet 1'!$A$2:$Q$3504,16,FALSE())</f>
        <v>#N/A</v>
      </c>
      <c r="Q316" s="0" t="e">
        <f aca="false">VLOOKUP($A316,'[2]Sheet 1'!$A$2:$Q$3504,17,FALSE())</f>
        <v>#N/A</v>
      </c>
      <c r="S316" s="5"/>
    </row>
    <row r="317" customFormat="false" ht="14.25" hidden="false" customHeight="false" outlineLevel="0" collapsed="false">
      <c r="A317" s="5" t="n">
        <v>748</v>
      </c>
      <c r="B317" s="5" t="s">
        <v>763</v>
      </c>
      <c r="C317" s="5" t="n">
        <v>50</v>
      </c>
      <c r="D317" s="0" t="n">
        <f aca="false">VLOOKUP($A317,'[2]Sheet 1'!$A$2:$Q$3504,4,FALSE())</f>
        <v>312</v>
      </c>
      <c r="E317" s="0" t="n">
        <f aca="false">VLOOKUP($A317,'[2]Sheet 1'!$A$2:$Q$3504,5,FALSE())</f>
        <v>9.68</v>
      </c>
      <c r="F317" s="0" t="n">
        <f aca="false">VLOOKUP($A317,'[2]Sheet 1'!$A$2:$Q$3504,6,FALSE())</f>
        <v>22.7</v>
      </c>
      <c r="G317" s="0" t="n">
        <f aca="false">VLOOKUP($A317,'[2]Sheet 1'!$A$2:$Q$3504,7,FALSE())</f>
        <v>4.5</v>
      </c>
      <c r="H317" s="0" t="n">
        <f aca="false">VLOOKUP($A317,'[2]Sheet 1'!$A$2:$Q$3504,8,FALSE())</f>
        <v>55</v>
      </c>
      <c r="I317" s="0" t="n">
        <f aca="false">VLOOKUP($A317,'[2]Sheet 1'!$A$2:$Q$3504,9,FALSE())</f>
        <v>168</v>
      </c>
      <c r="J317" s="0" t="n">
        <f aca="false">VLOOKUP($A317,'[2]Sheet 1'!$A$2:$Q$3504,10,FALSE())</f>
        <v>20</v>
      </c>
      <c r="K317" s="0" t="n">
        <f aca="false">VLOOKUP($A317,'[2]Sheet 1'!$A$2:$Q$3504,11,FALSE())</f>
        <v>0.15</v>
      </c>
      <c r="L317" s="0" t="n">
        <f aca="false">VLOOKUP($A317,'[2]Sheet 1'!$A$2:$Q$3504,12,FALSE())</f>
        <v>49.2</v>
      </c>
      <c r="M317" s="0" t="n">
        <f aca="false">VLOOKUP($A317,'[2]Sheet 1'!$A$2:$Q$3504,13,FALSE())</f>
        <v>2080</v>
      </c>
      <c r="N317" s="0" t="n">
        <f aca="false">VLOOKUP($A317,'[2]Sheet 1'!$A$2:$Q$3504,14,FALSE())</f>
        <v>4.43</v>
      </c>
      <c r="O317" s="0" t="n">
        <f aca="false">VLOOKUP($A317,'[2]Sheet 1'!$A$2:$Q$3504,15,FALSE())</f>
        <v>0</v>
      </c>
      <c r="P317" s="0" t="n">
        <f aca="false">VLOOKUP($A317,'[2]Sheet 1'!$A$2:$Q$3504,16,FALSE())</f>
        <v>13.4</v>
      </c>
      <c r="Q317" s="0" t="n">
        <f aca="false">VLOOKUP($A317,'[2]Sheet 1'!$A$2:$Q$3504,17,FALSE())</f>
        <v>0</v>
      </c>
      <c r="S317" s="5"/>
    </row>
    <row r="318" customFormat="false" ht="14.25" hidden="false" customHeight="false" outlineLevel="0" collapsed="false">
      <c r="A318" s="5" t="n">
        <v>753</v>
      </c>
      <c r="B318" s="5" t="s">
        <v>765</v>
      </c>
      <c r="C318" s="5" t="n">
        <v>0</v>
      </c>
      <c r="D318" s="0" t="e">
        <f aca="false">VLOOKUP($A318,'[2]Sheet 1'!$A$2:$Q$3504,4,FALSE())</f>
        <v>#N/A</v>
      </c>
      <c r="E318" s="0" t="e">
        <f aca="false">VLOOKUP($A318,'[2]Sheet 1'!$A$2:$Q$3504,5,FALSE())</f>
        <v>#N/A</v>
      </c>
      <c r="F318" s="0" t="e">
        <f aca="false">VLOOKUP($A318,'[2]Sheet 1'!$A$2:$Q$3504,6,FALSE())</f>
        <v>#N/A</v>
      </c>
      <c r="G318" s="0" t="e">
        <f aca="false">VLOOKUP($A318,'[2]Sheet 1'!$A$2:$Q$3504,7,FALSE())</f>
        <v>#N/A</v>
      </c>
      <c r="H318" s="0" t="e">
        <f aca="false">VLOOKUP($A318,'[2]Sheet 1'!$A$2:$Q$3504,8,FALSE())</f>
        <v>#N/A</v>
      </c>
      <c r="I318" s="0" t="e">
        <f aca="false">VLOOKUP($A318,'[2]Sheet 1'!$A$2:$Q$3504,9,FALSE())</f>
        <v>#N/A</v>
      </c>
      <c r="J318" s="0" t="e">
        <f aca="false">VLOOKUP($A318,'[2]Sheet 1'!$A$2:$Q$3504,10,FALSE())</f>
        <v>#N/A</v>
      </c>
      <c r="K318" s="0" t="e">
        <f aca="false">VLOOKUP($A318,'[2]Sheet 1'!$A$2:$Q$3504,11,FALSE())</f>
        <v>#N/A</v>
      </c>
      <c r="L318" s="0" t="e">
        <f aca="false">VLOOKUP($A318,'[2]Sheet 1'!$A$2:$Q$3504,12,FALSE())</f>
        <v>#N/A</v>
      </c>
      <c r="M318" s="0" t="e">
        <f aca="false">VLOOKUP($A318,'[2]Sheet 1'!$A$2:$Q$3504,13,FALSE())</f>
        <v>#N/A</v>
      </c>
      <c r="N318" s="0" t="e">
        <f aca="false">VLOOKUP($A318,'[2]Sheet 1'!$A$2:$Q$3504,14,FALSE())</f>
        <v>#N/A</v>
      </c>
      <c r="O318" s="0" t="e">
        <f aca="false">VLOOKUP($A318,'[2]Sheet 1'!$A$2:$Q$3504,15,FALSE())</f>
        <v>#N/A</v>
      </c>
      <c r="P318" s="0" t="e">
        <f aca="false">VLOOKUP($A318,'[2]Sheet 1'!$A$2:$Q$3504,16,FALSE())</f>
        <v>#N/A</v>
      </c>
      <c r="Q318" s="0" t="e">
        <f aca="false">VLOOKUP($A318,'[2]Sheet 1'!$A$2:$Q$3504,17,FALSE())</f>
        <v>#N/A</v>
      </c>
      <c r="S318" s="5"/>
    </row>
    <row r="319" customFormat="false" ht="14.25" hidden="false" customHeight="false" outlineLevel="0" collapsed="false">
      <c r="A319" s="5" t="n">
        <v>754</v>
      </c>
      <c r="B319" s="5" t="s">
        <v>768</v>
      </c>
      <c r="C319" s="5" t="n">
        <v>100</v>
      </c>
      <c r="D319" s="0" t="n">
        <f aca="false">VLOOKUP($A319,'[2]Sheet 1'!$A$2:$Q$3504,4,FALSE())</f>
        <v>0</v>
      </c>
      <c r="E319" s="0" t="n">
        <f aca="false">VLOOKUP($A319,'[2]Sheet 1'!$A$2:$Q$3504,5,FALSE())</f>
        <v>0</v>
      </c>
      <c r="F319" s="0" t="n">
        <f aca="false">VLOOKUP($A319,'[2]Sheet 1'!$A$2:$Q$3504,6,FALSE())</f>
        <v>0</v>
      </c>
      <c r="G319" s="0" t="n">
        <f aca="false">VLOOKUP($A319,'[2]Sheet 1'!$A$2:$Q$3504,7,FALSE())</f>
        <v>0</v>
      </c>
      <c r="H319" s="0" t="n">
        <f aca="false">VLOOKUP($A319,'[2]Sheet 1'!$A$2:$Q$3504,8,FALSE())</f>
        <v>0</v>
      </c>
      <c r="I319" s="0" t="n">
        <f aca="false">VLOOKUP($A319,'[2]Sheet 1'!$A$2:$Q$3504,9,FALSE())</f>
        <v>0</v>
      </c>
      <c r="J319" s="0" t="n">
        <f aca="false">VLOOKUP($A319,'[2]Sheet 1'!$A$2:$Q$3504,10,FALSE())</f>
        <v>0</v>
      </c>
      <c r="K319" s="0" t="n">
        <f aca="false">VLOOKUP($A319,'[2]Sheet 1'!$A$2:$Q$3504,11,FALSE())</f>
        <v>0</v>
      </c>
      <c r="L319" s="0" t="n">
        <f aca="false">VLOOKUP($A319,'[2]Sheet 1'!$A$2:$Q$3504,12,FALSE())</f>
        <v>0</v>
      </c>
      <c r="M319" s="0" t="n">
        <f aca="false">VLOOKUP($A319,'[2]Sheet 1'!$A$2:$Q$3504,13,FALSE())</f>
        <v>0</v>
      </c>
      <c r="N319" s="0" t="n">
        <f aca="false">VLOOKUP($A319,'[2]Sheet 1'!$A$2:$Q$3504,14,FALSE())</f>
        <v>0</v>
      </c>
      <c r="O319" s="0" t="n">
        <f aca="false">VLOOKUP($A319,'[2]Sheet 1'!$A$2:$Q$3504,15,FALSE())</f>
        <v>0</v>
      </c>
      <c r="P319" s="0" t="n">
        <f aca="false">VLOOKUP($A319,'[2]Sheet 1'!$A$2:$Q$3504,16,FALSE())</f>
        <v>0</v>
      </c>
      <c r="Q319" s="0" t="n">
        <f aca="false">VLOOKUP($A319,'[2]Sheet 1'!$A$2:$Q$3504,17,FALSE())</f>
        <v>0</v>
      </c>
      <c r="S319" s="5"/>
    </row>
    <row r="320" customFormat="false" ht="14.25" hidden="false" customHeight="false" outlineLevel="0" collapsed="false">
      <c r="A320" s="5" t="n">
        <v>755</v>
      </c>
      <c r="B320" s="5" t="s">
        <v>770</v>
      </c>
      <c r="C320" s="5" t="n">
        <v>100</v>
      </c>
      <c r="D320" s="0" t="n">
        <f aca="false">VLOOKUP($A320,'[2]Sheet 1'!$A$2:$Q$3504,4,FALSE())</f>
        <v>0</v>
      </c>
      <c r="E320" s="0" t="n">
        <f aca="false">VLOOKUP($A320,'[2]Sheet 1'!$A$2:$Q$3504,5,FALSE())</f>
        <v>0</v>
      </c>
      <c r="F320" s="0" t="n">
        <f aca="false">VLOOKUP($A320,'[2]Sheet 1'!$A$2:$Q$3504,6,FALSE())</f>
        <v>0</v>
      </c>
      <c r="G320" s="0" t="n">
        <f aca="false">VLOOKUP($A320,'[2]Sheet 1'!$A$2:$Q$3504,7,FALSE())</f>
        <v>0</v>
      </c>
      <c r="H320" s="0" t="n">
        <f aca="false">VLOOKUP($A320,'[2]Sheet 1'!$A$2:$Q$3504,8,FALSE())</f>
        <v>0</v>
      </c>
      <c r="I320" s="0" t="n">
        <f aca="false">VLOOKUP($A320,'[2]Sheet 1'!$A$2:$Q$3504,9,FALSE())</f>
        <v>0</v>
      </c>
      <c r="J320" s="0" t="n">
        <f aca="false">VLOOKUP($A320,'[2]Sheet 1'!$A$2:$Q$3504,10,FALSE())</f>
        <v>0</v>
      </c>
      <c r="K320" s="0" t="n">
        <f aca="false">VLOOKUP($A320,'[2]Sheet 1'!$A$2:$Q$3504,11,FALSE())</f>
        <v>0</v>
      </c>
      <c r="L320" s="0" t="n">
        <f aca="false">VLOOKUP($A320,'[2]Sheet 1'!$A$2:$Q$3504,12,FALSE())</f>
        <v>0</v>
      </c>
      <c r="M320" s="0" t="n">
        <f aca="false">VLOOKUP($A320,'[2]Sheet 1'!$A$2:$Q$3504,13,FALSE())</f>
        <v>0</v>
      </c>
      <c r="N320" s="0" t="n">
        <f aca="false">VLOOKUP($A320,'[2]Sheet 1'!$A$2:$Q$3504,14,FALSE())</f>
        <v>0</v>
      </c>
      <c r="O320" s="0" t="n">
        <f aca="false">VLOOKUP($A320,'[2]Sheet 1'!$A$2:$Q$3504,15,FALSE())</f>
        <v>0</v>
      </c>
      <c r="P320" s="0" t="n">
        <f aca="false">VLOOKUP($A320,'[2]Sheet 1'!$A$2:$Q$3504,16,FALSE())</f>
        <v>0</v>
      </c>
      <c r="Q320" s="0" t="n">
        <f aca="false">VLOOKUP($A320,'[2]Sheet 1'!$A$2:$Q$3504,17,FALSE())</f>
        <v>0</v>
      </c>
      <c r="S320" s="5"/>
    </row>
    <row r="321" customFormat="false" ht="14.25" hidden="false" customHeight="false" outlineLevel="0" collapsed="false">
      <c r="A321" s="5" t="n">
        <v>767</v>
      </c>
      <c r="B321" s="5" t="s">
        <v>772</v>
      </c>
      <c r="C321" s="5" t="n">
        <v>90</v>
      </c>
      <c r="D321" s="0" t="n">
        <f aca="false">VLOOKUP($A321,'[2]Sheet 1'!$A$2:$Q$3504,4,FALSE())</f>
        <v>0</v>
      </c>
      <c r="E321" s="0" t="n">
        <f aca="false">VLOOKUP($A321,'[2]Sheet 1'!$A$2:$Q$3504,5,FALSE())</f>
        <v>0</v>
      </c>
      <c r="F321" s="0" t="n">
        <f aca="false">VLOOKUP($A321,'[2]Sheet 1'!$A$2:$Q$3504,6,FALSE())</f>
        <v>0</v>
      </c>
      <c r="G321" s="0" t="n">
        <f aca="false">VLOOKUP($A321,'[2]Sheet 1'!$A$2:$Q$3504,7,FALSE())</f>
        <v>0</v>
      </c>
      <c r="H321" s="0" t="n">
        <f aca="false">VLOOKUP($A321,'[2]Sheet 1'!$A$2:$Q$3504,8,FALSE())</f>
        <v>0</v>
      </c>
      <c r="I321" s="0" t="n">
        <f aca="false">VLOOKUP($A321,'[2]Sheet 1'!$A$2:$Q$3504,9,FALSE())</f>
        <v>0</v>
      </c>
      <c r="J321" s="0" t="n">
        <f aca="false">VLOOKUP($A321,'[2]Sheet 1'!$A$2:$Q$3504,10,FALSE())</f>
        <v>0</v>
      </c>
      <c r="K321" s="0" t="n">
        <f aca="false">VLOOKUP($A321,'[2]Sheet 1'!$A$2:$Q$3504,11,FALSE())</f>
        <v>0</v>
      </c>
      <c r="L321" s="0" t="n">
        <f aca="false">VLOOKUP($A321,'[2]Sheet 1'!$A$2:$Q$3504,12,FALSE())</f>
        <v>0</v>
      </c>
      <c r="M321" s="0" t="n">
        <f aca="false">VLOOKUP($A321,'[2]Sheet 1'!$A$2:$Q$3504,13,FALSE())</f>
        <v>0</v>
      </c>
      <c r="N321" s="0" t="n">
        <f aca="false">VLOOKUP($A321,'[2]Sheet 1'!$A$2:$Q$3504,14,FALSE())</f>
        <v>0</v>
      </c>
      <c r="O321" s="0" t="n">
        <f aca="false">VLOOKUP($A321,'[2]Sheet 1'!$A$2:$Q$3504,15,FALSE())</f>
        <v>0</v>
      </c>
      <c r="P321" s="0" t="n">
        <f aca="false">VLOOKUP($A321,'[2]Sheet 1'!$A$2:$Q$3504,16,FALSE())</f>
        <v>0</v>
      </c>
      <c r="Q321" s="0" t="n">
        <f aca="false">VLOOKUP($A321,'[2]Sheet 1'!$A$2:$Q$3504,17,FALSE())</f>
        <v>0</v>
      </c>
      <c r="S321" s="5"/>
    </row>
    <row r="322" customFormat="false" ht="14.25" hidden="false" customHeight="false" outlineLevel="0" collapsed="false">
      <c r="A322" s="5" t="n">
        <v>768</v>
      </c>
      <c r="B322" s="5" t="s">
        <v>774</v>
      </c>
      <c r="C322" s="5" t="n">
        <v>90</v>
      </c>
      <c r="D322" s="0" t="n">
        <f aca="false">VLOOKUP($A322,'[2]Sheet 1'!$A$2:$Q$3504,4,FALSE())</f>
        <v>0</v>
      </c>
      <c r="E322" s="0" t="n">
        <f aca="false">VLOOKUP($A322,'[2]Sheet 1'!$A$2:$Q$3504,5,FALSE())</f>
        <v>0</v>
      </c>
      <c r="F322" s="0" t="n">
        <f aca="false">VLOOKUP($A322,'[2]Sheet 1'!$A$2:$Q$3504,6,FALSE())</f>
        <v>0</v>
      </c>
      <c r="G322" s="0" t="n">
        <f aca="false">VLOOKUP($A322,'[2]Sheet 1'!$A$2:$Q$3504,7,FALSE())</f>
        <v>0</v>
      </c>
      <c r="H322" s="0" t="n">
        <f aca="false">VLOOKUP($A322,'[2]Sheet 1'!$A$2:$Q$3504,8,FALSE())</f>
        <v>0</v>
      </c>
      <c r="I322" s="0" t="n">
        <f aca="false">VLOOKUP($A322,'[2]Sheet 1'!$A$2:$Q$3504,9,FALSE())</f>
        <v>0</v>
      </c>
      <c r="J322" s="0" t="n">
        <f aca="false">VLOOKUP($A322,'[2]Sheet 1'!$A$2:$Q$3504,10,FALSE())</f>
        <v>0</v>
      </c>
      <c r="K322" s="0" t="n">
        <f aca="false">VLOOKUP($A322,'[2]Sheet 1'!$A$2:$Q$3504,11,FALSE())</f>
        <v>0</v>
      </c>
      <c r="L322" s="0" t="n">
        <f aca="false">VLOOKUP($A322,'[2]Sheet 1'!$A$2:$Q$3504,12,FALSE())</f>
        <v>0</v>
      </c>
      <c r="M322" s="0" t="n">
        <f aca="false">VLOOKUP($A322,'[2]Sheet 1'!$A$2:$Q$3504,13,FALSE())</f>
        <v>0</v>
      </c>
      <c r="N322" s="0" t="n">
        <f aca="false">VLOOKUP($A322,'[2]Sheet 1'!$A$2:$Q$3504,14,FALSE())</f>
        <v>0</v>
      </c>
      <c r="O322" s="0" t="n">
        <f aca="false">VLOOKUP($A322,'[2]Sheet 1'!$A$2:$Q$3504,15,FALSE())</f>
        <v>0</v>
      </c>
      <c r="P322" s="0" t="n">
        <f aca="false">VLOOKUP($A322,'[2]Sheet 1'!$A$2:$Q$3504,16,FALSE())</f>
        <v>0</v>
      </c>
      <c r="Q322" s="0" t="n">
        <f aca="false">VLOOKUP($A322,'[2]Sheet 1'!$A$2:$Q$3504,17,FALSE())</f>
        <v>0</v>
      </c>
      <c r="S322" s="5"/>
    </row>
    <row r="323" customFormat="false" ht="14.25" hidden="false" customHeight="false" outlineLevel="0" collapsed="false">
      <c r="A323" s="5" t="n">
        <v>769</v>
      </c>
      <c r="B323" s="5" t="s">
        <v>776</v>
      </c>
      <c r="C323" s="5" t="n">
        <v>90</v>
      </c>
      <c r="D323" s="0" t="n">
        <f aca="false">VLOOKUP($A323,'[2]Sheet 1'!$A$2:$Q$3504,4,FALSE())</f>
        <v>0</v>
      </c>
      <c r="E323" s="0" t="n">
        <f aca="false">VLOOKUP($A323,'[2]Sheet 1'!$A$2:$Q$3504,5,FALSE())</f>
        <v>0</v>
      </c>
      <c r="F323" s="0" t="n">
        <f aca="false">VLOOKUP($A323,'[2]Sheet 1'!$A$2:$Q$3504,6,FALSE())</f>
        <v>0</v>
      </c>
      <c r="G323" s="0" t="n">
        <f aca="false">VLOOKUP($A323,'[2]Sheet 1'!$A$2:$Q$3504,7,FALSE())</f>
        <v>0</v>
      </c>
      <c r="H323" s="0" t="n">
        <f aca="false">VLOOKUP($A323,'[2]Sheet 1'!$A$2:$Q$3504,8,FALSE())</f>
        <v>0</v>
      </c>
      <c r="I323" s="0" t="n">
        <f aca="false">VLOOKUP($A323,'[2]Sheet 1'!$A$2:$Q$3504,9,FALSE())</f>
        <v>0</v>
      </c>
      <c r="J323" s="0" t="n">
        <f aca="false">VLOOKUP($A323,'[2]Sheet 1'!$A$2:$Q$3504,10,FALSE())</f>
        <v>0</v>
      </c>
      <c r="K323" s="0" t="n">
        <f aca="false">VLOOKUP($A323,'[2]Sheet 1'!$A$2:$Q$3504,11,FALSE())</f>
        <v>0</v>
      </c>
      <c r="L323" s="0" t="n">
        <f aca="false">VLOOKUP($A323,'[2]Sheet 1'!$A$2:$Q$3504,12,FALSE())</f>
        <v>0</v>
      </c>
      <c r="M323" s="0" t="n">
        <f aca="false">VLOOKUP($A323,'[2]Sheet 1'!$A$2:$Q$3504,13,FALSE())</f>
        <v>0</v>
      </c>
      <c r="N323" s="0" t="n">
        <f aca="false">VLOOKUP($A323,'[2]Sheet 1'!$A$2:$Q$3504,14,FALSE())</f>
        <v>0</v>
      </c>
      <c r="O323" s="0" t="n">
        <f aca="false">VLOOKUP($A323,'[2]Sheet 1'!$A$2:$Q$3504,15,FALSE())</f>
        <v>0</v>
      </c>
      <c r="P323" s="0" t="n">
        <f aca="false">VLOOKUP($A323,'[2]Sheet 1'!$A$2:$Q$3504,16,FALSE())</f>
        <v>0</v>
      </c>
      <c r="Q323" s="0" t="n">
        <f aca="false">VLOOKUP($A323,'[2]Sheet 1'!$A$2:$Q$3504,17,FALSE())</f>
        <v>0</v>
      </c>
      <c r="S323" s="5"/>
    </row>
    <row r="324" customFormat="false" ht="14.25" hidden="false" customHeight="false" outlineLevel="0" collapsed="false">
      <c r="A324" s="5" t="n">
        <v>770</v>
      </c>
      <c r="B324" s="5" t="s">
        <v>780</v>
      </c>
      <c r="C324" s="5" t="n">
        <v>90</v>
      </c>
      <c r="D324" s="0" t="n">
        <f aca="false">VLOOKUP($A324,'[2]Sheet 1'!$A$2:$Q$3504,4,FALSE())</f>
        <v>0</v>
      </c>
      <c r="E324" s="0" t="n">
        <f aca="false">VLOOKUP($A324,'[2]Sheet 1'!$A$2:$Q$3504,5,FALSE())</f>
        <v>0</v>
      </c>
      <c r="F324" s="0" t="n">
        <f aca="false">VLOOKUP($A324,'[2]Sheet 1'!$A$2:$Q$3504,6,FALSE())</f>
        <v>0</v>
      </c>
      <c r="G324" s="0" t="n">
        <f aca="false">VLOOKUP($A324,'[2]Sheet 1'!$A$2:$Q$3504,7,FALSE())</f>
        <v>0</v>
      </c>
      <c r="H324" s="0" t="n">
        <f aca="false">VLOOKUP($A324,'[2]Sheet 1'!$A$2:$Q$3504,8,FALSE())</f>
        <v>0</v>
      </c>
      <c r="I324" s="0" t="n">
        <f aca="false">VLOOKUP($A324,'[2]Sheet 1'!$A$2:$Q$3504,9,FALSE())</f>
        <v>0</v>
      </c>
      <c r="J324" s="0" t="n">
        <f aca="false">VLOOKUP($A324,'[2]Sheet 1'!$A$2:$Q$3504,10,FALSE())</f>
        <v>0</v>
      </c>
      <c r="K324" s="0" t="n">
        <f aca="false">VLOOKUP($A324,'[2]Sheet 1'!$A$2:$Q$3504,11,FALSE())</f>
        <v>0</v>
      </c>
      <c r="L324" s="0" t="n">
        <f aca="false">VLOOKUP($A324,'[2]Sheet 1'!$A$2:$Q$3504,12,FALSE())</f>
        <v>0</v>
      </c>
      <c r="M324" s="0" t="n">
        <f aca="false">VLOOKUP($A324,'[2]Sheet 1'!$A$2:$Q$3504,13,FALSE())</f>
        <v>0</v>
      </c>
      <c r="N324" s="0" t="n">
        <f aca="false">VLOOKUP($A324,'[2]Sheet 1'!$A$2:$Q$3504,14,FALSE())</f>
        <v>0</v>
      </c>
      <c r="O324" s="0" t="n">
        <f aca="false">VLOOKUP($A324,'[2]Sheet 1'!$A$2:$Q$3504,15,FALSE())</f>
        <v>0</v>
      </c>
      <c r="P324" s="0" t="n">
        <f aca="false">VLOOKUP($A324,'[2]Sheet 1'!$A$2:$Q$3504,16,FALSE())</f>
        <v>0</v>
      </c>
      <c r="Q324" s="0" t="n">
        <f aca="false">VLOOKUP($A324,'[2]Sheet 1'!$A$2:$Q$3504,17,FALSE())</f>
        <v>0</v>
      </c>
      <c r="S324" s="5"/>
    </row>
    <row r="325" customFormat="false" ht="14.25" hidden="false" customHeight="false" outlineLevel="0" collapsed="false">
      <c r="A325" s="5" t="n">
        <v>771</v>
      </c>
      <c r="B325" s="5" t="s">
        <v>782</v>
      </c>
      <c r="C325" s="5" t="n">
        <v>90</v>
      </c>
      <c r="D325" s="0" t="n">
        <f aca="false">VLOOKUP($A325,'[2]Sheet 1'!$A$2:$Q$3504,4,FALSE())</f>
        <v>0</v>
      </c>
      <c r="E325" s="0" t="n">
        <f aca="false">VLOOKUP($A325,'[2]Sheet 1'!$A$2:$Q$3504,5,FALSE())</f>
        <v>0</v>
      </c>
      <c r="F325" s="0" t="n">
        <f aca="false">VLOOKUP($A325,'[2]Sheet 1'!$A$2:$Q$3504,6,FALSE())</f>
        <v>0</v>
      </c>
      <c r="G325" s="0" t="n">
        <f aca="false">VLOOKUP($A325,'[2]Sheet 1'!$A$2:$Q$3504,7,FALSE())</f>
        <v>0</v>
      </c>
      <c r="H325" s="0" t="n">
        <f aca="false">VLOOKUP($A325,'[2]Sheet 1'!$A$2:$Q$3504,8,FALSE())</f>
        <v>0</v>
      </c>
      <c r="I325" s="0" t="n">
        <f aca="false">VLOOKUP($A325,'[2]Sheet 1'!$A$2:$Q$3504,9,FALSE())</f>
        <v>0</v>
      </c>
      <c r="J325" s="0" t="n">
        <f aca="false">VLOOKUP($A325,'[2]Sheet 1'!$A$2:$Q$3504,10,FALSE())</f>
        <v>0</v>
      </c>
      <c r="K325" s="0" t="n">
        <f aca="false">VLOOKUP($A325,'[2]Sheet 1'!$A$2:$Q$3504,11,FALSE())</f>
        <v>0</v>
      </c>
      <c r="L325" s="0" t="n">
        <f aca="false">VLOOKUP($A325,'[2]Sheet 1'!$A$2:$Q$3504,12,FALSE())</f>
        <v>0</v>
      </c>
      <c r="M325" s="0" t="n">
        <f aca="false">VLOOKUP($A325,'[2]Sheet 1'!$A$2:$Q$3504,13,FALSE())</f>
        <v>0</v>
      </c>
      <c r="N325" s="0" t="n">
        <f aca="false">VLOOKUP($A325,'[2]Sheet 1'!$A$2:$Q$3504,14,FALSE())</f>
        <v>0</v>
      </c>
      <c r="O325" s="0" t="n">
        <f aca="false">VLOOKUP($A325,'[2]Sheet 1'!$A$2:$Q$3504,15,FALSE())</f>
        <v>0</v>
      </c>
      <c r="P325" s="0" t="n">
        <f aca="false">VLOOKUP($A325,'[2]Sheet 1'!$A$2:$Q$3504,16,FALSE())</f>
        <v>0</v>
      </c>
      <c r="Q325" s="0" t="n">
        <f aca="false">VLOOKUP($A325,'[2]Sheet 1'!$A$2:$Q$3504,17,FALSE())</f>
        <v>0</v>
      </c>
      <c r="S325" s="5"/>
    </row>
    <row r="326" customFormat="false" ht="14.25" hidden="false" customHeight="false" outlineLevel="0" collapsed="false">
      <c r="A326" s="5" t="n">
        <v>773</v>
      </c>
      <c r="B326" s="5" t="s">
        <v>784</v>
      </c>
      <c r="C326" s="5" t="n">
        <v>90</v>
      </c>
      <c r="D326" s="0" t="n">
        <f aca="false">VLOOKUP($A326,'[2]Sheet 1'!$A$2:$Q$3504,4,FALSE())</f>
        <v>0</v>
      </c>
      <c r="E326" s="0" t="n">
        <f aca="false">VLOOKUP($A326,'[2]Sheet 1'!$A$2:$Q$3504,5,FALSE())</f>
        <v>0</v>
      </c>
      <c r="F326" s="0" t="n">
        <f aca="false">VLOOKUP($A326,'[2]Sheet 1'!$A$2:$Q$3504,6,FALSE())</f>
        <v>0</v>
      </c>
      <c r="G326" s="0" t="n">
        <f aca="false">VLOOKUP($A326,'[2]Sheet 1'!$A$2:$Q$3504,7,FALSE())</f>
        <v>0</v>
      </c>
      <c r="H326" s="0" t="n">
        <f aca="false">VLOOKUP($A326,'[2]Sheet 1'!$A$2:$Q$3504,8,FALSE())</f>
        <v>0</v>
      </c>
      <c r="I326" s="0" t="n">
        <f aca="false">VLOOKUP($A326,'[2]Sheet 1'!$A$2:$Q$3504,9,FALSE())</f>
        <v>0</v>
      </c>
      <c r="J326" s="0" t="n">
        <f aca="false">VLOOKUP($A326,'[2]Sheet 1'!$A$2:$Q$3504,10,FALSE())</f>
        <v>0</v>
      </c>
      <c r="K326" s="0" t="n">
        <f aca="false">VLOOKUP($A326,'[2]Sheet 1'!$A$2:$Q$3504,11,FALSE())</f>
        <v>0</v>
      </c>
      <c r="L326" s="0" t="n">
        <f aca="false">VLOOKUP($A326,'[2]Sheet 1'!$A$2:$Q$3504,12,FALSE())</f>
        <v>0</v>
      </c>
      <c r="M326" s="0" t="n">
        <f aca="false">VLOOKUP($A326,'[2]Sheet 1'!$A$2:$Q$3504,13,FALSE())</f>
        <v>0</v>
      </c>
      <c r="N326" s="0" t="n">
        <f aca="false">VLOOKUP($A326,'[2]Sheet 1'!$A$2:$Q$3504,14,FALSE())</f>
        <v>0</v>
      </c>
      <c r="O326" s="0" t="n">
        <f aca="false">VLOOKUP($A326,'[2]Sheet 1'!$A$2:$Q$3504,15,FALSE())</f>
        <v>0</v>
      </c>
      <c r="P326" s="0" t="n">
        <f aca="false">VLOOKUP($A326,'[2]Sheet 1'!$A$2:$Q$3504,16,FALSE())</f>
        <v>0</v>
      </c>
      <c r="Q326" s="0" t="n">
        <f aca="false">VLOOKUP($A326,'[2]Sheet 1'!$A$2:$Q$3504,17,FALSE())</f>
        <v>0</v>
      </c>
      <c r="S326" s="5"/>
    </row>
    <row r="327" customFormat="false" ht="14.25" hidden="false" customHeight="false" outlineLevel="0" collapsed="false">
      <c r="A327" s="5" t="n">
        <v>774</v>
      </c>
      <c r="B327" s="5" t="s">
        <v>787</v>
      </c>
      <c r="C327" s="5" t="n">
        <v>90</v>
      </c>
      <c r="D327" s="0" t="n">
        <f aca="false">VLOOKUP($A327,'[2]Sheet 1'!$A$2:$Q$3504,4,FALSE())</f>
        <v>0</v>
      </c>
      <c r="E327" s="0" t="n">
        <f aca="false">VLOOKUP($A327,'[2]Sheet 1'!$A$2:$Q$3504,5,FALSE())</f>
        <v>0</v>
      </c>
      <c r="F327" s="0" t="n">
        <f aca="false">VLOOKUP($A327,'[2]Sheet 1'!$A$2:$Q$3504,6,FALSE())</f>
        <v>0</v>
      </c>
      <c r="G327" s="0" t="n">
        <f aca="false">VLOOKUP($A327,'[2]Sheet 1'!$A$2:$Q$3504,7,FALSE())</f>
        <v>0</v>
      </c>
      <c r="H327" s="0" t="n">
        <f aca="false">VLOOKUP($A327,'[2]Sheet 1'!$A$2:$Q$3504,8,FALSE())</f>
        <v>0</v>
      </c>
      <c r="I327" s="0" t="n">
        <f aca="false">VLOOKUP($A327,'[2]Sheet 1'!$A$2:$Q$3504,9,FALSE())</f>
        <v>0</v>
      </c>
      <c r="J327" s="0" t="n">
        <f aca="false">VLOOKUP($A327,'[2]Sheet 1'!$A$2:$Q$3504,10,FALSE())</f>
        <v>0</v>
      </c>
      <c r="K327" s="0" t="n">
        <f aca="false">VLOOKUP($A327,'[2]Sheet 1'!$A$2:$Q$3504,11,FALSE())</f>
        <v>0</v>
      </c>
      <c r="L327" s="0" t="n">
        <f aca="false">VLOOKUP($A327,'[2]Sheet 1'!$A$2:$Q$3504,12,FALSE())</f>
        <v>0</v>
      </c>
      <c r="M327" s="0" t="n">
        <f aca="false">VLOOKUP($A327,'[2]Sheet 1'!$A$2:$Q$3504,13,FALSE())</f>
        <v>0</v>
      </c>
      <c r="N327" s="0" t="n">
        <f aca="false">VLOOKUP($A327,'[2]Sheet 1'!$A$2:$Q$3504,14,FALSE())</f>
        <v>0</v>
      </c>
      <c r="O327" s="0" t="n">
        <f aca="false">VLOOKUP($A327,'[2]Sheet 1'!$A$2:$Q$3504,15,FALSE())</f>
        <v>0</v>
      </c>
      <c r="P327" s="0" t="n">
        <f aca="false">VLOOKUP($A327,'[2]Sheet 1'!$A$2:$Q$3504,16,FALSE())</f>
        <v>0</v>
      </c>
      <c r="Q327" s="0" t="n">
        <f aca="false">VLOOKUP($A327,'[2]Sheet 1'!$A$2:$Q$3504,17,FALSE())</f>
        <v>0</v>
      </c>
      <c r="S327" s="5"/>
    </row>
    <row r="328" customFormat="false" ht="14.25" hidden="false" customHeight="false" outlineLevel="0" collapsed="false">
      <c r="A328" s="5" t="n">
        <v>777</v>
      </c>
      <c r="B328" s="5" t="s">
        <v>789</v>
      </c>
      <c r="C328" s="9" t="n">
        <v>50</v>
      </c>
      <c r="D328" s="0" t="e">
        <f aca="false">VLOOKUP($A328,'[2]Sheet 1'!$A$2:$Q$3504,4,FALSE())</f>
        <v>#N/A</v>
      </c>
      <c r="E328" s="0" t="e">
        <f aca="false">VLOOKUP($A328,'[2]Sheet 1'!$A$2:$Q$3504,5,FALSE())</f>
        <v>#N/A</v>
      </c>
      <c r="F328" s="0" t="e">
        <f aca="false">VLOOKUP($A328,'[2]Sheet 1'!$A$2:$Q$3504,6,FALSE())</f>
        <v>#N/A</v>
      </c>
      <c r="G328" s="0" t="e">
        <f aca="false">VLOOKUP($A328,'[2]Sheet 1'!$A$2:$Q$3504,7,FALSE())</f>
        <v>#N/A</v>
      </c>
      <c r="H328" s="0" t="e">
        <f aca="false">VLOOKUP($A328,'[2]Sheet 1'!$A$2:$Q$3504,8,FALSE())</f>
        <v>#N/A</v>
      </c>
      <c r="I328" s="0" t="e">
        <f aca="false">VLOOKUP($A328,'[2]Sheet 1'!$A$2:$Q$3504,9,FALSE())</f>
        <v>#N/A</v>
      </c>
      <c r="J328" s="0" t="e">
        <f aca="false">VLOOKUP($A328,'[2]Sheet 1'!$A$2:$Q$3504,10,FALSE())</f>
        <v>#N/A</v>
      </c>
      <c r="K328" s="0" t="e">
        <f aca="false">VLOOKUP($A328,'[2]Sheet 1'!$A$2:$Q$3504,11,FALSE())</f>
        <v>#N/A</v>
      </c>
      <c r="L328" s="0" t="e">
        <f aca="false">VLOOKUP($A328,'[2]Sheet 1'!$A$2:$Q$3504,12,FALSE())</f>
        <v>#N/A</v>
      </c>
      <c r="M328" s="0" t="e">
        <f aca="false">VLOOKUP($A328,'[2]Sheet 1'!$A$2:$Q$3504,13,FALSE())</f>
        <v>#N/A</v>
      </c>
      <c r="N328" s="0" t="e">
        <f aca="false">VLOOKUP($A328,'[2]Sheet 1'!$A$2:$Q$3504,14,FALSE())</f>
        <v>#N/A</v>
      </c>
      <c r="O328" s="0" t="e">
        <f aca="false">VLOOKUP($A328,'[2]Sheet 1'!$A$2:$Q$3504,15,FALSE())</f>
        <v>#N/A</v>
      </c>
      <c r="P328" s="0" t="e">
        <f aca="false">VLOOKUP($A328,'[2]Sheet 1'!$A$2:$Q$3504,16,FALSE())</f>
        <v>#N/A</v>
      </c>
      <c r="Q328" s="0" t="e">
        <f aca="false">VLOOKUP($A328,'[2]Sheet 1'!$A$2:$Q$3504,17,FALSE())</f>
        <v>#N/A</v>
      </c>
      <c r="S328" s="9"/>
    </row>
    <row r="329" customFormat="false" ht="14.25" hidden="false" customHeight="false" outlineLevel="0" collapsed="false">
      <c r="A329" s="5" t="n">
        <v>778</v>
      </c>
      <c r="B329" s="5" t="s">
        <v>792</v>
      </c>
      <c r="C329" s="9" t="n">
        <v>90</v>
      </c>
      <c r="D329" s="0" t="n">
        <f aca="false">VLOOKUP($A329,'[2]Sheet 1'!$A$2:$Q$3504,4,FALSE())</f>
        <v>0</v>
      </c>
      <c r="E329" s="0" t="n">
        <f aca="false">VLOOKUP($A329,'[2]Sheet 1'!$A$2:$Q$3504,5,FALSE())</f>
        <v>0</v>
      </c>
      <c r="F329" s="0" t="n">
        <f aca="false">VLOOKUP($A329,'[2]Sheet 1'!$A$2:$Q$3504,6,FALSE())</f>
        <v>0</v>
      </c>
      <c r="G329" s="0" t="n">
        <f aca="false">VLOOKUP($A329,'[2]Sheet 1'!$A$2:$Q$3504,7,FALSE())</f>
        <v>0</v>
      </c>
      <c r="H329" s="0" t="n">
        <f aca="false">VLOOKUP($A329,'[2]Sheet 1'!$A$2:$Q$3504,8,FALSE())</f>
        <v>0</v>
      </c>
      <c r="I329" s="0" t="n">
        <f aca="false">VLOOKUP($A329,'[2]Sheet 1'!$A$2:$Q$3504,9,FALSE())</f>
        <v>0</v>
      </c>
      <c r="J329" s="0" t="n">
        <f aca="false">VLOOKUP($A329,'[2]Sheet 1'!$A$2:$Q$3504,10,FALSE())</f>
        <v>0</v>
      </c>
      <c r="K329" s="0" t="n">
        <f aca="false">VLOOKUP($A329,'[2]Sheet 1'!$A$2:$Q$3504,11,FALSE())</f>
        <v>0</v>
      </c>
      <c r="L329" s="0" t="n">
        <f aca="false">VLOOKUP($A329,'[2]Sheet 1'!$A$2:$Q$3504,12,FALSE())</f>
        <v>0</v>
      </c>
      <c r="M329" s="0" t="n">
        <f aca="false">VLOOKUP($A329,'[2]Sheet 1'!$A$2:$Q$3504,13,FALSE())</f>
        <v>0</v>
      </c>
      <c r="N329" s="0" t="n">
        <f aca="false">VLOOKUP($A329,'[2]Sheet 1'!$A$2:$Q$3504,14,FALSE())</f>
        <v>0</v>
      </c>
      <c r="O329" s="0" t="n">
        <f aca="false">VLOOKUP($A329,'[2]Sheet 1'!$A$2:$Q$3504,15,FALSE())</f>
        <v>0</v>
      </c>
      <c r="P329" s="0" t="n">
        <f aca="false">VLOOKUP($A329,'[2]Sheet 1'!$A$2:$Q$3504,16,FALSE())</f>
        <v>0</v>
      </c>
      <c r="Q329" s="0" t="n">
        <f aca="false">VLOOKUP($A329,'[2]Sheet 1'!$A$2:$Q$3504,17,FALSE())</f>
        <v>0</v>
      </c>
      <c r="S329" s="9"/>
    </row>
    <row r="330" customFormat="false" ht="14.25" hidden="false" customHeight="false" outlineLevel="0" collapsed="false">
      <c r="A330" s="5" t="n">
        <v>780</v>
      </c>
      <c r="B330" s="5" t="s">
        <v>794</v>
      </c>
      <c r="C330" s="9" t="n">
        <v>87</v>
      </c>
      <c r="D330" s="0" t="n">
        <f aca="false">VLOOKUP($A330,'[2]Sheet 1'!$A$2:$Q$3504,4,FALSE())</f>
        <v>0</v>
      </c>
      <c r="E330" s="0" t="n">
        <f aca="false">VLOOKUP($A330,'[2]Sheet 1'!$A$2:$Q$3504,5,FALSE())</f>
        <v>0</v>
      </c>
      <c r="F330" s="0" t="n">
        <f aca="false">VLOOKUP($A330,'[2]Sheet 1'!$A$2:$Q$3504,6,FALSE())</f>
        <v>0</v>
      </c>
      <c r="G330" s="0" t="n">
        <f aca="false">VLOOKUP($A330,'[2]Sheet 1'!$A$2:$Q$3504,7,FALSE())</f>
        <v>0</v>
      </c>
      <c r="H330" s="0" t="n">
        <f aca="false">VLOOKUP($A330,'[2]Sheet 1'!$A$2:$Q$3504,8,FALSE())</f>
        <v>0</v>
      </c>
      <c r="I330" s="0" t="n">
        <f aca="false">VLOOKUP($A330,'[2]Sheet 1'!$A$2:$Q$3504,9,FALSE())</f>
        <v>0</v>
      </c>
      <c r="J330" s="0" t="n">
        <f aca="false">VLOOKUP($A330,'[2]Sheet 1'!$A$2:$Q$3504,10,FALSE())</f>
        <v>0</v>
      </c>
      <c r="K330" s="0" t="n">
        <f aca="false">VLOOKUP($A330,'[2]Sheet 1'!$A$2:$Q$3504,11,FALSE())</f>
        <v>0</v>
      </c>
      <c r="L330" s="0" t="n">
        <f aca="false">VLOOKUP($A330,'[2]Sheet 1'!$A$2:$Q$3504,12,FALSE())</f>
        <v>0</v>
      </c>
      <c r="M330" s="0" t="n">
        <f aca="false">VLOOKUP($A330,'[2]Sheet 1'!$A$2:$Q$3504,13,FALSE())</f>
        <v>0</v>
      </c>
      <c r="N330" s="0" t="n">
        <f aca="false">VLOOKUP($A330,'[2]Sheet 1'!$A$2:$Q$3504,14,FALSE())</f>
        <v>0</v>
      </c>
      <c r="O330" s="0" t="n">
        <f aca="false">VLOOKUP($A330,'[2]Sheet 1'!$A$2:$Q$3504,15,FALSE())</f>
        <v>0</v>
      </c>
      <c r="P330" s="0" t="n">
        <f aca="false">VLOOKUP($A330,'[2]Sheet 1'!$A$2:$Q$3504,16,FALSE())</f>
        <v>0</v>
      </c>
      <c r="Q330" s="0" t="n">
        <f aca="false">VLOOKUP($A330,'[2]Sheet 1'!$A$2:$Q$3504,17,FALSE())</f>
        <v>0</v>
      </c>
      <c r="S330" s="9"/>
    </row>
    <row r="331" customFormat="false" ht="14.25" hidden="false" customHeight="false" outlineLevel="0" collapsed="false">
      <c r="A331" s="5" t="n">
        <v>782</v>
      </c>
      <c r="B331" s="5" t="s">
        <v>797</v>
      </c>
      <c r="C331" s="9" t="n">
        <v>50</v>
      </c>
      <c r="D331" s="0" t="e">
        <f aca="false">VLOOKUP($A331,'[2]Sheet 1'!$A$2:$Q$3504,4,FALSE())</f>
        <v>#N/A</v>
      </c>
      <c r="E331" s="0" t="e">
        <f aca="false">VLOOKUP($A331,'[2]Sheet 1'!$A$2:$Q$3504,5,FALSE())</f>
        <v>#N/A</v>
      </c>
      <c r="F331" s="0" t="e">
        <f aca="false">VLOOKUP($A331,'[2]Sheet 1'!$A$2:$Q$3504,6,FALSE())</f>
        <v>#N/A</v>
      </c>
      <c r="G331" s="0" t="e">
        <f aca="false">VLOOKUP($A331,'[2]Sheet 1'!$A$2:$Q$3504,7,FALSE())</f>
        <v>#N/A</v>
      </c>
      <c r="H331" s="0" t="e">
        <f aca="false">VLOOKUP($A331,'[2]Sheet 1'!$A$2:$Q$3504,8,FALSE())</f>
        <v>#N/A</v>
      </c>
      <c r="I331" s="0" t="e">
        <f aca="false">VLOOKUP($A331,'[2]Sheet 1'!$A$2:$Q$3504,9,FALSE())</f>
        <v>#N/A</v>
      </c>
      <c r="J331" s="0" t="e">
        <f aca="false">VLOOKUP($A331,'[2]Sheet 1'!$A$2:$Q$3504,10,FALSE())</f>
        <v>#N/A</v>
      </c>
      <c r="K331" s="0" t="e">
        <f aca="false">VLOOKUP($A331,'[2]Sheet 1'!$A$2:$Q$3504,11,FALSE())</f>
        <v>#N/A</v>
      </c>
      <c r="L331" s="0" t="e">
        <f aca="false">VLOOKUP($A331,'[2]Sheet 1'!$A$2:$Q$3504,12,FALSE())</f>
        <v>#N/A</v>
      </c>
      <c r="M331" s="0" t="e">
        <f aca="false">VLOOKUP($A331,'[2]Sheet 1'!$A$2:$Q$3504,13,FALSE())</f>
        <v>#N/A</v>
      </c>
      <c r="N331" s="0" t="e">
        <f aca="false">VLOOKUP($A331,'[2]Sheet 1'!$A$2:$Q$3504,14,FALSE())</f>
        <v>#N/A</v>
      </c>
      <c r="O331" s="0" t="e">
        <f aca="false">VLOOKUP($A331,'[2]Sheet 1'!$A$2:$Q$3504,15,FALSE())</f>
        <v>#N/A</v>
      </c>
      <c r="P331" s="0" t="e">
        <f aca="false">VLOOKUP($A331,'[2]Sheet 1'!$A$2:$Q$3504,16,FALSE())</f>
        <v>#N/A</v>
      </c>
      <c r="Q331" s="0" t="e">
        <f aca="false">VLOOKUP($A331,'[2]Sheet 1'!$A$2:$Q$3504,17,FALSE())</f>
        <v>#N/A</v>
      </c>
      <c r="S331" s="9"/>
    </row>
    <row r="332" customFormat="false" ht="14.25" hidden="false" customHeight="false" outlineLevel="0" collapsed="false">
      <c r="A332" s="5" t="n">
        <v>788</v>
      </c>
      <c r="B332" s="5" t="s">
        <v>799</v>
      </c>
      <c r="C332" s="9" t="n">
        <v>50</v>
      </c>
      <c r="D332" s="0" t="e">
        <f aca="false">VLOOKUP($A332,'[2]Sheet 1'!$A$2:$Q$3504,4,FALSE())</f>
        <v>#N/A</v>
      </c>
      <c r="E332" s="0" t="e">
        <f aca="false">VLOOKUP($A332,'[2]Sheet 1'!$A$2:$Q$3504,5,FALSE())</f>
        <v>#N/A</v>
      </c>
      <c r="F332" s="0" t="e">
        <f aca="false">VLOOKUP($A332,'[2]Sheet 1'!$A$2:$Q$3504,6,FALSE())</f>
        <v>#N/A</v>
      </c>
      <c r="G332" s="0" t="e">
        <f aca="false">VLOOKUP($A332,'[2]Sheet 1'!$A$2:$Q$3504,7,FALSE())</f>
        <v>#N/A</v>
      </c>
      <c r="H332" s="0" t="e">
        <f aca="false">VLOOKUP($A332,'[2]Sheet 1'!$A$2:$Q$3504,8,FALSE())</f>
        <v>#N/A</v>
      </c>
      <c r="I332" s="0" t="e">
        <f aca="false">VLOOKUP($A332,'[2]Sheet 1'!$A$2:$Q$3504,9,FALSE())</f>
        <v>#N/A</v>
      </c>
      <c r="J332" s="0" t="e">
        <f aca="false">VLOOKUP($A332,'[2]Sheet 1'!$A$2:$Q$3504,10,FALSE())</f>
        <v>#N/A</v>
      </c>
      <c r="K332" s="0" t="e">
        <f aca="false">VLOOKUP($A332,'[2]Sheet 1'!$A$2:$Q$3504,11,FALSE())</f>
        <v>#N/A</v>
      </c>
      <c r="L332" s="0" t="e">
        <f aca="false">VLOOKUP($A332,'[2]Sheet 1'!$A$2:$Q$3504,12,FALSE())</f>
        <v>#N/A</v>
      </c>
      <c r="M332" s="0" t="e">
        <f aca="false">VLOOKUP($A332,'[2]Sheet 1'!$A$2:$Q$3504,13,FALSE())</f>
        <v>#N/A</v>
      </c>
      <c r="N332" s="0" t="e">
        <f aca="false">VLOOKUP($A332,'[2]Sheet 1'!$A$2:$Q$3504,14,FALSE())</f>
        <v>#N/A</v>
      </c>
      <c r="O332" s="0" t="e">
        <f aca="false">VLOOKUP($A332,'[2]Sheet 1'!$A$2:$Q$3504,15,FALSE())</f>
        <v>#N/A</v>
      </c>
      <c r="P332" s="0" t="e">
        <f aca="false">VLOOKUP($A332,'[2]Sheet 1'!$A$2:$Q$3504,16,FALSE())</f>
        <v>#N/A</v>
      </c>
      <c r="Q332" s="0" t="e">
        <f aca="false">VLOOKUP($A332,'[2]Sheet 1'!$A$2:$Q$3504,17,FALSE())</f>
        <v>#N/A</v>
      </c>
      <c r="S332" s="9"/>
    </row>
    <row r="333" customFormat="false" ht="14.25" hidden="false" customHeight="false" outlineLevel="0" collapsed="false">
      <c r="A333" s="5" t="n">
        <v>789</v>
      </c>
      <c r="B333" s="5" t="s">
        <v>801</v>
      </c>
      <c r="C333" s="9" t="n">
        <v>50</v>
      </c>
      <c r="D333" s="0" t="e">
        <f aca="false">VLOOKUP($A333,'[2]Sheet 1'!$A$2:$Q$3504,4,FALSE())</f>
        <v>#N/A</v>
      </c>
      <c r="E333" s="0" t="e">
        <f aca="false">VLOOKUP($A333,'[2]Sheet 1'!$A$2:$Q$3504,5,FALSE())</f>
        <v>#N/A</v>
      </c>
      <c r="F333" s="0" t="e">
        <f aca="false">VLOOKUP($A333,'[2]Sheet 1'!$A$2:$Q$3504,6,FALSE())</f>
        <v>#N/A</v>
      </c>
      <c r="G333" s="0" t="e">
        <f aca="false">VLOOKUP($A333,'[2]Sheet 1'!$A$2:$Q$3504,7,FALSE())</f>
        <v>#N/A</v>
      </c>
      <c r="H333" s="0" t="e">
        <f aca="false">VLOOKUP($A333,'[2]Sheet 1'!$A$2:$Q$3504,8,FALSE())</f>
        <v>#N/A</v>
      </c>
      <c r="I333" s="0" t="e">
        <f aca="false">VLOOKUP($A333,'[2]Sheet 1'!$A$2:$Q$3504,9,FALSE())</f>
        <v>#N/A</v>
      </c>
      <c r="J333" s="0" t="e">
        <f aca="false">VLOOKUP($A333,'[2]Sheet 1'!$A$2:$Q$3504,10,FALSE())</f>
        <v>#N/A</v>
      </c>
      <c r="K333" s="0" t="e">
        <f aca="false">VLOOKUP($A333,'[2]Sheet 1'!$A$2:$Q$3504,11,FALSE())</f>
        <v>#N/A</v>
      </c>
      <c r="L333" s="0" t="e">
        <f aca="false">VLOOKUP($A333,'[2]Sheet 1'!$A$2:$Q$3504,12,FALSE())</f>
        <v>#N/A</v>
      </c>
      <c r="M333" s="0" t="e">
        <f aca="false">VLOOKUP($A333,'[2]Sheet 1'!$A$2:$Q$3504,13,FALSE())</f>
        <v>#N/A</v>
      </c>
      <c r="N333" s="0" t="e">
        <f aca="false">VLOOKUP($A333,'[2]Sheet 1'!$A$2:$Q$3504,14,FALSE())</f>
        <v>#N/A</v>
      </c>
      <c r="O333" s="0" t="e">
        <f aca="false">VLOOKUP($A333,'[2]Sheet 1'!$A$2:$Q$3504,15,FALSE())</f>
        <v>#N/A</v>
      </c>
      <c r="P333" s="0" t="e">
        <f aca="false">VLOOKUP($A333,'[2]Sheet 1'!$A$2:$Q$3504,16,FALSE())</f>
        <v>#N/A</v>
      </c>
      <c r="Q333" s="0" t="e">
        <f aca="false">VLOOKUP($A333,'[2]Sheet 1'!$A$2:$Q$3504,17,FALSE())</f>
        <v>#N/A</v>
      </c>
      <c r="S333" s="9"/>
    </row>
    <row r="334" customFormat="false" ht="14.25" hidden="false" customHeight="false" outlineLevel="0" collapsed="false">
      <c r="A334" s="5" t="n">
        <v>800</v>
      </c>
      <c r="B334" s="5" t="s">
        <v>803</v>
      </c>
      <c r="C334" s="9" t="n">
        <v>50</v>
      </c>
      <c r="D334" s="0" t="e">
        <f aca="false">VLOOKUP($A334,'[2]Sheet 1'!$A$2:$Q$3504,4,FALSE())</f>
        <v>#N/A</v>
      </c>
      <c r="E334" s="0" t="e">
        <f aca="false">VLOOKUP($A334,'[2]Sheet 1'!$A$2:$Q$3504,5,FALSE())</f>
        <v>#N/A</v>
      </c>
      <c r="F334" s="0" t="e">
        <f aca="false">VLOOKUP($A334,'[2]Sheet 1'!$A$2:$Q$3504,6,FALSE())</f>
        <v>#N/A</v>
      </c>
      <c r="G334" s="0" t="e">
        <f aca="false">VLOOKUP($A334,'[2]Sheet 1'!$A$2:$Q$3504,7,FALSE())</f>
        <v>#N/A</v>
      </c>
      <c r="H334" s="0" t="e">
        <f aca="false">VLOOKUP($A334,'[2]Sheet 1'!$A$2:$Q$3504,8,FALSE())</f>
        <v>#N/A</v>
      </c>
      <c r="I334" s="0" t="e">
        <f aca="false">VLOOKUP($A334,'[2]Sheet 1'!$A$2:$Q$3504,9,FALSE())</f>
        <v>#N/A</v>
      </c>
      <c r="J334" s="0" t="e">
        <f aca="false">VLOOKUP($A334,'[2]Sheet 1'!$A$2:$Q$3504,10,FALSE())</f>
        <v>#N/A</v>
      </c>
      <c r="K334" s="0" t="e">
        <f aca="false">VLOOKUP($A334,'[2]Sheet 1'!$A$2:$Q$3504,11,FALSE())</f>
        <v>#N/A</v>
      </c>
      <c r="L334" s="0" t="e">
        <f aca="false">VLOOKUP($A334,'[2]Sheet 1'!$A$2:$Q$3504,12,FALSE())</f>
        <v>#N/A</v>
      </c>
      <c r="M334" s="0" t="e">
        <f aca="false">VLOOKUP($A334,'[2]Sheet 1'!$A$2:$Q$3504,13,FALSE())</f>
        <v>#N/A</v>
      </c>
      <c r="N334" s="0" t="e">
        <f aca="false">VLOOKUP($A334,'[2]Sheet 1'!$A$2:$Q$3504,14,FALSE())</f>
        <v>#N/A</v>
      </c>
      <c r="O334" s="0" t="e">
        <f aca="false">VLOOKUP($A334,'[2]Sheet 1'!$A$2:$Q$3504,15,FALSE())</f>
        <v>#N/A</v>
      </c>
      <c r="P334" s="0" t="e">
        <f aca="false">VLOOKUP($A334,'[2]Sheet 1'!$A$2:$Q$3504,16,FALSE())</f>
        <v>#N/A</v>
      </c>
      <c r="Q334" s="0" t="e">
        <f aca="false">VLOOKUP($A334,'[2]Sheet 1'!$A$2:$Q$3504,17,FALSE())</f>
        <v>#N/A</v>
      </c>
      <c r="S334" s="9"/>
    </row>
    <row r="335" customFormat="false" ht="14.25" hidden="false" customHeight="false" outlineLevel="0" collapsed="false">
      <c r="A335" s="5" t="n">
        <v>809</v>
      </c>
      <c r="B335" s="5" t="s">
        <v>805</v>
      </c>
      <c r="C335" s="5" t="n">
        <v>90</v>
      </c>
      <c r="D335" s="0" t="n">
        <f aca="false">VLOOKUP($A335,'[2]Sheet 1'!$A$2:$Q$3504,4,FALSE())</f>
        <v>0</v>
      </c>
      <c r="E335" s="0" t="n">
        <f aca="false">VLOOKUP($A335,'[2]Sheet 1'!$A$2:$Q$3504,5,FALSE())</f>
        <v>0</v>
      </c>
      <c r="F335" s="0" t="n">
        <f aca="false">VLOOKUP($A335,'[2]Sheet 1'!$A$2:$Q$3504,6,FALSE())</f>
        <v>0</v>
      </c>
      <c r="G335" s="0" t="n">
        <f aca="false">VLOOKUP($A335,'[2]Sheet 1'!$A$2:$Q$3504,7,FALSE())</f>
        <v>0</v>
      </c>
      <c r="H335" s="0" t="n">
        <f aca="false">VLOOKUP($A335,'[2]Sheet 1'!$A$2:$Q$3504,8,FALSE())</f>
        <v>0</v>
      </c>
      <c r="I335" s="0" t="n">
        <f aca="false">VLOOKUP($A335,'[2]Sheet 1'!$A$2:$Q$3504,9,FALSE())</f>
        <v>0</v>
      </c>
      <c r="J335" s="0" t="n">
        <f aca="false">VLOOKUP($A335,'[2]Sheet 1'!$A$2:$Q$3504,10,FALSE())</f>
        <v>0</v>
      </c>
      <c r="K335" s="0" t="n">
        <f aca="false">VLOOKUP($A335,'[2]Sheet 1'!$A$2:$Q$3504,11,FALSE())</f>
        <v>0</v>
      </c>
      <c r="L335" s="0" t="n">
        <f aca="false">VLOOKUP($A335,'[2]Sheet 1'!$A$2:$Q$3504,12,FALSE())</f>
        <v>0</v>
      </c>
      <c r="M335" s="0" t="n">
        <f aca="false">VLOOKUP($A335,'[2]Sheet 1'!$A$2:$Q$3504,13,FALSE())</f>
        <v>0</v>
      </c>
      <c r="N335" s="0" t="n">
        <f aca="false">VLOOKUP($A335,'[2]Sheet 1'!$A$2:$Q$3504,14,FALSE())</f>
        <v>0</v>
      </c>
      <c r="O335" s="0" t="n">
        <f aca="false">VLOOKUP($A335,'[2]Sheet 1'!$A$2:$Q$3504,15,FALSE())</f>
        <v>0</v>
      </c>
      <c r="P335" s="0" t="n">
        <f aca="false">VLOOKUP($A335,'[2]Sheet 1'!$A$2:$Q$3504,16,FALSE())</f>
        <v>0</v>
      </c>
      <c r="Q335" s="0" t="n">
        <f aca="false">VLOOKUP($A335,'[2]Sheet 1'!$A$2:$Q$3504,17,FALSE())</f>
        <v>0</v>
      </c>
      <c r="S335" s="5"/>
    </row>
    <row r="336" customFormat="false" ht="14.25" hidden="false" customHeight="false" outlineLevel="0" collapsed="false">
      <c r="A336" s="5" t="n">
        <v>813</v>
      </c>
      <c r="B336" s="5" t="s">
        <v>807</v>
      </c>
      <c r="C336" s="5" t="n">
        <v>60</v>
      </c>
      <c r="D336" s="0" t="e">
        <f aca="false">VLOOKUP($A336,'[2]Sheet 1'!$A$2:$Q$3504,4,FALSE())</f>
        <v>#N/A</v>
      </c>
      <c r="E336" s="0" t="e">
        <f aca="false">VLOOKUP($A336,'[2]Sheet 1'!$A$2:$Q$3504,5,FALSE())</f>
        <v>#N/A</v>
      </c>
      <c r="F336" s="0" t="e">
        <f aca="false">VLOOKUP($A336,'[2]Sheet 1'!$A$2:$Q$3504,6,FALSE())</f>
        <v>#N/A</v>
      </c>
      <c r="G336" s="0" t="e">
        <f aca="false">VLOOKUP($A336,'[2]Sheet 1'!$A$2:$Q$3504,7,FALSE())</f>
        <v>#N/A</v>
      </c>
      <c r="H336" s="0" t="e">
        <f aca="false">VLOOKUP($A336,'[2]Sheet 1'!$A$2:$Q$3504,8,FALSE())</f>
        <v>#N/A</v>
      </c>
      <c r="I336" s="0" t="e">
        <f aca="false">VLOOKUP($A336,'[2]Sheet 1'!$A$2:$Q$3504,9,FALSE())</f>
        <v>#N/A</v>
      </c>
      <c r="J336" s="0" t="e">
        <f aca="false">VLOOKUP($A336,'[2]Sheet 1'!$A$2:$Q$3504,10,FALSE())</f>
        <v>#N/A</v>
      </c>
      <c r="K336" s="0" t="e">
        <f aca="false">VLOOKUP($A336,'[2]Sheet 1'!$A$2:$Q$3504,11,FALSE())</f>
        <v>#N/A</v>
      </c>
      <c r="L336" s="0" t="e">
        <f aca="false">VLOOKUP($A336,'[2]Sheet 1'!$A$2:$Q$3504,12,FALSE())</f>
        <v>#N/A</v>
      </c>
      <c r="M336" s="0" t="e">
        <f aca="false">VLOOKUP($A336,'[2]Sheet 1'!$A$2:$Q$3504,13,FALSE())</f>
        <v>#N/A</v>
      </c>
      <c r="N336" s="0" t="e">
        <f aca="false">VLOOKUP($A336,'[2]Sheet 1'!$A$2:$Q$3504,14,FALSE())</f>
        <v>#N/A</v>
      </c>
      <c r="O336" s="0" t="e">
        <f aca="false">VLOOKUP($A336,'[2]Sheet 1'!$A$2:$Q$3504,15,FALSE())</f>
        <v>#N/A</v>
      </c>
      <c r="P336" s="0" t="e">
        <f aca="false">VLOOKUP($A336,'[2]Sheet 1'!$A$2:$Q$3504,16,FALSE())</f>
        <v>#N/A</v>
      </c>
      <c r="Q336" s="0" t="e">
        <f aca="false">VLOOKUP($A336,'[2]Sheet 1'!$A$2:$Q$3504,17,FALSE())</f>
        <v>#N/A</v>
      </c>
      <c r="S336" s="5"/>
    </row>
    <row r="337" customFormat="false" ht="14.25" hidden="false" customHeight="false" outlineLevel="0" collapsed="false">
      <c r="A337" s="5" t="n">
        <v>821</v>
      </c>
      <c r="B337" s="5" t="s">
        <v>809</v>
      </c>
      <c r="C337" s="5" t="n">
        <v>90</v>
      </c>
      <c r="D337" s="0" t="e">
        <f aca="false">VLOOKUP($A337,'[2]Sheet 1'!$A$2:$Q$3504,4,FALSE())</f>
        <v>#N/A</v>
      </c>
      <c r="E337" s="0" t="e">
        <f aca="false">VLOOKUP($A337,'[2]Sheet 1'!$A$2:$Q$3504,5,FALSE())</f>
        <v>#N/A</v>
      </c>
      <c r="F337" s="0" t="e">
        <f aca="false">VLOOKUP($A337,'[2]Sheet 1'!$A$2:$Q$3504,6,FALSE())</f>
        <v>#N/A</v>
      </c>
      <c r="G337" s="0" t="e">
        <f aca="false">VLOOKUP($A337,'[2]Sheet 1'!$A$2:$Q$3504,7,FALSE())</f>
        <v>#N/A</v>
      </c>
      <c r="H337" s="0" t="e">
        <f aca="false">VLOOKUP($A337,'[2]Sheet 1'!$A$2:$Q$3504,8,FALSE())</f>
        <v>#N/A</v>
      </c>
      <c r="I337" s="0" t="e">
        <f aca="false">VLOOKUP($A337,'[2]Sheet 1'!$A$2:$Q$3504,9,FALSE())</f>
        <v>#N/A</v>
      </c>
      <c r="J337" s="0" t="e">
        <f aca="false">VLOOKUP($A337,'[2]Sheet 1'!$A$2:$Q$3504,10,FALSE())</f>
        <v>#N/A</v>
      </c>
      <c r="K337" s="0" t="e">
        <f aca="false">VLOOKUP($A337,'[2]Sheet 1'!$A$2:$Q$3504,11,FALSE())</f>
        <v>#N/A</v>
      </c>
      <c r="L337" s="0" t="e">
        <f aca="false">VLOOKUP($A337,'[2]Sheet 1'!$A$2:$Q$3504,12,FALSE())</f>
        <v>#N/A</v>
      </c>
      <c r="M337" s="0" t="e">
        <f aca="false">VLOOKUP($A337,'[2]Sheet 1'!$A$2:$Q$3504,13,FALSE())</f>
        <v>#N/A</v>
      </c>
      <c r="N337" s="0" t="e">
        <f aca="false">VLOOKUP($A337,'[2]Sheet 1'!$A$2:$Q$3504,14,FALSE())</f>
        <v>#N/A</v>
      </c>
      <c r="O337" s="0" t="e">
        <f aca="false">VLOOKUP($A337,'[2]Sheet 1'!$A$2:$Q$3504,15,FALSE())</f>
        <v>#N/A</v>
      </c>
      <c r="P337" s="0" t="e">
        <f aca="false">VLOOKUP($A337,'[2]Sheet 1'!$A$2:$Q$3504,16,FALSE())</f>
        <v>#N/A</v>
      </c>
      <c r="Q337" s="0" t="e">
        <f aca="false">VLOOKUP($A337,'[2]Sheet 1'!$A$2:$Q$3504,17,FALSE())</f>
        <v>#N/A</v>
      </c>
      <c r="S337" s="5"/>
    </row>
    <row r="338" customFormat="false" ht="14.25" hidden="false" customHeight="false" outlineLevel="0" collapsed="false">
      <c r="A338" s="5" t="n">
        <v>826</v>
      </c>
      <c r="B338" s="5" t="s">
        <v>811</v>
      </c>
      <c r="C338" s="5" t="n">
        <v>90</v>
      </c>
      <c r="D338" s="0" t="n">
        <f aca="false">VLOOKUP($A338,'[2]Sheet 1'!$A$2:$Q$3504,4,FALSE())</f>
        <v>0</v>
      </c>
      <c r="E338" s="0" t="n">
        <f aca="false">VLOOKUP($A338,'[2]Sheet 1'!$A$2:$Q$3504,5,FALSE())</f>
        <v>0</v>
      </c>
      <c r="F338" s="0" t="n">
        <f aca="false">VLOOKUP($A338,'[2]Sheet 1'!$A$2:$Q$3504,6,FALSE())</f>
        <v>0</v>
      </c>
      <c r="G338" s="0" t="n">
        <f aca="false">VLOOKUP($A338,'[2]Sheet 1'!$A$2:$Q$3504,7,FALSE())</f>
        <v>0</v>
      </c>
      <c r="H338" s="0" t="n">
        <f aca="false">VLOOKUP($A338,'[2]Sheet 1'!$A$2:$Q$3504,8,FALSE())</f>
        <v>0</v>
      </c>
      <c r="I338" s="0" t="n">
        <f aca="false">VLOOKUP($A338,'[2]Sheet 1'!$A$2:$Q$3504,9,FALSE())</f>
        <v>0</v>
      </c>
      <c r="J338" s="0" t="n">
        <f aca="false">VLOOKUP($A338,'[2]Sheet 1'!$A$2:$Q$3504,10,FALSE())</f>
        <v>0</v>
      </c>
      <c r="K338" s="0" t="n">
        <f aca="false">VLOOKUP($A338,'[2]Sheet 1'!$A$2:$Q$3504,11,FALSE())</f>
        <v>0</v>
      </c>
      <c r="L338" s="0" t="n">
        <f aca="false">VLOOKUP($A338,'[2]Sheet 1'!$A$2:$Q$3504,12,FALSE())</f>
        <v>0</v>
      </c>
      <c r="M338" s="0" t="n">
        <f aca="false">VLOOKUP($A338,'[2]Sheet 1'!$A$2:$Q$3504,13,FALSE())</f>
        <v>0</v>
      </c>
      <c r="N338" s="0" t="n">
        <f aca="false">VLOOKUP($A338,'[2]Sheet 1'!$A$2:$Q$3504,14,FALSE())</f>
        <v>0</v>
      </c>
      <c r="O338" s="0" t="n">
        <f aca="false">VLOOKUP($A338,'[2]Sheet 1'!$A$2:$Q$3504,15,FALSE())</f>
        <v>0</v>
      </c>
      <c r="P338" s="0" t="n">
        <f aca="false">VLOOKUP($A338,'[2]Sheet 1'!$A$2:$Q$3504,16,FALSE())</f>
        <v>0</v>
      </c>
      <c r="Q338" s="0" t="n">
        <f aca="false">VLOOKUP($A338,'[2]Sheet 1'!$A$2:$Q$3504,17,FALSE())</f>
        <v>0</v>
      </c>
      <c r="S338" s="5"/>
    </row>
    <row r="339" customFormat="false" ht="14.25" hidden="false" customHeight="false" outlineLevel="0" collapsed="false">
      <c r="A339" s="5" t="n">
        <v>828</v>
      </c>
      <c r="B339" s="5" t="s">
        <v>814</v>
      </c>
      <c r="C339" s="5" t="n">
        <v>90</v>
      </c>
      <c r="D339" s="0" t="n">
        <f aca="false">VLOOKUP($A339,'[2]Sheet 1'!$A$2:$Q$3504,4,FALSE())</f>
        <v>0</v>
      </c>
      <c r="E339" s="0" t="n">
        <f aca="false">VLOOKUP($A339,'[2]Sheet 1'!$A$2:$Q$3504,5,FALSE())</f>
        <v>0</v>
      </c>
      <c r="F339" s="0" t="n">
        <f aca="false">VLOOKUP($A339,'[2]Sheet 1'!$A$2:$Q$3504,6,FALSE())</f>
        <v>0</v>
      </c>
      <c r="G339" s="0" t="n">
        <f aca="false">VLOOKUP($A339,'[2]Sheet 1'!$A$2:$Q$3504,7,FALSE())</f>
        <v>0</v>
      </c>
      <c r="H339" s="0" t="n">
        <f aca="false">VLOOKUP($A339,'[2]Sheet 1'!$A$2:$Q$3504,8,FALSE())</f>
        <v>0</v>
      </c>
      <c r="I339" s="0" t="n">
        <f aca="false">VLOOKUP($A339,'[2]Sheet 1'!$A$2:$Q$3504,9,FALSE())</f>
        <v>0</v>
      </c>
      <c r="J339" s="0" t="n">
        <f aca="false">VLOOKUP($A339,'[2]Sheet 1'!$A$2:$Q$3504,10,FALSE())</f>
        <v>0</v>
      </c>
      <c r="K339" s="0" t="n">
        <f aca="false">VLOOKUP($A339,'[2]Sheet 1'!$A$2:$Q$3504,11,FALSE())</f>
        <v>0</v>
      </c>
      <c r="L339" s="0" t="n">
        <f aca="false">VLOOKUP($A339,'[2]Sheet 1'!$A$2:$Q$3504,12,FALSE())</f>
        <v>0</v>
      </c>
      <c r="M339" s="0" t="n">
        <f aca="false">VLOOKUP($A339,'[2]Sheet 1'!$A$2:$Q$3504,13,FALSE())</f>
        <v>0</v>
      </c>
      <c r="N339" s="0" t="n">
        <f aca="false">VLOOKUP($A339,'[2]Sheet 1'!$A$2:$Q$3504,14,FALSE())</f>
        <v>0</v>
      </c>
      <c r="O339" s="0" t="n">
        <f aca="false">VLOOKUP($A339,'[2]Sheet 1'!$A$2:$Q$3504,15,FALSE())</f>
        <v>0</v>
      </c>
      <c r="P339" s="0" t="n">
        <f aca="false">VLOOKUP($A339,'[2]Sheet 1'!$A$2:$Q$3504,16,FALSE())</f>
        <v>0</v>
      </c>
      <c r="Q339" s="0" t="n">
        <f aca="false">VLOOKUP($A339,'[2]Sheet 1'!$A$2:$Q$3504,17,FALSE())</f>
        <v>0</v>
      </c>
      <c r="S339" s="5"/>
    </row>
    <row r="340" customFormat="false" ht="14.25" hidden="false" customHeight="false" outlineLevel="0" collapsed="false">
      <c r="A340" s="5" t="n">
        <v>829</v>
      </c>
      <c r="B340" s="5" t="s">
        <v>817</v>
      </c>
      <c r="C340" s="5" t="n">
        <v>90</v>
      </c>
      <c r="D340" s="0" t="n">
        <f aca="false">VLOOKUP($A340,'[2]Sheet 1'!$A$2:$Q$3504,4,FALSE())</f>
        <v>0</v>
      </c>
      <c r="E340" s="0" t="n">
        <f aca="false">VLOOKUP($A340,'[2]Sheet 1'!$A$2:$Q$3504,5,FALSE())</f>
        <v>0</v>
      </c>
      <c r="F340" s="0" t="n">
        <f aca="false">VLOOKUP($A340,'[2]Sheet 1'!$A$2:$Q$3504,6,FALSE())</f>
        <v>0</v>
      </c>
      <c r="G340" s="0" t="n">
        <f aca="false">VLOOKUP($A340,'[2]Sheet 1'!$A$2:$Q$3504,7,FALSE())</f>
        <v>0</v>
      </c>
      <c r="H340" s="0" t="n">
        <f aca="false">VLOOKUP($A340,'[2]Sheet 1'!$A$2:$Q$3504,8,FALSE())</f>
        <v>0</v>
      </c>
      <c r="I340" s="0" t="n">
        <f aca="false">VLOOKUP($A340,'[2]Sheet 1'!$A$2:$Q$3504,9,FALSE())</f>
        <v>0</v>
      </c>
      <c r="J340" s="0" t="n">
        <f aca="false">VLOOKUP($A340,'[2]Sheet 1'!$A$2:$Q$3504,10,FALSE())</f>
        <v>0</v>
      </c>
      <c r="K340" s="0" t="n">
        <f aca="false">VLOOKUP($A340,'[2]Sheet 1'!$A$2:$Q$3504,11,FALSE())</f>
        <v>0</v>
      </c>
      <c r="L340" s="0" t="n">
        <f aca="false">VLOOKUP($A340,'[2]Sheet 1'!$A$2:$Q$3504,12,FALSE())</f>
        <v>0</v>
      </c>
      <c r="M340" s="0" t="n">
        <f aca="false">VLOOKUP($A340,'[2]Sheet 1'!$A$2:$Q$3504,13,FALSE())</f>
        <v>0</v>
      </c>
      <c r="N340" s="0" t="n">
        <f aca="false">VLOOKUP($A340,'[2]Sheet 1'!$A$2:$Q$3504,14,FALSE())</f>
        <v>0</v>
      </c>
      <c r="O340" s="0" t="n">
        <f aca="false">VLOOKUP($A340,'[2]Sheet 1'!$A$2:$Q$3504,15,FALSE())</f>
        <v>0</v>
      </c>
      <c r="P340" s="0" t="n">
        <f aca="false">VLOOKUP($A340,'[2]Sheet 1'!$A$2:$Q$3504,16,FALSE())</f>
        <v>0</v>
      </c>
      <c r="Q340" s="0" t="n">
        <f aca="false">VLOOKUP($A340,'[2]Sheet 1'!$A$2:$Q$3504,17,FALSE())</f>
        <v>0</v>
      </c>
      <c r="S340" s="5"/>
    </row>
    <row r="341" customFormat="false" ht="14.25" hidden="false" customHeight="false" outlineLevel="0" collapsed="false">
      <c r="A341" s="5" t="n">
        <v>831</v>
      </c>
      <c r="B341" s="5" t="s">
        <v>820</v>
      </c>
      <c r="C341" s="5" t="n">
        <v>90</v>
      </c>
      <c r="D341" s="0" t="n">
        <f aca="false">VLOOKUP($A341,'[2]Sheet 1'!$A$2:$Q$3504,4,FALSE())</f>
        <v>0</v>
      </c>
      <c r="E341" s="0" t="n">
        <f aca="false">VLOOKUP($A341,'[2]Sheet 1'!$A$2:$Q$3504,5,FALSE())</f>
        <v>0</v>
      </c>
      <c r="F341" s="0" t="n">
        <f aca="false">VLOOKUP($A341,'[2]Sheet 1'!$A$2:$Q$3504,6,FALSE())</f>
        <v>0</v>
      </c>
      <c r="G341" s="0" t="n">
        <f aca="false">VLOOKUP($A341,'[2]Sheet 1'!$A$2:$Q$3504,7,FALSE())</f>
        <v>0</v>
      </c>
      <c r="H341" s="0" t="n">
        <f aca="false">VLOOKUP($A341,'[2]Sheet 1'!$A$2:$Q$3504,8,FALSE())</f>
        <v>0</v>
      </c>
      <c r="I341" s="0" t="n">
        <f aca="false">VLOOKUP($A341,'[2]Sheet 1'!$A$2:$Q$3504,9,FALSE())</f>
        <v>0</v>
      </c>
      <c r="J341" s="0" t="n">
        <f aca="false">VLOOKUP($A341,'[2]Sheet 1'!$A$2:$Q$3504,10,FALSE())</f>
        <v>0</v>
      </c>
      <c r="K341" s="0" t="n">
        <f aca="false">VLOOKUP($A341,'[2]Sheet 1'!$A$2:$Q$3504,11,FALSE())</f>
        <v>0</v>
      </c>
      <c r="L341" s="0" t="n">
        <f aca="false">VLOOKUP($A341,'[2]Sheet 1'!$A$2:$Q$3504,12,FALSE())</f>
        <v>0</v>
      </c>
      <c r="M341" s="0" t="n">
        <f aca="false">VLOOKUP($A341,'[2]Sheet 1'!$A$2:$Q$3504,13,FALSE())</f>
        <v>0</v>
      </c>
      <c r="N341" s="0" t="n">
        <f aca="false">VLOOKUP($A341,'[2]Sheet 1'!$A$2:$Q$3504,14,FALSE())</f>
        <v>0</v>
      </c>
      <c r="O341" s="0" t="n">
        <f aca="false">VLOOKUP($A341,'[2]Sheet 1'!$A$2:$Q$3504,15,FALSE())</f>
        <v>0</v>
      </c>
      <c r="P341" s="0" t="n">
        <f aca="false">VLOOKUP($A341,'[2]Sheet 1'!$A$2:$Q$3504,16,FALSE())</f>
        <v>0</v>
      </c>
      <c r="Q341" s="0" t="n">
        <f aca="false">VLOOKUP($A341,'[2]Sheet 1'!$A$2:$Q$3504,17,FALSE())</f>
        <v>0</v>
      </c>
      <c r="S341" s="5"/>
    </row>
    <row r="342" customFormat="false" ht="14.25" hidden="false" customHeight="false" outlineLevel="0" collapsed="false">
      <c r="A342" s="5" t="n">
        <v>836</v>
      </c>
      <c r="B342" s="5" t="s">
        <v>823</v>
      </c>
      <c r="C342" s="5" t="n">
        <v>35</v>
      </c>
      <c r="D342" s="0" t="n">
        <f aca="false">VLOOKUP($A342,'[2]Sheet 1'!$A$2:$Q$3504,4,FALSE())</f>
        <v>0</v>
      </c>
      <c r="E342" s="0" t="n">
        <f aca="false">VLOOKUP($A342,'[2]Sheet 1'!$A$2:$Q$3504,5,FALSE())</f>
        <v>0</v>
      </c>
      <c r="F342" s="0" t="n">
        <f aca="false">VLOOKUP($A342,'[2]Sheet 1'!$A$2:$Q$3504,6,FALSE())</f>
        <v>0</v>
      </c>
      <c r="G342" s="0" t="n">
        <f aca="false">VLOOKUP($A342,'[2]Sheet 1'!$A$2:$Q$3504,7,FALSE())</f>
        <v>0</v>
      </c>
      <c r="H342" s="0" t="n">
        <f aca="false">VLOOKUP($A342,'[2]Sheet 1'!$A$2:$Q$3504,8,FALSE())</f>
        <v>0</v>
      </c>
      <c r="I342" s="0" t="n">
        <f aca="false">VLOOKUP($A342,'[2]Sheet 1'!$A$2:$Q$3504,9,FALSE())</f>
        <v>0</v>
      </c>
      <c r="J342" s="0" t="n">
        <f aca="false">VLOOKUP($A342,'[2]Sheet 1'!$A$2:$Q$3504,10,FALSE())</f>
        <v>0</v>
      </c>
      <c r="K342" s="0" t="n">
        <f aca="false">VLOOKUP($A342,'[2]Sheet 1'!$A$2:$Q$3504,11,FALSE())</f>
        <v>0</v>
      </c>
      <c r="L342" s="0" t="n">
        <f aca="false">VLOOKUP($A342,'[2]Sheet 1'!$A$2:$Q$3504,12,FALSE())</f>
        <v>0</v>
      </c>
      <c r="M342" s="0" t="n">
        <f aca="false">VLOOKUP($A342,'[2]Sheet 1'!$A$2:$Q$3504,13,FALSE())</f>
        <v>0</v>
      </c>
      <c r="N342" s="0" t="n">
        <f aca="false">VLOOKUP($A342,'[2]Sheet 1'!$A$2:$Q$3504,14,FALSE())</f>
        <v>0</v>
      </c>
      <c r="O342" s="0" t="n">
        <f aca="false">VLOOKUP($A342,'[2]Sheet 1'!$A$2:$Q$3504,15,FALSE())</f>
        <v>0</v>
      </c>
      <c r="P342" s="0" t="n">
        <f aca="false">VLOOKUP($A342,'[2]Sheet 1'!$A$2:$Q$3504,16,FALSE())</f>
        <v>0</v>
      </c>
      <c r="Q342" s="0" t="n">
        <f aca="false">VLOOKUP($A342,'[2]Sheet 1'!$A$2:$Q$3504,17,FALSE())</f>
        <v>0</v>
      </c>
      <c r="S342" s="5"/>
    </row>
    <row r="343" customFormat="false" ht="14.25" hidden="false" customHeight="false" outlineLevel="0" collapsed="false">
      <c r="A343" s="5" t="n">
        <v>837</v>
      </c>
      <c r="B343" s="5" t="s">
        <v>825</v>
      </c>
      <c r="C343" s="5" t="n">
        <v>35</v>
      </c>
      <c r="D343" s="0" t="n">
        <f aca="false">VLOOKUP($A343,'[2]Sheet 1'!$A$2:$Q$3504,4,FALSE())</f>
        <v>0</v>
      </c>
      <c r="E343" s="0" t="n">
        <f aca="false">VLOOKUP($A343,'[2]Sheet 1'!$A$2:$Q$3504,5,FALSE())</f>
        <v>0</v>
      </c>
      <c r="F343" s="0" t="n">
        <f aca="false">VLOOKUP($A343,'[2]Sheet 1'!$A$2:$Q$3504,6,FALSE())</f>
        <v>0</v>
      </c>
      <c r="G343" s="0" t="n">
        <f aca="false">VLOOKUP($A343,'[2]Sheet 1'!$A$2:$Q$3504,7,FALSE())</f>
        <v>0</v>
      </c>
      <c r="H343" s="0" t="n">
        <f aca="false">VLOOKUP($A343,'[2]Sheet 1'!$A$2:$Q$3504,8,FALSE())</f>
        <v>0</v>
      </c>
      <c r="I343" s="0" t="n">
        <f aca="false">VLOOKUP($A343,'[2]Sheet 1'!$A$2:$Q$3504,9,FALSE())</f>
        <v>0</v>
      </c>
      <c r="J343" s="0" t="n">
        <f aca="false">VLOOKUP($A343,'[2]Sheet 1'!$A$2:$Q$3504,10,FALSE())</f>
        <v>0</v>
      </c>
      <c r="K343" s="0" t="n">
        <f aca="false">VLOOKUP($A343,'[2]Sheet 1'!$A$2:$Q$3504,11,FALSE())</f>
        <v>0</v>
      </c>
      <c r="L343" s="0" t="n">
        <f aca="false">VLOOKUP($A343,'[2]Sheet 1'!$A$2:$Q$3504,12,FALSE())</f>
        <v>0</v>
      </c>
      <c r="M343" s="0" t="n">
        <f aca="false">VLOOKUP($A343,'[2]Sheet 1'!$A$2:$Q$3504,13,FALSE())</f>
        <v>0</v>
      </c>
      <c r="N343" s="0" t="n">
        <f aca="false">VLOOKUP($A343,'[2]Sheet 1'!$A$2:$Q$3504,14,FALSE())</f>
        <v>0</v>
      </c>
      <c r="O343" s="0" t="n">
        <f aca="false">VLOOKUP($A343,'[2]Sheet 1'!$A$2:$Q$3504,15,FALSE())</f>
        <v>0</v>
      </c>
      <c r="P343" s="0" t="n">
        <f aca="false">VLOOKUP($A343,'[2]Sheet 1'!$A$2:$Q$3504,16,FALSE())</f>
        <v>0</v>
      </c>
      <c r="Q343" s="0" t="n">
        <f aca="false">VLOOKUP($A343,'[2]Sheet 1'!$A$2:$Q$3504,17,FALSE())</f>
        <v>0</v>
      </c>
      <c r="S343" s="5"/>
    </row>
    <row r="344" customFormat="false" ht="14.25" hidden="false" customHeight="false" outlineLevel="0" collapsed="false">
      <c r="A344" s="5" t="n">
        <v>839</v>
      </c>
      <c r="B344" s="5" t="s">
        <v>828</v>
      </c>
      <c r="C344" s="7" t="n">
        <v>50</v>
      </c>
      <c r="D344" s="0" t="e">
        <f aca="false">VLOOKUP($A344,'[2]Sheet 1'!$A$2:$Q$3504,4,FALSE())</f>
        <v>#N/A</v>
      </c>
      <c r="E344" s="0" t="e">
        <f aca="false">VLOOKUP($A344,'[2]Sheet 1'!$A$2:$Q$3504,5,FALSE())</f>
        <v>#N/A</v>
      </c>
      <c r="F344" s="0" t="e">
        <f aca="false">VLOOKUP($A344,'[2]Sheet 1'!$A$2:$Q$3504,6,FALSE())</f>
        <v>#N/A</v>
      </c>
      <c r="G344" s="0" t="e">
        <f aca="false">VLOOKUP($A344,'[2]Sheet 1'!$A$2:$Q$3504,7,FALSE())</f>
        <v>#N/A</v>
      </c>
      <c r="H344" s="0" t="e">
        <f aca="false">VLOOKUP($A344,'[2]Sheet 1'!$A$2:$Q$3504,8,FALSE())</f>
        <v>#N/A</v>
      </c>
      <c r="I344" s="0" t="e">
        <f aca="false">VLOOKUP($A344,'[2]Sheet 1'!$A$2:$Q$3504,9,FALSE())</f>
        <v>#N/A</v>
      </c>
      <c r="J344" s="0" t="e">
        <f aca="false">VLOOKUP($A344,'[2]Sheet 1'!$A$2:$Q$3504,10,FALSE())</f>
        <v>#N/A</v>
      </c>
      <c r="K344" s="0" t="e">
        <f aca="false">VLOOKUP($A344,'[2]Sheet 1'!$A$2:$Q$3504,11,FALSE())</f>
        <v>#N/A</v>
      </c>
      <c r="L344" s="0" t="e">
        <f aca="false">VLOOKUP($A344,'[2]Sheet 1'!$A$2:$Q$3504,12,FALSE())</f>
        <v>#N/A</v>
      </c>
      <c r="M344" s="0" t="e">
        <f aca="false">VLOOKUP($A344,'[2]Sheet 1'!$A$2:$Q$3504,13,FALSE())</f>
        <v>#N/A</v>
      </c>
      <c r="N344" s="0" t="e">
        <f aca="false">VLOOKUP($A344,'[2]Sheet 1'!$A$2:$Q$3504,14,FALSE())</f>
        <v>#N/A</v>
      </c>
      <c r="O344" s="0" t="e">
        <f aca="false">VLOOKUP($A344,'[2]Sheet 1'!$A$2:$Q$3504,15,FALSE())</f>
        <v>#N/A</v>
      </c>
      <c r="P344" s="0" t="e">
        <f aca="false">VLOOKUP($A344,'[2]Sheet 1'!$A$2:$Q$3504,16,FALSE())</f>
        <v>#N/A</v>
      </c>
      <c r="Q344" s="0" t="e">
        <f aca="false">VLOOKUP($A344,'[2]Sheet 1'!$A$2:$Q$3504,17,FALSE())</f>
        <v>#N/A</v>
      </c>
      <c r="S344" s="7"/>
    </row>
    <row r="345" customFormat="false" ht="14.25" hidden="false" customHeight="false" outlineLevel="0" collapsed="false">
      <c r="A345" s="5" t="n">
        <v>843</v>
      </c>
      <c r="B345" s="5" t="s">
        <v>830</v>
      </c>
      <c r="C345" s="5" t="n">
        <v>90</v>
      </c>
      <c r="D345" s="0" t="e">
        <f aca="false">VLOOKUP($A345,'[2]Sheet 1'!$A$2:$Q$3504,4,FALSE())</f>
        <v>#N/A</v>
      </c>
      <c r="E345" s="0" t="e">
        <f aca="false">VLOOKUP($A345,'[2]Sheet 1'!$A$2:$Q$3504,5,FALSE())</f>
        <v>#N/A</v>
      </c>
      <c r="F345" s="0" t="e">
        <f aca="false">VLOOKUP($A345,'[2]Sheet 1'!$A$2:$Q$3504,6,FALSE())</f>
        <v>#N/A</v>
      </c>
      <c r="G345" s="0" t="e">
        <f aca="false">VLOOKUP($A345,'[2]Sheet 1'!$A$2:$Q$3504,7,FALSE())</f>
        <v>#N/A</v>
      </c>
      <c r="H345" s="0" t="e">
        <f aca="false">VLOOKUP($A345,'[2]Sheet 1'!$A$2:$Q$3504,8,FALSE())</f>
        <v>#N/A</v>
      </c>
      <c r="I345" s="0" t="e">
        <f aca="false">VLOOKUP($A345,'[2]Sheet 1'!$A$2:$Q$3504,9,FALSE())</f>
        <v>#N/A</v>
      </c>
      <c r="J345" s="0" t="e">
        <f aca="false">VLOOKUP($A345,'[2]Sheet 1'!$A$2:$Q$3504,10,FALSE())</f>
        <v>#N/A</v>
      </c>
      <c r="K345" s="0" t="e">
        <f aca="false">VLOOKUP($A345,'[2]Sheet 1'!$A$2:$Q$3504,11,FALSE())</f>
        <v>#N/A</v>
      </c>
      <c r="L345" s="0" t="e">
        <f aca="false">VLOOKUP($A345,'[2]Sheet 1'!$A$2:$Q$3504,12,FALSE())</f>
        <v>#N/A</v>
      </c>
      <c r="M345" s="0" t="e">
        <f aca="false">VLOOKUP($A345,'[2]Sheet 1'!$A$2:$Q$3504,13,FALSE())</f>
        <v>#N/A</v>
      </c>
      <c r="N345" s="0" t="e">
        <f aca="false">VLOOKUP($A345,'[2]Sheet 1'!$A$2:$Q$3504,14,FALSE())</f>
        <v>#N/A</v>
      </c>
      <c r="O345" s="0" t="e">
        <f aca="false">VLOOKUP($A345,'[2]Sheet 1'!$A$2:$Q$3504,15,FALSE())</f>
        <v>#N/A</v>
      </c>
      <c r="P345" s="0" t="e">
        <f aca="false">VLOOKUP($A345,'[2]Sheet 1'!$A$2:$Q$3504,16,FALSE())</f>
        <v>#N/A</v>
      </c>
      <c r="Q345" s="0" t="e">
        <f aca="false">VLOOKUP($A345,'[2]Sheet 1'!$A$2:$Q$3504,17,FALSE())</f>
        <v>#N/A</v>
      </c>
      <c r="S345" s="5"/>
    </row>
    <row r="346" customFormat="false" ht="14.25" hidden="false" customHeight="false" outlineLevel="0" collapsed="false">
      <c r="A346" s="5" t="n">
        <v>845</v>
      </c>
      <c r="B346" s="5" t="s">
        <v>1231</v>
      </c>
      <c r="C346" s="5" t="n">
        <v>90</v>
      </c>
      <c r="D346" s="0" t="e">
        <f aca="false">VLOOKUP($A346,'[2]Sheet 1'!$A$2:$Q$3504,4,FALSE())</f>
        <v>#N/A</v>
      </c>
      <c r="E346" s="0" t="e">
        <f aca="false">VLOOKUP($A346,'[2]Sheet 1'!$A$2:$Q$3504,5,FALSE())</f>
        <v>#N/A</v>
      </c>
      <c r="F346" s="0" t="e">
        <f aca="false">VLOOKUP($A346,'[2]Sheet 1'!$A$2:$Q$3504,6,FALSE())</f>
        <v>#N/A</v>
      </c>
      <c r="G346" s="0" t="e">
        <f aca="false">VLOOKUP($A346,'[2]Sheet 1'!$A$2:$Q$3504,7,FALSE())</f>
        <v>#N/A</v>
      </c>
      <c r="H346" s="0" t="e">
        <f aca="false">VLOOKUP($A346,'[2]Sheet 1'!$A$2:$Q$3504,8,FALSE())</f>
        <v>#N/A</v>
      </c>
      <c r="I346" s="0" t="e">
        <f aca="false">VLOOKUP($A346,'[2]Sheet 1'!$A$2:$Q$3504,9,FALSE())</f>
        <v>#N/A</v>
      </c>
      <c r="J346" s="0" t="e">
        <f aca="false">VLOOKUP($A346,'[2]Sheet 1'!$A$2:$Q$3504,10,FALSE())</f>
        <v>#N/A</v>
      </c>
      <c r="K346" s="0" t="e">
        <f aca="false">VLOOKUP($A346,'[2]Sheet 1'!$A$2:$Q$3504,11,FALSE())</f>
        <v>#N/A</v>
      </c>
      <c r="L346" s="0" t="e">
        <f aca="false">VLOOKUP($A346,'[2]Sheet 1'!$A$2:$Q$3504,12,FALSE())</f>
        <v>#N/A</v>
      </c>
      <c r="M346" s="0" t="e">
        <f aca="false">VLOOKUP($A346,'[2]Sheet 1'!$A$2:$Q$3504,13,FALSE())</f>
        <v>#N/A</v>
      </c>
      <c r="N346" s="0" t="e">
        <f aca="false">VLOOKUP($A346,'[2]Sheet 1'!$A$2:$Q$3504,14,FALSE())</f>
        <v>#N/A</v>
      </c>
      <c r="O346" s="0" t="e">
        <f aca="false">VLOOKUP($A346,'[2]Sheet 1'!$A$2:$Q$3504,15,FALSE())</f>
        <v>#N/A</v>
      </c>
      <c r="P346" s="0" t="e">
        <f aca="false">VLOOKUP($A346,'[2]Sheet 1'!$A$2:$Q$3504,16,FALSE())</f>
        <v>#N/A</v>
      </c>
      <c r="Q346" s="0" t="e">
        <f aca="false">VLOOKUP($A346,'[2]Sheet 1'!$A$2:$Q$3504,17,FALSE())</f>
        <v>#N/A</v>
      </c>
      <c r="S346" s="5"/>
    </row>
    <row r="347" customFormat="false" ht="14.25" hidden="false" customHeight="false" outlineLevel="0" collapsed="false">
      <c r="A347" s="5" t="n">
        <v>846</v>
      </c>
      <c r="B347" s="5" t="s">
        <v>834</v>
      </c>
      <c r="C347" s="5" t="n">
        <v>90</v>
      </c>
      <c r="D347" s="0" t="n">
        <f aca="false">VLOOKUP($A347,'[2]Sheet 1'!$A$2:$Q$3504,4,FALSE())</f>
        <v>362</v>
      </c>
      <c r="E347" s="0" t="n">
        <f aca="false">VLOOKUP($A347,'[2]Sheet 1'!$A$2:$Q$3504,5,FALSE())</f>
        <v>8.12</v>
      </c>
      <c r="F347" s="0" t="n">
        <f aca="false">VLOOKUP($A347,'[2]Sheet 1'!$A$2:$Q$3504,6,FALSE())</f>
        <v>7.3</v>
      </c>
      <c r="G347" s="0" t="n">
        <f aca="false">VLOOKUP($A347,'[2]Sheet 1'!$A$2:$Q$3504,7,FALSE())</f>
        <v>1.82</v>
      </c>
      <c r="H347" s="0" t="n">
        <f aca="false">VLOOKUP($A347,'[2]Sheet 1'!$A$2:$Q$3504,8,FALSE())</f>
        <v>3.45</v>
      </c>
      <c r="I347" s="0" t="n">
        <f aca="false">VLOOKUP($A347,'[2]Sheet 1'!$A$2:$Q$3504,9,FALSE())</f>
        <v>6</v>
      </c>
      <c r="J347" s="0" t="n">
        <f aca="false">VLOOKUP($A347,'[2]Sheet 1'!$A$2:$Q$3504,10,FALSE())</f>
        <v>25</v>
      </c>
      <c r="K347" s="0" t="n">
        <f aca="false">VLOOKUP($A347,'[2]Sheet 1'!$A$2:$Q$3504,11,FALSE())</f>
        <v>0.201</v>
      </c>
      <c r="L347" s="0" t="n">
        <f aca="false">VLOOKUP($A347,'[2]Sheet 1'!$A$2:$Q$3504,12,FALSE())</f>
        <v>21.6</v>
      </c>
      <c r="M347" s="0" t="n">
        <f aca="false">VLOOKUP($A347,'[2]Sheet 1'!$A$2:$Q$3504,13,FALSE())</f>
        <v>287</v>
      </c>
      <c r="N347" s="0" t="n">
        <f aca="false">VLOOKUP($A347,'[2]Sheet 1'!$A$2:$Q$3504,14,FALSE())</f>
        <v>0.42</v>
      </c>
      <c r="O347" s="0" t="n">
        <f aca="false">VLOOKUP($A347,'[2]Sheet 1'!$A$2:$Q$3504,15,FALSE())</f>
        <v>0</v>
      </c>
      <c r="P347" s="0" t="n">
        <f aca="false">VLOOKUP($A347,'[2]Sheet 1'!$A$2:$Q$3504,16,FALSE())</f>
        <v>0.3</v>
      </c>
      <c r="Q347" s="0" t="n">
        <f aca="false">VLOOKUP($A347,'[2]Sheet 1'!$A$2:$Q$3504,17,FALSE())</f>
        <v>0</v>
      </c>
      <c r="S347" s="5"/>
    </row>
    <row r="348" customFormat="false" ht="14.25" hidden="false" customHeight="false" outlineLevel="0" collapsed="false">
      <c r="A348" s="5" t="n">
        <v>850</v>
      </c>
      <c r="B348" s="5" t="s">
        <v>836</v>
      </c>
      <c r="C348" s="5" t="n">
        <v>90</v>
      </c>
      <c r="D348" s="0" t="e">
        <f aca="false">VLOOKUP($A348,'[2]Sheet 1'!$A$2:$Q$3504,4,FALSE())</f>
        <v>#N/A</v>
      </c>
      <c r="E348" s="0" t="e">
        <f aca="false">VLOOKUP($A348,'[2]Sheet 1'!$A$2:$Q$3504,5,FALSE())</f>
        <v>#N/A</v>
      </c>
      <c r="F348" s="0" t="e">
        <f aca="false">VLOOKUP($A348,'[2]Sheet 1'!$A$2:$Q$3504,6,FALSE())</f>
        <v>#N/A</v>
      </c>
      <c r="G348" s="0" t="e">
        <f aca="false">VLOOKUP($A348,'[2]Sheet 1'!$A$2:$Q$3504,7,FALSE())</f>
        <v>#N/A</v>
      </c>
      <c r="H348" s="0" t="e">
        <f aca="false">VLOOKUP($A348,'[2]Sheet 1'!$A$2:$Q$3504,8,FALSE())</f>
        <v>#N/A</v>
      </c>
      <c r="I348" s="0" t="e">
        <f aca="false">VLOOKUP($A348,'[2]Sheet 1'!$A$2:$Q$3504,9,FALSE())</f>
        <v>#N/A</v>
      </c>
      <c r="J348" s="0" t="e">
        <f aca="false">VLOOKUP($A348,'[2]Sheet 1'!$A$2:$Q$3504,10,FALSE())</f>
        <v>#N/A</v>
      </c>
      <c r="K348" s="0" t="e">
        <f aca="false">VLOOKUP($A348,'[2]Sheet 1'!$A$2:$Q$3504,11,FALSE())</f>
        <v>#N/A</v>
      </c>
      <c r="L348" s="0" t="e">
        <f aca="false">VLOOKUP($A348,'[2]Sheet 1'!$A$2:$Q$3504,12,FALSE())</f>
        <v>#N/A</v>
      </c>
      <c r="M348" s="0" t="e">
        <f aca="false">VLOOKUP($A348,'[2]Sheet 1'!$A$2:$Q$3504,13,FALSE())</f>
        <v>#N/A</v>
      </c>
      <c r="N348" s="0" t="e">
        <f aca="false">VLOOKUP($A348,'[2]Sheet 1'!$A$2:$Q$3504,14,FALSE())</f>
        <v>#N/A</v>
      </c>
      <c r="O348" s="0" t="e">
        <f aca="false">VLOOKUP($A348,'[2]Sheet 1'!$A$2:$Q$3504,15,FALSE())</f>
        <v>#N/A</v>
      </c>
      <c r="P348" s="0" t="e">
        <f aca="false">VLOOKUP($A348,'[2]Sheet 1'!$A$2:$Q$3504,16,FALSE())</f>
        <v>#N/A</v>
      </c>
      <c r="Q348" s="0" t="e">
        <f aca="false">VLOOKUP($A348,'[2]Sheet 1'!$A$2:$Q$3504,17,FALSE())</f>
        <v>#N/A</v>
      </c>
      <c r="S348" s="5"/>
    </row>
    <row r="349" customFormat="false" ht="14.25" hidden="false" customHeight="false" outlineLevel="0" collapsed="false">
      <c r="A349" s="5" t="n">
        <v>853</v>
      </c>
      <c r="B349" s="5" t="s">
        <v>838</v>
      </c>
      <c r="C349" s="5" t="n">
        <v>100</v>
      </c>
      <c r="D349" s="0" t="e">
        <f aca="false">VLOOKUP($A349,'[2]Sheet 1'!$A$2:$Q$3504,4,FALSE())</f>
        <v>#N/A</v>
      </c>
      <c r="E349" s="0" t="e">
        <f aca="false">VLOOKUP($A349,'[2]Sheet 1'!$A$2:$Q$3504,5,FALSE())</f>
        <v>#N/A</v>
      </c>
      <c r="F349" s="0" t="e">
        <f aca="false">VLOOKUP($A349,'[2]Sheet 1'!$A$2:$Q$3504,6,FALSE())</f>
        <v>#N/A</v>
      </c>
      <c r="G349" s="0" t="e">
        <f aca="false">VLOOKUP($A349,'[2]Sheet 1'!$A$2:$Q$3504,7,FALSE())</f>
        <v>#N/A</v>
      </c>
      <c r="H349" s="0" t="e">
        <f aca="false">VLOOKUP($A349,'[2]Sheet 1'!$A$2:$Q$3504,8,FALSE())</f>
        <v>#N/A</v>
      </c>
      <c r="I349" s="0" t="e">
        <f aca="false">VLOOKUP($A349,'[2]Sheet 1'!$A$2:$Q$3504,9,FALSE())</f>
        <v>#N/A</v>
      </c>
      <c r="J349" s="0" t="e">
        <f aca="false">VLOOKUP($A349,'[2]Sheet 1'!$A$2:$Q$3504,10,FALSE())</f>
        <v>#N/A</v>
      </c>
      <c r="K349" s="0" t="e">
        <f aca="false">VLOOKUP($A349,'[2]Sheet 1'!$A$2:$Q$3504,11,FALSE())</f>
        <v>#N/A</v>
      </c>
      <c r="L349" s="0" t="e">
        <f aca="false">VLOOKUP($A349,'[2]Sheet 1'!$A$2:$Q$3504,12,FALSE())</f>
        <v>#N/A</v>
      </c>
      <c r="M349" s="0" t="e">
        <f aca="false">VLOOKUP($A349,'[2]Sheet 1'!$A$2:$Q$3504,13,FALSE())</f>
        <v>#N/A</v>
      </c>
      <c r="N349" s="0" t="e">
        <f aca="false">VLOOKUP($A349,'[2]Sheet 1'!$A$2:$Q$3504,14,FALSE())</f>
        <v>#N/A</v>
      </c>
      <c r="O349" s="0" t="e">
        <f aca="false">VLOOKUP($A349,'[2]Sheet 1'!$A$2:$Q$3504,15,FALSE())</f>
        <v>#N/A</v>
      </c>
      <c r="P349" s="0" t="e">
        <f aca="false">VLOOKUP($A349,'[2]Sheet 1'!$A$2:$Q$3504,16,FALSE())</f>
        <v>#N/A</v>
      </c>
      <c r="Q349" s="0" t="e">
        <f aca="false">VLOOKUP($A349,'[2]Sheet 1'!$A$2:$Q$3504,17,FALSE())</f>
        <v>#N/A</v>
      </c>
      <c r="S349" s="5"/>
    </row>
    <row r="350" customFormat="false" ht="14.25" hidden="false" customHeight="false" outlineLevel="0" collapsed="false">
      <c r="A350" s="5" t="n">
        <v>855</v>
      </c>
      <c r="B350" s="5" t="s">
        <v>840</v>
      </c>
      <c r="C350" s="5" t="n">
        <v>0</v>
      </c>
      <c r="D350" s="0" t="e">
        <f aca="false">VLOOKUP($A350,'[2]Sheet 1'!$A$2:$Q$3504,4,FALSE())</f>
        <v>#N/A</v>
      </c>
      <c r="E350" s="0" t="e">
        <f aca="false">VLOOKUP($A350,'[2]Sheet 1'!$A$2:$Q$3504,5,FALSE())</f>
        <v>#N/A</v>
      </c>
      <c r="F350" s="0" t="e">
        <f aca="false">VLOOKUP($A350,'[2]Sheet 1'!$A$2:$Q$3504,6,FALSE())</f>
        <v>#N/A</v>
      </c>
      <c r="G350" s="0" t="e">
        <f aca="false">VLOOKUP($A350,'[2]Sheet 1'!$A$2:$Q$3504,7,FALSE())</f>
        <v>#N/A</v>
      </c>
      <c r="H350" s="0" t="e">
        <f aca="false">VLOOKUP($A350,'[2]Sheet 1'!$A$2:$Q$3504,8,FALSE())</f>
        <v>#N/A</v>
      </c>
      <c r="I350" s="0" t="e">
        <f aca="false">VLOOKUP($A350,'[2]Sheet 1'!$A$2:$Q$3504,9,FALSE())</f>
        <v>#N/A</v>
      </c>
      <c r="J350" s="0" t="e">
        <f aca="false">VLOOKUP($A350,'[2]Sheet 1'!$A$2:$Q$3504,10,FALSE())</f>
        <v>#N/A</v>
      </c>
      <c r="K350" s="0" t="e">
        <f aca="false">VLOOKUP($A350,'[2]Sheet 1'!$A$2:$Q$3504,11,FALSE())</f>
        <v>#N/A</v>
      </c>
      <c r="L350" s="0" t="e">
        <f aca="false">VLOOKUP($A350,'[2]Sheet 1'!$A$2:$Q$3504,12,FALSE())</f>
        <v>#N/A</v>
      </c>
      <c r="M350" s="0" t="e">
        <f aca="false">VLOOKUP($A350,'[2]Sheet 1'!$A$2:$Q$3504,13,FALSE())</f>
        <v>#N/A</v>
      </c>
      <c r="N350" s="0" t="e">
        <f aca="false">VLOOKUP($A350,'[2]Sheet 1'!$A$2:$Q$3504,14,FALSE())</f>
        <v>#N/A</v>
      </c>
      <c r="O350" s="0" t="e">
        <f aca="false">VLOOKUP($A350,'[2]Sheet 1'!$A$2:$Q$3504,15,FALSE())</f>
        <v>#N/A</v>
      </c>
      <c r="P350" s="0" t="e">
        <f aca="false">VLOOKUP($A350,'[2]Sheet 1'!$A$2:$Q$3504,16,FALSE())</f>
        <v>#N/A</v>
      </c>
      <c r="Q350" s="0" t="e">
        <f aca="false">VLOOKUP($A350,'[2]Sheet 1'!$A$2:$Q$3504,17,FALSE())</f>
        <v>#N/A</v>
      </c>
      <c r="S350" s="5"/>
    </row>
    <row r="351" customFormat="false" ht="14.25" hidden="false" customHeight="false" outlineLevel="0" collapsed="false">
      <c r="A351" s="5" t="n">
        <v>858</v>
      </c>
      <c r="B351" s="5" t="s">
        <v>841</v>
      </c>
      <c r="C351" s="5" t="n">
        <v>0</v>
      </c>
      <c r="D351" s="0" t="e">
        <f aca="false">VLOOKUP($A351,'[2]Sheet 1'!$A$2:$Q$3504,4,FALSE())</f>
        <v>#N/A</v>
      </c>
      <c r="E351" s="0" t="e">
        <f aca="false">VLOOKUP($A351,'[2]Sheet 1'!$A$2:$Q$3504,5,FALSE())</f>
        <v>#N/A</v>
      </c>
      <c r="F351" s="0" t="e">
        <f aca="false">VLOOKUP($A351,'[2]Sheet 1'!$A$2:$Q$3504,6,FALSE())</f>
        <v>#N/A</v>
      </c>
      <c r="G351" s="0" t="e">
        <f aca="false">VLOOKUP($A351,'[2]Sheet 1'!$A$2:$Q$3504,7,FALSE())</f>
        <v>#N/A</v>
      </c>
      <c r="H351" s="0" t="e">
        <f aca="false">VLOOKUP($A351,'[2]Sheet 1'!$A$2:$Q$3504,8,FALSE())</f>
        <v>#N/A</v>
      </c>
      <c r="I351" s="0" t="e">
        <f aca="false">VLOOKUP($A351,'[2]Sheet 1'!$A$2:$Q$3504,9,FALSE())</f>
        <v>#N/A</v>
      </c>
      <c r="J351" s="0" t="e">
        <f aca="false">VLOOKUP($A351,'[2]Sheet 1'!$A$2:$Q$3504,10,FALSE())</f>
        <v>#N/A</v>
      </c>
      <c r="K351" s="0" t="e">
        <f aca="false">VLOOKUP($A351,'[2]Sheet 1'!$A$2:$Q$3504,11,FALSE())</f>
        <v>#N/A</v>
      </c>
      <c r="L351" s="0" t="e">
        <f aca="false">VLOOKUP($A351,'[2]Sheet 1'!$A$2:$Q$3504,12,FALSE())</f>
        <v>#N/A</v>
      </c>
      <c r="M351" s="0" t="e">
        <f aca="false">VLOOKUP($A351,'[2]Sheet 1'!$A$2:$Q$3504,13,FALSE())</f>
        <v>#N/A</v>
      </c>
      <c r="N351" s="0" t="e">
        <f aca="false">VLOOKUP($A351,'[2]Sheet 1'!$A$2:$Q$3504,14,FALSE())</f>
        <v>#N/A</v>
      </c>
      <c r="O351" s="0" t="e">
        <f aca="false">VLOOKUP($A351,'[2]Sheet 1'!$A$2:$Q$3504,15,FALSE())</f>
        <v>#N/A</v>
      </c>
      <c r="P351" s="0" t="e">
        <f aca="false">VLOOKUP($A351,'[2]Sheet 1'!$A$2:$Q$3504,16,FALSE())</f>
        <v>#N/A</v>
      </c>
      <c r="Q351" s="0" t="e">
        <f aca="false">VLOOKUP($A351,'[2]Sheet 1'!$A$2:$Q$3504,17,FALSE())</f>
        <v>#N/A</v>
      </c>
      <c r="S351" s="5"/>
    </row>
    <row r="352" customFormat="false" ht="14.25" hidden="false" customHeight="false" outlineLevel="0" collapsed="false">
      <c r="A352" s="5" t="n">
        <v>859</v>
      </c>
      <c r="B352" s="5" t="s">
        <v>843</v>
      </c>
      <c r="C352" s="5" t="n">
        <v>86</v>
      </c>
      <c r="D352" s="0" t="e">
        <f aca="false">VLOOKUP($A352,'[2]Sheet 1'!$A$2:$Q$3504,4,FALSE())</f>
        <v>#N/A</v>
      </c>
      <c r="E352" s="0" t="e">
        <f aca="false">VLOOKUP($A352,'[2]Sheet 1'!$A$2:$Q$3504,5,FALSE())</f>
        <v>#N/A</v>
      </c>
      <c r="F352" s="0" t="e">
        <f aca="false">VLOOKUP($A352,'[2]Sheet 1'!$A$2:$Q$3504,6,FALSE())</f>
        <v>#N/A</v>
      </c>
      <c r="G352" s="0" t="e">
        <f aca="false">VLOOKUP($A352,'[2]Sheet 1'!$A$2:$Q$3504,7,FALSE())</f>
        <v>#N/A</v>
      </c>
      <c r="H352" s="0" t="e">
        <f aca="false">VLOOKUP($A352,'[2]Sheet 1'!$A$2:$Q$3504,8,FALSE())</f>
        <v>#N/A</v>
      </c>
      <c r="I352" s="0" t="e">
        <f aca="false">VLOOKUP($A352,'[2]Sheet 1'!$A$2:$Q$3504,9,FALSE())</f>
        <v>#N/A</v>
      </c>
      <c r="J352" s="0" t="e">
        <f aca="false">VLOOKUP($A352,'[2]Sheet 1'!$A$2:$Q$3504,10,FALSE())</f>
        <v>#N/A</v>
      </c>
      <c r="K352" s="0" t="e">
        <f aca="false">VLOOKUP($A352,'[2]Sheet 1'!$A$2:$Q$3504,11,FALSE())</f>
        <v>#N/A</v>
      </c>
      <c r="L352" s="0" t="e">
        <f aca="false">VLOOKUP($A352,'[2]Sheet 1'!$A$2:$Q$3504,12,FALSE())</f>
        <v>#N/A</v>
      </c>
      <c r="M352" s="0" t="e">
        <f aca="false">VLOOKUP($A352,'[2]Sheet 1'!$A$2:$Q$3504,13,FALSE())</f>
        <v>#N/A</v>
      </c>
      <c r="N352" s="0" t="e">
        <f aca="false">VLOOKUP($A352,'[2]Sheet 1'!$A$2:$Q$3504,14,FALSE())</f>
        <v>#N/A</v>
      </c>
      <c r="O352" s="0" t="e">
        <f aca="false">VLOOKUP($A352,'[2]Sheet 1'!$A$2:$Q$3504,15,FALSE())</f>
        <v>#N/A</v>
      </c>
      <c r="P352" s="0" t="e">
        <f aca="false">VLOOKUP($A352,'[2]Sheet 1'!$A$2:$Q$3504,16,FALSE())</f>
        <v>#N/A</v>
      </c>
      <c r="Q352" s="0" t="e">
        <f aca="false">VLOOKUP($A352,'[2]Sheet 1'!$A$2:$Q$3504,17,FALSE())</f>
        <v>#N/A</v>
      </c>
      <c r="S352" s="5"/>
    </row>
    <row r="353" customFormat="false" ht="14.25" hidden="false" customHeight="false" outlineLevel="0" collapsed="false">
      <c r="A353" s="5" t="n">
        <v>862</v>
      </c>
      <c r="B353" s="5" t="s">
        <v>845</v>
      </c>
      <c r="C353" s="5" t="n">
        <v>90</v>
      </c>
      <c r="D353" s="0" t="e">
        <f aca="false">VLOOKUP($A353,'[2]Sheet 1'!$A$2:$Q$3504,4,FALSE())</f>
        <v>#N/A</v>
      </c>
      <c r="E353" s="0" t="e">
        <f aca="false">VLOOKUP($A353,'[2]Sheet 1'!$A$2:$Q$3504,5,FALSE())</f>
        <v>#N/A</v>
      </c>
      <c r="F353" s="0" t="e">
        <f aca="false">VLOOKUP($A353,'[2]Sheet 1'!$A$2:$Q$3504,6,FALSE())</f>
        <v>#N/A</v>
      </c>
      <c r="G353" s="0" t="e">
        <f aca="false">VLOOKUP($A353,'[2]Sheet 1'!$A$2:$Q$3504,7,FALSE())</f>
        <v>#N/A</v>
      </c>
      <c r="H353" s="0" t="e">
        <f aca="false">VLOOKUP($A353,'[2]Sheet 1'!$A$2:$Q$3504,8,FALSE())</f>
        <v>#N/A</v>
      </c>
      <c r="I353" s="0" t="e">
        <f aca="false">VLOOKUP($A353,'[2]Sheet 1'!$A$2:$Q$3504,9,FALSE())</f>
        <v>#N/A</v>
      </c>
      <c r="J353" s="0" t="e">
        <f aca="false">VLOOKUP($A353,'[2]Sheet 1'!$A$2:$Q$3504,10,FALSE())</f>
        <v>#N/A</v>
      </c>
      <c r="K353" s="0" t="e">
        <f aca="false">VLOOKUP($A353,'[2]Sheet 1'!$A$2:$Q$3504,11,FALSE())</f>
        <v>#N/A</v>
      </c>
      <c r="L353" s="0" t="e">
        <f aca="false">VLOOKUP($A353,'[2]Sheet 1'!$A$2:$Q$3504,12,FALSE())</f>
        <v>#N/A</v>
      </c>
      <c r="M353" s="0" t="e">
        <f aca="false">VLOOKUP($A353,'[2]Sheet 1'!$A$2:$Q$3504,13,FALSE())</f>
        <v>#N/A</v>
      </c>
      <c r="N353" s="0" t="e">
        <f aca="false">VLOOKUP($A353,'[2]Sheet 1'!$A$2:$Q$3504,14,FALSE())</f>
        <v>#N/A</v>
      </c>
      <c r="O353" s="0" t="e">
        <f aca="false">VLOOKUP($A353,'[2]Sheet 1'!$A$2:$Q$3504,15,FALSE())</f>
        <v>#N/A</v>
      </c>
      <c r="P353" s="0" t="e">
        <f aca="false">VLOOKUP($A353,'[2]Sheet 1'!$A$2:$Q$3504,16,FALSE())</f>
        <v>#N/A</v>
      </c>
      <c r="Q353" s="0" t="e">
        <f aca="false">VLOOKUP($A353,'[2]Sheet 1'!$A$2:$Q$3504,17,FALSE())</f>
        <v>#N/A</v>
      </c>
      <c r="S353" s="5"/>
    </row>
    <row r="354" customFormat="false" ht="14.25" hidden="false" customHeight="false" outlineLevel="0" collapsed="false">
      <c r="A354" s="5" t="n">
        <v>866</v>
      </c>
      <c r="B354" s="5" t="s">
        <v>847</v>
      </c>
      <c r="C354" s="5" t="n">
        <v>0</v>
      </c>
      <c r="D354" s="0" t="e">
        <f aca="false">VLOOKUP($A354,'[2]Sheet 1'!$A$2:$Q$3504,4,FALSE())</f>
        <v>#N/A</v>
      </c>
      <c r="E354" s="0" t="e">
        <f aca="false">VLOOKUP($A354,'[2]Sheet 1'!$A$2:$Q$3504,5,FALSE())</f>
        <v>#N/A</v>
      </c>
      <c r="F354" s="0" t="e">
        <f aca="false">VLOOKUP($A354,'[2]Sheet 1'!$A$2:$Q$3504,6,FALSE())</f>
        <v>#N/A</v>
      </c>
      <c r="G354" s="0" t="e">
        <f aca="false">VLOOKUP($A354,'[2]Sheet 1'!$A$2:$Q$3504,7,FALSE())</f>
        <v>#N/A</v>
      </c>
      <c r="H354" s="0" t="e">
        <f aca="false">VLOOKUP($A354,'[2]Sheet 1'!$A$2:$Q$3504,8,FALSE())</f>
        <v>#N/A</v>
      </c>
      <c r="I354" s="0" t="e">
        <f aca="false">VLOOKUP($A354,'[2]Sheet 1'!$A$2:$Q$3504,9,FALSE())</f>
        <v>#N/A</v>
      </c>
      <c r="J354" s="0" t="e">
        <f aca="false">VLOOKUP($A354,'[2]Sheet 1'!$A$2:$Q$3504,10,FALSE())</f>
        <v>#N/A</v>
      </c>
      <c r="K354" s="0" t="e">
        <f aca="false">VLOOKUP($A354,'[2]Sheet 1'!$A$2:$Q$3504,11,FALSE())</f>
        <v>#N/A</v>
      </c>
      <c r="L354" s="0" t="e">
        <f aca="false">VLOOKUP($A354,'[2]Sheet 1'!$A$2:$Q$3504,12,FALSE())</f>
        <v>#N/A</v>
      </c>
      <c r="M354" s="0" t="e">
        <f aca="false">VLOOKUP($A354,'[2]Sheet 1'!$A$2:$Q$3504,13,FALSE())</f>
        <v>#N/A</v>
      </c>
      <c r="N354" s="0" t="e">
        <f aca="false">VLOOKUP($A354,'[2]Sheet 1'!$A$2:$Q$3504,14,FALSE())</f>
        <v>#N/A</v>
      </c>
      <c r="O354" s="0" t="e">
        <f aca="false">VLOOKUP($A354,'[2]Sheet 1'!$A$2:$Q$3504,15,FALSE())</f>
        <v>#N/A</v>
      </c>
      <c r="P354" s="0" t="e">
        <f aca="false">VLOOKUP($A354,'[2]Sheet 1'!$A$2:$Q$3504,16,FALSE())</f>
        <v>#N/A</v>
      </c>
      <c r="Q354" s="0" t="e">
        <f aca="false">VLOOKUP($A354,'[2]Sheet 1'!$A$2:$Q$3504,17,FALSE())</f>
        <v>#N/A</v>
      </c>
      <c r="S354" s="5"/>
    </row>
    <row r="355" customFormat="false" ht="14.25" hidden="false" customHeight="false" outlineLevel="0" collapsed="false">
      <c r="A355" s="5" t="n">
        <v>867</v>
      </c>
      <c r="B355" s="5" t="s">
        <v>851</v>
      </c>
      <c r="C355" s="5" t="n">
        <v>45</v>
      </c>
      <c r="D355" s="0" t="n">
        <f aca="false">VLOOKUP($A355,'[2]Sheet 1'!$A$2:$Q$3504,4,FALSE())</f>
        <v>130.85</v>
      </c>
      <c r="E355" s="0" t="n">
        <f aca="false">VLOOKUP($A355,'[2]Sheet 1'!$A$2:$Q$3504,5,FALSE())</f>
        <v>20</v>
      </c>
      <c r="F355" s="0" t="n">
        <f aca="false">VLOOKUP($A355,'[2]Sheet 1'!$A$2:$Q$3504,6,FALSE())</f>
        <v>0</v>
      </c>
      <c r="G355" s="0" t="n">
        <f aca="false">VLOOKUP($A355,'[2]Sheet 1'!$A$2:$Q$3504,7,FALSE())</f>
        <v>4.295</v>
      </c>
      <c r="H355" s="0" t="n">
        <f aca="false">VLOOKUP($A355,'[2]Sheet 1'!$A$2:$Q$3504,8,FALSE())</f>
        <v>2.45</v>
      </c>
      <c r="I355" s="0" t="n">
        <f aca="false">VLOOKUP($A355,'[2]Sheet 1'!$A$2:$Q$3504,9,FALSE())</f>
        <v>8</v>
      </c>
      <c r="J355" s="0" t="n">
        <f aca="false">VLOOKUP($A355,'[2]Sheet 1'!$A$2:$Q$3504,10,FALSE())</f>
        <v>7</v>
      </c>
      <c r="K355" s="0" t="n">
        <f aca="false">VLOOKUP($A355,'[2]Sheet 1'!$A$2:$Q$3504,11,FALSE())</f>
        <v>0.18</v>
      </c>
      <c r="L355" s="0" t="n">
        <f aca="false">VLOOKUP($A355,'[2]Sheet 1'!$A$2:$Q$3504,12,FALSE())</f>
        <v>0</v>
      </c>
      <c r="M355" s="0" t="n">
        <f aca="false">VLOOKUP($A355,'[2]Sheet 1'!$A$2:$Q$3504,13,FALSE())</f>
        <v>325</v>
      </c>
      <c r="N355" s="0" t="n">
        <f aca="false">VLOOKUP($A355,'[2]Sheet 1'!$A$2:$Q$3504,14,FALSE())</f>
        <v>0.268147031084254</v>
      </c>
      <c r="O355" s="0" t="n">
        <f aca="false">VLOOKUP($A355,'[2]Sheet 1'!$A$2:$Q$3504,15,FALSE())</f>
        <v>1.5969321383876</v>
      </c>
      <c r="P355" s="0" t="n">
        <f aca="false">VLOOKUP($A355,'[2]Sheet 1'!$A$2:$Q$3504,16,FALSE())</f>
        <v>1.06374802268471</v>
      </c>
      <c r="Q355" s="0" t="n">
        <f aca="false">VLOOKUP($A355,'[2]Sheet 1'!$A$2:$Q$3504,17,FALSE())</f>
        <v>0</v>
      </c>
      <c r="S355" s="5"/>
    </row>
    <row r="356" customFormat="false" ht="14.25" hidden="false" customHeight="false" outlineLevel="0" collapsed="false">
      <c r="A356" s="5" t="n">
        <v>868</v>
      </c>
      <c r="B356" s="5" t="s">
        <v>854</v>
      </c>
      <c r="C356" s="5" t="n">
        <v>50</v>
      </c>
      <c r="D356" s="0" t="n">
        <f aca="false">VLOOKUP($A356,'[2]Sheet 1'!$A$2:$Q$3504,4,FALSE())</f>
        <v>133.25</v>
      </c>
      <c r="E356" s="0" t="n">
        <f aca="false">VLOOKUP($A356,'[2]Sheet 1'!$A$2:$Q$3504,5,FALSE())</f>
        <v>15.85</v>
      </c>
      <c r="F356" s="0" t="n">
        <f aca="false">VLOOKUP($A356,'[2]Sheet 1'!$A$2:$Q$3504,6,FALSE())</f>
        <v>0</v>
      </c>
      <c r="G356" s="0" t="n">
        <f aca="false">VLOOKUP($A356,'[2]Sheet 1'!$A$2:$Q$3504,7,FALSE())</f>
        <v>2.395</v>
      </c>
      <c r="H356" s="0" t="n">
        <f aca="false">VLOOKUP($A356,'[2]Sheet 1'!$A$2:$Q$3504,8,FALSE())</f>
        <v>4.7</v>
      </c>
      <c r="I356" s="0" t="n">
        <f aca="false">VLOOKUP($A356,'[2]Sheet 1'!$A$2:$Q$3504,9,FALSE())</f>
        <v>9</v>
      </c>
      <c r="J356" s="0" t="n">
        <f aca="false">VLOOKUP($A356,'[2]Sheet 1'!$A$2:$Q$3504,10,FALSE())</f>
        <v>5</v>
      </c>
      <c r="K356" s="0" t="n">
        <f aca="false">VLOOKUP($A356,'[2]Sheet 1'!$A$2:$Q$3504,11,FALSE())</f>
        <v>0.37</v>
      </c>
      <c r="L356" s="0" t="n">
        <f aca="false">VLOOKUP($A356,'[2]Sheet 1'!$A$2:$Q$3504,12,FALSE())</f>
        <v>264.05</v>
      </c>
      <c r="M356" s="0" t="n">
        <f aca="false">VLOOKUP($A356,'[2]Sheet 1'!$A$2:$Q$3504,13,FALSE())</f>
        <v>275</v>
      </c>
      <c r="N356" s="0" t="n">
        <f aca="false">VLOOKUP($A356,'[2]Sheet 1'!$A$2:$Q$3504,14,FALSE())</f>
        <v>0.51</v>
      </c>
      <c r="O356" s="0" t="n">
        <f aca="false">VLOOKUP($A356,'[2]Sheet 1'!$A$2:$Q$3504,15,FALSE())</f>
        <v>49.04</v>
      </c>
      <c r="P356" s="0" t="n">
        <f aca="false">VLOOKUP($A356,'[2]Sheet 1'!$A$2:$Q$3504,16,FALSE())</f>
        <v>3.3</v>
      </c>
      <c r="Q356" s="0" t="n">
        <f aca="false">VLOOKUP($A356,'[2]Sheet 1'!$A$2:$Q$3504,17,FALSE())</f>
        <v>30</v>
      </c>
      <c r="S356" s="5"/>
    </row>
    <row r="357" customFormat="false" ht="14.25" hidden="false" customHeight="false" outlineLevel="0" collapsed="false">
      <c r="A357" s="5" t="n">
        <v>869</v>
      </c>
      <c r="B357" s="5" t="s">
        <v>857</v>
      </c>
      <c r="C357" s="5" t="n">
        <v>100</v>
      </c>
      <c r="D357" s="0" t="n">
        <f aca="false">VLOOKUP($A357,'[2]Sheet 1'!$A$2:$Q$3504,4,FALSE())</f>
        <v>899.1</v>
      </c>
      <c r="E357" s="0" t="n">
        <f aca="false">VLOOKUP($A357,'[2]Sheet 1'!$A$2:$Q$3504,5,FALSE())</f>
        <v>0</v>
      </c>
      <c r="F357" s="0" t="n">
        <f aca="false">VLOOKUP($A357,'[2]Sheet 1'!$A$2:$Q$3504,6,FALSE())</f>
        <v>0</v>
      </c>
      <c r="G357" s="0" t="n">
        <f aca="false">VLOOKUP($A357,'[2]Sheet 1'!$A$2:$Q$3504,7,FALSE())</f>
        <v>0</v>
      </c>
      <c r="H357" s="0" t="n">
        <f aca="false">VLOOKUP($A357,'[2]Sheet 1'!$A$2:$Q$3504,8,FALSE())</f>
        <v>0</v>
      </c>
      <c r="I357" s="0" t="n">
        <f aca="false">VLOOKUP($A357,'[2]Sheet 1'!$A$2:$Q$3504,9,FALSE())</f>
        <v>0</v>
      </c>
      <c r="J357" s="0" t="n">
        <f aca="false">VLOOKUP($A357,'[2]Sheet 1'!$A$2:$Q$3504,10,FALSE())</f>
        <v>0</v>
      </c>
      <c r="K357" s="0" t="n">
        <f aca="false">VLOOKUP($A357,'[2]Sheet 1'!$A$2:$Q$3504,11,FALSE())</f>
        <v>0</v>
      </c>
      <c r="L357" s="0" t="n">
        <f aca="false">VLOOKUP($A357,'[2]Sheet 1'!$A$2:$Q$3504,12,FALSE())</f>
        <v>79.8</v>
      </c>
      <c r="M357" s="0" t="n">
        <f aca="false">VLOOKUP($A357,'[2]Sheet 1'!$A$2:$Q$3504,13,FALSE())</f>
        <v>0</v>
      </c>
      <c r="N357" s="0" t="n">
        <f aca="false">VLOOKUP($A357,'[2]Sheet 1'!$A$2:$Q$3504,14,FALSE())</f>
        <v>2.58254523416268</v>
      </c>
      <c r="O357" s="0" t="n">
        <f aca="false">VLOOKUP($A357,'[2]Sheet 1'!$A$2:$Q$3504,15,FALSE())</f>
        <v>0</v>
      </c>
      <c r="P357" s="0" t="n">
        <f aca="false">VLOOKUP($A357,'[2]Sheet 1'!$A$2:$Q$3504,16,FALSE())</f>
        <v>0</v>
      </c>
      <c r="Q357" s="0" t="n">
        <f aca="false">VLOOKUP($A357,'[2]Sheet 1'!$A$2:$Q$3504,17,FALSE())</f>
        <v>0</v>
      </c>
      <c r="S357" s="5"/>
    </row>
    <row r="358" customFormat="false" ht="14.25" hidden="false" customHeight="false" outlineLevel="0" collapsed="false">
      <c r="A358" s="5" t="n">
        <v>870</v>
      </c>
      <c r="B358" s="5" t="s">
        <v>1232</v>
      </c>
      <c r="C358" s="5" t="n">
        <v>45</v>
      </c>
      <c r="D358" s="0" t="n">
        <f aca="false">VLOOKUP($A358,'[2]Sheet 1'!$A$2:$Q$3504,4,FALSE())</f>
        <v>173</v>
      </c>
      <c r="E358" s="0" t="n">
        <f aca="false">VLOOKUP($A358,'[2]Sheet 1'!$A$2:$Q$3504,5,FALSE())</f>
        <v>22.24</v>
      </c>
      <c r="F358" s="0" t="n">
        <f aca="false">VLOOKUP($A358,'[2]Sheet 1'!$A$2:$Q$3504,6,FALSE())</f>
        <v>0</v>
      </c>
      <c r="G358" s="0" t="n">
        <f aca="false">VLOOKUP($A358,'[2]Sheet 1'!$A$2:$Q$3504,7,FALSE())</f>
        <v>2.8</v>
      </c>
      <c r="H358" s="0" t="n">
        <f aca="false">VLOOKUP($A358,'[2]Sheet 1'!$A$2:$Q$3504,8,FALSE())</f>
        <v>2.04</v>
      </c>
      <c r="I358" s="0" t="n">
        <f aca="false">VLOOKUP($A358,'[2]Sheet 1'!$A$2:$Q$3504,9,FALSE())</f>
        <v>3</v>
      </c>
      <c r="J358" s="0" t="n">
        <f aca="false">VLOOKUP($A358,'[2]Sheet 1'!$A$2:$Q$3504,10,FALSE())</f>
        <v>9</v>
      </c>
      <c r="K358" s="0" t="n">
        <f aca="false">VLOOKUP($A358,'[2]Sheet 1'!$A$2:$Q$3504,11,FALSE())</f>
        <v>0.18</v>
      </c>
      <c r="L358" s="0" t="n">
        <f aca="false">VLOOKUP($A358,'[2]Sheet 1'!$A$2:$Q$3504,12,FALSE())</f>
        <v>92.9</v>
      </c>
      <c r="M358" s="0" t="n">
        <f aca="false">VLOOKUP($A358,'[2]Sheet 1'!$A$2:$Q$3504,13,FALSE())</f>
        <v>371</v>
      </c>
      <c r="N358" s="0" t="n">
        <f aca="false">VLOOKUP($A358,'[2]Sheet 1'!$A$2:$Q$3504,14,FALSE())</f>
        <v>0</v>
      </c>
      <c r="O358" s="0" t="n">
        <f aca="false">VLOOKUP($A358,'[2]Sheet 1'!$A$2:$Q$3504,15,FALSE())</f>
        <v>2.79</v>
      </c>
      <c r="P358" s="0" t="n">
        <f aca="false">VLOOKUP($A358,'[2]Sheet 1'!$A$2:$Q$3504,16,FALSE())</f>
        <v>0</v>
      </c>
      <c r="Q358" s="0" t="n">
        <f aca="false">VLOOKUP($A358,'[2]Sheet 1'!$A$2:$Q$3504,17,FALSE())</f>
        <v>0</v>
      </c>
      <c r="S358" s="5"/>
    </row>
    <row r="359" customFormat="false" ht="14.25" hidden="false" customHeight="false" outlineLevel="0" collapsed="false">
      <c r="A359" s="5" t="n">
        <v>874</v>
      </c>
      <c r="B359" s="5" t="s">
        <v>862</v>
      </c>
      <c r="C359" s="5" t="n">
        <v>50</v>
      </c>
      <c r="D359" s="0" t="n">
        <f aca="false">VLOOKUP($A359,'[2]Sheet 1'!$A$2:$Q$3504,4,FALSE())</f>
        <v>312</v>
      </c>
      <c r="E359" s="0" t="n">
        <f aca="false">VLOOKUP($A359,'[2]Sheet 1'!$A$2:$Q$3504,5,FALSE())</f>
        <v>14.11</v>
      </c>
      <c r="F359" s="0" t="n">
        <f aca="false">VLOOKUP($A359,'[2]Sheet 1'!$A$2:$Q$3504,6,FALSE())</f>
        <v>0</v>
      </c>
      <c r="G359" s="0" t="n">
        <f aca="false">VLOOKUP($A359,'[2]Sheet 1'!$A$2:$Q$3504,7,FALSE())</f>
        <v>2.8</v>
      </c>
      <c r="H359" s="0" t="n">
        <f aca="false">VLOOKUP($A359,'[2]Sheet 1'!$A$2:$Q$3504,8,FALSE())</f>
        <v>1.76</v>
      </c>
      <c r="I359" s="0" t="n">
        <f aca="false">VLOOKUP($A359,'[2]Sheet 1'!$A$2:$Q$3504,9,FALSE())</f>
        <v>7</v>
      </c>
      <c r="J359" s="0" t="n">
        <f aca="false">VLOOKUP($A359,'[2]Sheet 1'!$A$2:$Q$3504,10,FALSE())</f>
        <v>4</v>
      </c>
      <c r="K359" s="0" t="n">
        <f aca="false">VLOOKUP($A359,'[2]Sheet 1'!$A$2:$Q$3504,11,FALSE())</f>
        <v>0.14</v>
      </c>
      <c r="L359" s="0" t="n">
        <f aca="false">VLOOKUP($A359,'[2]Sheet 1'!$A$2:$Q$3504,12,FALSE())</f>
        <v>0</v>
      </c>
      <c r="M359" s="0" t="n">
        <f aca="false">VLOOKUP($A359,'[2]Sheet 1'!$A$2:$Q$3504,13,FALSE())</f>
        <v>176</v>
      </c>
      <c r="N359" s="0" t="n">
        <f aca="false">VLOOKUP($A359,'[2]Sheet 1'!$A$2:$Q$3504,14,FALSE())</f>
        <v>0</v>
      </c>
      <c r="O359" s="0" t="n">
        <f aca="false">VLOOKUP($A359,'[2]Sheet 1'!$A$2:$Q$3504,15,FALSE())</f>
        <v>1.86</v>
      </c>
      <c r="P359" s="0" t="n">
        <f aca="false">VLOOKUP($A359,'[2]Sheet 1'!$A$2:$Q$3504,16,FALSE())</f>
        <v>0</v>
      </c>
      <c r="Q359" s="0" t="n">
        <f aca="false">VLOOKUP($A359,'[2]Sheet 1'!$A$2:$Q$3504,17,FALSE())</f>
        <v>0</v>
      </c>
      <c r="S359" s="5"/>
    </row>
    <row r="360" customFormat="false" ht="14.25" hidden="false" customHeight="false" outlineLevel="0" collapsed="false">
      <c r="A360" s="5" t="n">
        <v>875</v>
      </c>
      <c r="B360" s="5" t="s">
        <v>864</v>
      </c>
      <c r="C360" s="5" t="n">
        <v>50</v>
      </c>
      <c r="D360" s="0" t="n">
        <f aca="false">VLOOKUP($A360,'[2]Sheet 1'!$A$2:$Q$3504,4,FALSE())</f>
        <v>295</v>
      </c>
      <c r="E360" s="0" t="n">
        <f aca="false">VLOOKUP($A360,'[2]Sheet 1'!$A$2:$Q$3504,5,FALSE())</f>
        <v>23.05</v>
      </c>
      <c r="F360" s="0" t="n">
        <f aca="false">VLOOKUP($A360,'[2]Sheet 1'!$A$2:$Q$3504,6,FALSE())</f>
        <v>0</v>
      </c>
      <c r="G360" s="0" t="n">
        <f aca="false">VLOOKUP($A360,'[2]Sheet 1'!$A$2:$Q$3504,7,FALSE())</f>
        <v>4.84</v>
      </c>
      <c r="H360" s="0" t="n">
        <f aca="false">VLOOKUP($A360,'[2]Sheet 1'!$A$2:$Q$3504,8,FALSE())</f>
        <v>2.42</v>
      </c>
      <c r="I360" s="0" t="n">
        <f aca="false">VLOOKUP($A360,'[2]Sheet 1'!$A$2:$Q$3504,9,FALSE())</f>
        <v>11</v>
      </c>
      <c r="J360" s="0" t="n">
        <f aca="false">VLOOKUP($A360,'[2]Sheet 1'!$A$2:$Q$3504,10,FALSE())</f>
        <v>21</v>
      </c>
      <c r="K360" s="0" t="n">
        <f aca="false">VLOOKUP($A360,'[2]Sheet 1'!$A$2:$Q$3504,11,FALSE())</f>
        <v>0.176</v>
      </c>
      <c r="L360" s="0" t="n">
        <f aca="false">VLOOKUP($A360,'[2]Sheet 1'!$A$2:$Q$3504,12,FALSE())</f>
        <v>74.6</v>
      </c>
      <c r="M360" s="0" t="n">
        <f aca="false">VLOOKUP($A360,'[2]Sheet 1'!$A$2:$Q$3504,13,FALSE())</f>
        <v>305</v>
      </c>
      <c r="N360" s="0" t="n">
        <f aca="false">VLOOKUP($A360,'[2]Sheet 1'!$A$2:$Q$3504,14,FALSE())</f>
        <v>0</v>
      </c>
      <c r="O360" s="0" t="n">
        <f aca="false">VLOOKUP($A360,'[2]Sheet 1'!$A$2:$Q$3504,15,FALSE())</f>
        <v>2.65</v>
      </c>
      <c r="P360" s="0" t="n">
        <f aca="false">VLOOKUP($A360,'[2]Sheet 1'!$A$2:$Q$3504,16,FALSE())</f>
        <v>2.3</v>
      </c>
      <c r="Q360" s="0" t="n">
        <f aca="false">VLOOKUP($A360,'[2]Sheet 1'!$A$2:$Q$3504,17,FALSE())</f>
        <v>0</v>
      </c>
      <c r="S360" s="5"/>
    </row>
    <row r="361" customFormat="false" ht="14.25" hidden="false" customHeight="false" outlineLevel="0" collapsed="false">
      <c r="A361" s="5" t="n">
        <v>882</v>
      </c>
      <c r="B361" s="5" t="s">
        <v>867</v>
      </c>
      <c r="C361" s="5" t="n">
        <v>13</v>
      </c>
      <c r="D361" s="0" t="n">
        <f aca="false">VLOOKUP($A361,'[2]Sheet 1'!$A$2:$Q$3504,4,FALSE())</f>
        <v>57.1</v>
      </c>
      <c r="E361" s="0" t="n">
        <f aca="false">VLOOKUP($A361,'[2]Sheet 1'!$A$2:$Q$3504,5,FALSE())</f>
        <v>3.25</v>
      </c>
      <c r="F361" s="0" t="n">
        <f aca="false">VLOOKUP($A361,'[2]Sheet 1'!$A$2:$Q$3504,6,FALSE())</f>
        <v>0</v>
      </c>
      <c r="G361" s="0" t="n">
        <f aca="false">VLOOKUP($A361,'[2]Sheet 1'!$A$2:$Q$3504,7,FALSE())</f>
        <v>0.38</v>
      </c>
      <c r="H361" s="0" t="n">
        <f aca="false">VLOOKUP($A361,'[2]Sheet 1'!$A$2:$Q$3504,8,FALSE())</f>
        <v>0.15740988</v>
      </c>
      <c r="I361" s="0" t="n">
        <f aca="false">VLOOKUP($A361,'[2]Sheet 1'!$A$2:$Q$3504,9,FALSE())</f>
        <v>116.5</v>
      </c>
      <c r="J361" s="0" t="n">
        <f aca="false">VLOOKUP($A361,'[2]Sheet 1'!$A$2:$Q$3504,10,FALSE())</f>
        <v>6.5</v>
      </c>
      <c r="K361" s="0" t="n">
        <f aca="false">VLOOKUP($A361,'[2]Sheet 1'!$A$2:$Q$3504,11,FALSE())</f>
        <v>0.0548197595</v>
      </c>
      <c r="L361" s="0" t="n">
        <f aca="false">VLOOKUP($A361,'[2]Sheet 1'!$A$2:$Q$3504,12,FALSE())</f>
        <v>7.997106487</v>
      </c>
      <c r="M361" s="0" t="n">
        <f aca="false">VLOOKUP($A361,'[2]Sheet 1'!$A$2:$Q$3504,13,FALSE())</f>
        <v>130</v>
      </c>
      <c r="N361" s="0" t="n">
        <f aca="false">VLOOKUP($A361,'[2]Sheet 1'!$A$2:$Q$3504,14,FALSE())</f>
        <v>0.07</v>
      </c>
      <c r="O361" s="0" t="n">
        <f aca="false">VLOOKUP($A361,'[2]Sheet 1'!$A$2:$Q$3504,15,FALSE())</f>
        <v>0.525</v>
      </c>
      <c r="P361" s="0" t="n">
        <f aca="false">VLOOKUP($A361,'[2]Sheet 1'!$A$2:$Q$3504,16,FALSE())</f>
        <v>0.3</v>
      </c>
      <c r="Q361" s="0" t="n">
        <f aca="false">VLOOKUP($A361,'[2]Sheet 1'!$A$2:$Q$3504,17,FALSE())</f>
        <v>32.17623498</v>
      </c>
      <c r="S361" s="5"/>
    </row>
    <row r="362" customFormat="false" ht="14.25" hidden="false" customHeight="false" outlineLevel="0" collapsed="false">
      <c r="A362" s="5" t="n">
        <v>885</v>
      </c>
      <c r="B362" s="5" t="s">
        <v>871</v>
      </c>
      <c r="C362" s="5" t="n">
        <v>40</v>
      </c>
      <c r="D362" s="0" t="n">
        <f aca="false">VLOOKUP($A362,'[2]Sheet 1'!$A$2:$Q$3504,4,FALSE())</f>
        <v>288.86</v>
      </c>
      <c r="E362" s="0" t="n">
        <f aca="false">VLOOKUP($A362,'[2]Sheet 1'!$A$2:$Q$3504,5,FALSE())</f>
        <v>2.25</v>
      </c>
      <c r="F362" s="0" t="n">
        <f aca="false">VLOOKUP($A362,'[2]Sheet 1'!$A$2:$Q$3504,6,FALSE())</f>
        <v>0</v>
      </c>
      <c r="G362" s="0" t="n">
        <f aca="false">VLOOKUP($A362,'[2]Sheet 1'!$A$2:$Q$3504,7,FALSE())</f>
        <v>0.23</v>
      </c>
      <c r="H362" s="0" t="n">
        <f aca="false">VLOOKUP($A362,'[2]Sheet 1'!$A$2:$Q$3504,8,FALSE())</f>
        <v>0.1</v>
      </c>
      <c r="I362" s="0" t="n">
        <f aca="false">VLOOKUP($A362,'[2]Sheet 1'!$A$2:$Q$3504,9,FALSE())</f>
        <v>67</v>
      </c>
      <c r="J362" s="0" t="n">
        <f aca="false">VLOOKUP($A362,'[2]Sheet 1'!$A$2:$Q$3504,10,FALSE())</f>
        <v>7.4</v>
      </c>
      <c r="K362" s="0" t="n">
        <f aca="false">VLOOKUP($A362,'[2]Sheet 1'!$A$2:$Q$3504,11,FALSE())</f>
        <v>0.14</v>
      </c>
      <c r="L362" s="0" t="n">
        <f aca="false">VLOOKUP($A362,'[2]Sheet 1'!$A$2:$Q$3504,12,FALSE())</f>
        <v>16.8</v>
      </c>
      <c r="M362" s="0" t="n">
        <f aca="false">VLOOKUP($A362,'[2]Sheet 1'!$A$2:$Q$3504,13,FALSE())</f>
        <v>84</v>
      </c>
      <c r="N362" s="0" t="n">
        <f aca="false">VLOOKUP($A362,'[2]Sheet 1'!$A$2:$Q$3504,14,FALSE())</f>
        <v>2.32</v>
      </c>
      <c r="O362" s="0" t="n">
        <f aca="false">VLOOKUP($A362,'[2]Sheet 1'!$A$2:$Q$3504,15,FALSE())</f>
        <v>0.305</v>
      </c>
      <c r="P362" s="0" t="n">
        <f aca="false">VLOOKUP($A362,'[2]Sheet 1'!$A$2:$Q$3504,16,FALSE())</f>
        <v>7</v>
      </c>
      <c r="Q362" s="0" t="n">
        <f aca="false">VLOOKUP($A362,'[2]Sheet 1'!$A$2:$Q$3504,17,FALSE())</f>
        <v>297</v>
      </c>
      <c r="S362" s="5"/>
    </row>
    <row r="363" customFormat="false" ht="14.25" hidden="false" customHeight="false" outlineLevel="0" collapsed="false">
      <c r="A363" s="5" t="n">
        <v>886</v>
      </c>
      <c r="B363" s="5" t="s">
        <v>873</v>
      </c>
      <c r="C363" s="5" t="n">
        <v>84.5</v>
      </c>
      <c r="D363" s="0" t="n">
        <f aca="false">VLOOKUP($A363,'[2]Sheet 1'!$A$2:$Q$3504,4,FALSE())</f>
        <v>743.75</v>
      </c>
      <c r="E363" s="0" t="n">
        <f aca="false">VLOOKUP($A363,'[2]Sheet 1'!$A$2:$Q$3504,5,FALSE())</f>
        <v>0.825</v>
      </c>
      <c r="F363" s="0" t="n">
        <f aca="false">VLOOKUP($A363,'[2]Sheet 1'!$A$2:$Q$3504,6,FALSE())</f>
        <v>0</v>
      </c>
      <c r="G363" s="0" t="n">
        <f aca="false">VLOOKUP($A363,'[2]Sheet 1'!$A$2:$Q$3504,7,FALSE())</f>
        <v>0.1</v>
      </c>
      <c r="H363" s="0" t="n">
        <f aca="false">VLOOKUP($A363,'[2]Sheet 1'!$A$2:$Q$3504,8,FALSE())</f>
        <v>0.2</v>
      </c>
      <c r="I363" s="0" t="n">
        <f aca="false">VLOOKUP($A363,'[2]Sheet 1'!$A$2:$Q$3504,9,FALSE())</f>
        <v>22</v>
      </c>
      <c r="J363" s="0" t="n">
        <f aca="false">VLOOKUP($A363,'[2]Sheet 1'!$A$2:$Q$3504,10,FALSE())</f>
        <v>3</v>
      </c>
      <c r="K363" s="0" t="n">
        <f aca="false">VLOOKUP($A363,'[2]Sheet 1'!$A$2:$Q$3504,11,FALSE())</f>
        <v>0.032</v>
      </c>
      <c r="L363" s="0" t="n">
        <f aca="false">VLOOKUP($A363,'[2]Sheet 1'!$A$2:$Q$3504,12,FALSE())</f>
        <v>18.8</v>
      </c>
      <c r="M363" s="0" t="n">
        <f aca="false">VLOOKUP($A363,'[2]Sheet 1'!$A$2:$Q$3504,13,FALSE())</f>
        <v>17</v>
      </c>
      <c r="N363" s="0" t="n">
        <f aca="false">VLOOKUP($A363,'[2]Sheet 1'!$A$2:$Q$3504,14,FALSE())</f>
        <v>2.32</v>
      </c>
      <c r="O363" s="0" t="n">
        <f aca="false">VLOOKUP($A363,'[2]Sheet 1'!$A$2:$Q$3504,15,FALSE())</f>
        <v>0.135</v>
      </c>
      <c r="P363" s="0" t="n">
        <f aca="false">VLOOKUP($A363,'[2]Sheet 1'!$A$2:$Q$3504,16,FALSE())</f>
        <v>7</v>
      </c>
      <c r="Q363" s="0" t="n">
        <f aca="false">VLOOKUP($A363,'[2]Sheet 1'!$A$2:$Q$3504,17,FALSE())</f>
        <v>685</v>
      </c>
      <c r="S363" s="5"/>
    </row>
    <row r="364" customFormat="false" ht="14.25" hidden="false" customHeight="false" outlineLevel="0" collapsed="false">
      <c r="A364" s="5" t="n">
        <v>888</v>
      </c>
      <c r="B364" s="5" t="s">
        <v>876</v>
      </c>
      <c r="C364" s="5" t="n">
        <v>10</v>
      </c>
      <c r="D364" s="0" t="n">
        <f aca="false">VLOOKUP($A364,'[2]Sheet 1'!$A$2:$Q$3504,4,FALSE())</f>
        <v>34</v>
      </c>
      <c r="E364" s="0" t="n">
        <f aca="false">VLOOKUP($A364,'[2]Sheet 1'!$A$2:$Q$3504,5,FALSE())</f>
        <v>3.37</v>
      </c>
      <c r="F364" s="0" t="n">
        <f aca="false">VLOOKUP($A364,'[2]Sheet 1'!$A$2:$Q$3504,6,FALSE())</f>
        <v>0</v>
      </c>
      <c r="G364" s="0" t="n">
        <f aca="false">VLOOKUP($A364,'[2]Sheet 1'!$A$2:$Q$3504,7,FALSE())</f>
        <v>0.42</v>
      </c>
      <c r="H364" s="0" t="n">
        <f aca="false">VLOOKUP($A364,'[2]Sheet 1'!$A$2:$Q$3504,8,FALSE())</f>
        <v>0.03</v>
      </c>
      <c r="I364" s="0" t="n">
        <f aca="false">VLOOKUP($A364,'[2]Sheet 1'!$A$2:$Q$3504,9,FALSE())</f>
        <v>122</v>
      </c>
      <c r="J364" s="0" t="n">
        <f aca="false">VLOOKUP($A364,'[2]Sheet 1'!$A$2:$Q$3504,10,FALSE())</f>
        <v>5</v>
      </c>
      <c r="K364" s="0" t="n">
        <f aca="false">VLOOKUP($A364,'[2]Sheet 1'!$A$2:$Q$3504,11,FALSE())</f>
        <v>0.182</v>
      </c>
      <c r="L364" s="0" t="n">
        <f aca="false">VLOOKUP($A364,'[2]Sheet 1'!$A$2:$Q$3504,12,FALSE())</f>
        <v>15.6</v>
      </c>
      <c r="M364" s="0" t="n">
        <f aca="false">VLOOKUP($A364,'[2]Sheet 1'!$A$2:$Q$3504,13,FALSE())</f>
        <v>156</v>
      </c>
      <c r="N364" s="0" t="n">
        <f aca="false">VLOOKUP($A364,'[2]Sheet 1'!$A$2:$Q$3504,14,FALSE())</f>
        <v>0.01</v>
      </c>
      <c r="O364" s="0" t="n">
        <f aca="false">VLOOKUP($A364,'[2]Sheet 1'!$A$2:$Q$3504,15,FALSE())</f>
        <v>0.5</v>
      </c>
      <c r="P364" s="0" t="n">
        <f aca="false">VLOOKUP($A364,'[2]Sheet 1'!$A$2:$Q$3504,16,FALSE())</f>
        <v>0</v>
      </c>
      <c r="Q364" s="0" t="n">
        <f aca="false">VLOOKUP($A364,'[2]Sheet 1'!$A$2:$Q$3504,17,FALSE())</f>
        <v>2</v>
      </c>
      <c r="S364" s="5"/>
    </row>
    <row r="365" customFormat="false" ht="14.25" hidden="false" customHeight="false" outlineLevel="0" collapsed="false">
      <c r="A365" s="5" t="n">
        <v>889</v>
      </c>
      <c r="B365" s="5" t="s">
        <v>879</v>
      </c>
      <c r="C365" s="5" t="n">
        <v>73</v>
      </c>
      <c r="D365" s="0" t="n">
        <f aca="false">VLOOKUP($A365,'[2]Sheet 1'!$A$2:$Q$3504,4,FALSE())</f>
        <v>321</v>
      </c>
      <c r="E365" s="0" t="n">
        <f aca="false">VLOOKUP($A365,'[2]Sheet 1'!$A$2:$Q$3504,5,FALSE())</f>
        <v>7.91</v>
      </c>
      <c r="F365" s="0" t="n">
        <f aca="false">VLOOKUP($A365,'[2]Sheet 1'!$A$2:$Q$3504,6,FALSE())</f>
        <v>0</v>
      </c>
      <c r="G365" s="0" t="n">
        <f aca="false">VLOOKUP($A365,'[2]Sheet 1'!$A$2:$Q$3504,7,FALSE())</f>
        <v>0.94</v>
      </c>
      <c r="H365" s="0" t="n">
        <f aca="false">VLOOKUP($A365,'[2]Sheet 1'!$A$2:$Q$3504,8,FALSE())</f>
        <v>0.19</v>
      </c>
      <c r="I365" s="0" t="n">
        <f aca="false">VLOOKUP($A365,'[2]Sheet 1'!$A$2:$Q$3504,9,FALSE())</f>
        <v>284</v>
      </c>
      <c r="J365" s="0" t="n">
        <f aca="false">VLOOKUP($A365,'[2]Sheet 1'!$A$2:$Q$3504,10,FALSE())</f>
        <v>11</v>
      </c>
      <c r="K365" s="0" t="n">
        <f aca="false">VLOOKUP($A365,'[2]Sheet 1'!$A$2:$Q$3504,11,FALSE())</f>
        <v>0.416</v>
      </c>
      <c r="L365" s="0" t="n">
        <f aca="false">VLOOKUP($A365,'[2]Sheet 1'!$A$2:$Q$3504,12,FALSE())</f>
        <v>89.1</v>
      </c>
      <c r="M365" s="0" t="n">
        <f aca="false">VLOOKUP($A365,'[2]Sheet 1'!$A$2:$Q$3504,13,FALSE())</f>
        <v>371</v>
      </c>
      <c r="N365" s="0" t="n">
        <f aca="false">VLOOKUP($A365,'[2]Sheet 1'!$A$2:$Q$3504,14,FALSE())</f>
        <v>0.16</v>
      </c>
      <c r="O365" s="0" t="n">
        <f aca="false">VLOOKUP($A365,'[2]Sheet 1'!$A$2:$Q$3504,15,FALSE())</f>
        <v>0.44</v>
      </c>
      <c r="P365" s="0" t="n">
        <f aca="false">VLOOKUP($A365,'[2]Sheet 1'!$A$2:$Q$3504,16,FALSE())</f>
        <v>0.6</v>
      </c>
      <c r="Q365" s="0" t="n">
        <f aca="false">VLOOKUP($A365,'[2]Sheet 1'!$A$2:$Q$3504,17,FALSE())</f>
        <v>74</v>
      </c>
      <c r="S365" s="5"/>
    </row>
    <row r="366" customFormat="false" ht="14.25" hidden="false" customHeight="false" outlineLevel="0" collapsed="false">
      <c r="A366" s="5" t="n">
        <v>890</v>
      </c>
      <c r="B366" s="5" t="s">
        <v>881</v>
      </c>
      <c r="C366" s="5" t="n">
        <v>73</v>
      </c>
      <c r="D366" s="0" t="n">
        <f aca="false">VLOOKUP($A366,'[2]Sheet 1'!$A$2:$Q$3504,4,FALSE())</f>
        <v>27</v>
      </c>
      <c r="E366" s="0" t="n">
        <f aca="false">VLOOKUP($A366,'[2]Sheet 1'!$A$2:$Q$3504,5,FALSE())</f>
        <v>0.85</v>
      </c>
      <c r="F366" s="0" t="n">
        <f aca="false">VLOOKUP($A366,'[2]Sheet 1'!$A$2:$Q$3504,6,FALSE())</f>
        <v>0</v>
      </c>
      <c r="G366" s="0" t="n">
        <f aca="false">VLOOKUP($A366,'[2]Sheet 1'!$A$2:$Q$3504,7,FALSE())</f>
        <v>0.13</v>
      </c>
      <c r="H366" s="0" t="n">
        <f aca="false">VLOOKUP($A366,'[2]Sheet 1'!$A$2:$Q$3504,8,FALSE())</f>
        <v>0.06</v>
      </c>
      <c r="I366" s="0" t="n">
        <f aca="false">VLOOKUP($A366,'[2]Sheet 1'!$A$2:$Q$3504,9,FALSE())</f>
        <v>47</v>
      </c>
      <c r="J366" s="0" t="n">
        <f aca="false">VLOOKUP($A366,'[2]Sheet 1'!$A$2:$Q$3504,10,FALSE())</f>
        <v>1</v>
      </c>
      <c r="K366" s="0" t="n">
        <f aca="false">VLOOKUP($A366,'[2]Sheet 1'!$A$2:$Q$3504,11,FALSE())</f>
        <v>0.158</v>
      </c>
      <c r="L366" s="0" t="n">
        <f aca="false">VLOOKUP($A366,'[2]Sheet 1'!$A$2:$Q$3504,12,FALSE())</f>
        <v>16</v>
      </c>
      <c r="M366" s="0" t="n">
        <f aca="false">VLOOKUP($A366,'[2]Sheet 1'!$A$2:$Q$3504,13,FALSE())</f>
        <v>161</v>
      </c>
      <c r="N366" s="0" t="n">
        <f aca="false">VLOOKUP($A366,'[2]Sheet 1'!$A$2:$Q$3504,14,FALSE())</f>
        <v>0</v>
      </c>
      <c r="O366" s="0" t="n">
        <f aca="false">VLOOKUP($A366,'[2]Sheet 1'!$A$2:$Q$3504,15,FALSE())</f>
        <v>0.28</v>
      </c>
      <c r="P366" s="0" t="n">
        <f aca="false">VLOOKUP($A366,'[2]Sheet 1'!$A$2:$Q$3504,16,FALSE())</f>
        <v>0</v>
      </c>
      <c r="Q366" s="0" t="n">
        <f aca="false">VLOOKUP($A366,'[2]Sheet 1'!$A$2:$Q$3504,17,FALSE())</f>
        <v>3</v>
      </c>
      <c r="S366" s="5"/>
    </row>
    <row r="367" customFormat="false" ht="14.25" hidden="false" customHeight="false" outlineLevel="0" collapsed="false">
      <c r="A367" s="5" t="n">
        <v>891</v>
      </c>
      <c r="B367" s="5" t="s">
        <v>883</v>
      </c>
      <c r="C367" s="5" t="n">
        <v>12</v>
      </c>
      <c r="D367" s="0" t="e">
        <f aca="false">VLOOKUP($A367,'[2]Sheet 1'!$A$2:$Q$3504,4,FALSE())</f>
        <v>#N/A</v>
      </c>
      <c r="E367" s="0" t="e">
        <f aca="false">VLOOKUP($A367,'[2]Sheet 1'!$A$2:$Q$3504,5,FALSE())</f>
        <v>#N/A</v>
      </c>
      <c r="F367" s="0" t="e">
        <f aca="false">VLOOKUP($A367,'[2]Sheet 1'!$A$2:$Q$3504,6,FALSE())</f>
        <v>#N/A</v>
      </c>
      <c r="G367" s="0" t="e">
        <f aca="false">VLOOKUP($A367,'[2]Sheet 1'!$A$2:$Q$3504,7,FALSE())</f>
        <v>#N/A</v>
      </c>
      <c r="H367" s="0" t="e">
        <f aca="false">VLOOKUP($A367,'[2]Sheet 1'!$A$2:$Q$3504,8,FALSE())</f>
        <v>#N/A</v>
      </c>
      <c r="I367" s="0" t="e">
        <f aca="false">VLOOKUP($A367,'[2]Sheet 1'!$A$2:$Q$3504,9,FALSE())</f>
        <v>#N/A</v>
      </c>
      <c r="J367" s="0" t="e">
        <f aca="false">VLOOKUP($A367,'[2]Sheet 1'!$A$2:$Q$3504,10,FALSE())</f>
        <v>#N/A</v>
      </c>
      <c r="K367" s="0" t="e">
        <f aca="false">VLOOKUP($A367,'[2]Sheet 1'!$A$2:$Q$3504,11,FALSE())</f>
        <v>#N/A</v>
      </c>
      <c r="L367" s="0" t="e">
        <f aca="false">VLOOKUP($A367,'[2]Sheet 1'!$A$2:$Q$3504,12,FALSE())</f>
        <v>#N/A</v>
      </c>
      <c r="M367" s="0" t="e">
        <f aca="false">VLOOKUP($A367,'[2]Sheet 1'!$A$2:$Q$3504,13,FALSE())</f>
        <v>#N/A</v>
      </c>
      <c r="N367" s="0" t="e">
        <f aca="false">VLOOKUP($A367,'[2]Sheet 1'!$A$2:$Q$3504,14,FALSE())</f>
        <v>#N/A</v>
      </c>
      <c r="O367" s="0" t="e">
        <f aca="false">VLOOKUP($A367,'[2]Sheet 1'!$A$2:$Q$3504,15,FALSE())</f>
        <v>#N/A</v>
      </c>
      <c r="P367" s="0" t="e">
        <f aca="false">VLOOKUP($A367,'[2]Sheet 1'!$A$2:$Q$3504,16,FALSE())</f>
        <v>#N/A</v>
      </c>
      <c r="Q367" s="0" t="e">
        <f aca="false">VLOOKUP($A367,'[2]Sheet 1'!$A$2:$Q$3504,17,FALSE())</f>
        <v>#N/A</v>
      </c>
      <c r="S367" s="5"/>
    </row>
    <row r="368" customFormat="false" ht="14.25" hidden="false" customHeight="false" outlineLevel="0" collapsed="false">
      <c r="A368" s="5" t="n">
        <v>892</v>
      </c>
      <c r="B368" s="5" t="s">
        <v>885</v>
      </c>
      <c r="C368" s="5" t="n">
        <v>12</v>
      </c>
      <c r="D368" s="0" t="n">
        <f aca="false">VLOOKUP($A368,'[2]Sheet 1'!$A$2:$Q$3504,4,FALSE())</f>
        <v>73</v>
      </c>
      <c r="E368" s="0" t="n">
        <f aca="false">VLOOKUP($A368,'[2]Sheet 1'!$A$2:$Q$3504,5,FALSE())</f>
        <v>3.8</v>
      </c>
      <c r="F368" s="0" t="n">
        <f aca="false">VLOOKUP($A368,'[2]Sheet 1'!$A$2:$Q$3504,6,FALSE())</f>
        <v>0</v>
      </c>
      <c r="G368" s="0" t="n">
        <f aca="false">VLOOKUP($A368,'[2]Sheet 1'!$A$2:$Q$3504,7,FALSE())</f>
        <v>0.58</v>
      </c>
      <c r="H368" s="0" t="n">
        <f aca="false">VLOOKUP($A368,'[2]Sheet 1'!$A$2:$Q$3504,8,FALSE())</f>
        <v>0.1</v>
      </c>
      <c r="I368" s="0" t="n">
        <f aca="false">VLOOKUP($A368,'[2]Sheet 1'!$A$2:$Q$3504,9,FALSE())</f>
        <v>152</v>
      </c>
      <c r="J368" s="0" t="n">
        <f aca="false">VLOOKUP($A368,'[2]Sheet 1'!$A$2:$Q$3504,10,FALSE())</f>
        <v>12</v>
      </c>
      <c r="K368" s="0" t="n">
        <f aca="false">VLOOKUP($A368,'[2]Sheet 1'!$A$2:$Q$3504,11,FALSE())</f>
        <v>0.2</v>
      </c>
      <c r="L368" s="0" t="n">
        <f aca="false">VLOOKUP($A368,'[2]Sheet 1'!$A$2:$Q$3504,12,FALSE())</f>
        <v>0</v>
      </c>
      <c r="M368" s="0" t="n">
        <f aca="false">VLOOKUP($A368,'[2]Sheet 1'!$A$2:$Q$3504,13,FALSE())</f>
        <v>209</v>
      </c>
      <c r="N368" s="0" t="n">
        <f aca="false">VLOOKUP($A368,'[2]Sheet 1'!$A$2:$Q$3504,14,FALSE())</f>
        <v>0.07</v>
      </c>
      <c r="O368" s="0" t="n">
        <f aca="false">VLOOKUP($A368,'[2]Sheet 1'!$A$2:$Q$3504,15,FALSE())</f>
        <v>0.375</v>
      </c>
      <c r="P368" s="0" t="n">
        <f aca="false">VLOOKUP($A368,'[2]Sheet 1'!$A$2:$Q$3504,16,FALSE())</f>
        <v>0.3</v>
      </c>
      <c r="Q368" s="0" t="n">
        <f aca="false">VLOOKUP($A368,'[2]Sheet 1'!$A$2:$Q$3504,17,FALSE())</f>
        <v>30</v>
      </c>
      <c r="S368" s="5"/>
    </row>
    <row r="369" customFormat="false" ht="14.25" hidden="false" customHeight="false" outlineLevel="0" collapsed="false">
      <c r="A369" s="5" t="n">
        <v>893</v>
      </c>
      <c r="B369" s="5" t="s">
        <v>887</v>
      </c>
      <c r="C369" s="5" t="n">
        <v>12</v>
      </c>
      <c r="D369" s="0" t="n">
        <f aca="false">VLOOKUP($A369,'[2]Sheet 1'!$A$2:$Q$3504,4,FALSE())</f>
        <v>73</v>
      </c>
      <c r="E369" s="0" t="n">
        <f aca="false">VLOOKUP($A369,'[2]Sheet 1'!$A$2:$Q$3504,5,FALSE())</f>
        <v>3.8</v>
      </c>
      <c r="F369" s="0" t="n">
        <f aca="false">VLOOKUP($A369,'[2]Sheet 1'!$A$2:$Q$3504,6,FALSE())</f>
        <v>0</v>
      </c>
      <c r="G369" s="0" t="n">
        <f aca="false">VLOOKUP($A369,'[2]Sheet 1'!$A$2:$Q$3504,7,FALSE())</f>
        <v>0.58</v>
      </c>
      <c r="H369" s="0" t="n">
        <f aca="false">VLOOKUP($A369,'[2]Sheet 1'!$A$2:$Q$3504,8,FALSE())</f>
        <v>0.1</v>
      </c>
      <c r="I369" s="0" t="n">
        <f aca="false">VLOOKUP($A369,'[2]Sheet 1'!$A$2:$Q$3504,9,FALSE())</f>
        <v>152</v>
      </c>
      <c r="J369" s="0" t="n">
        <f aca="false">VLOOKUP($A369,'[2]Sheet 1'!$A$2:$Q$3504,10,FALSE())</f>
        <v>12</v>
      </c>
      <c r="K369" s="0" t="n">
        <f aca="false">VLOOKUP($A369,'[2]Sheet 1'!$A$2:$Q$3504,11,FALSE())</f>
        <v>0.2</v>
      </c>
      <c r="L369" s="0" t="n">
        <f aca="false">VLOOKUP($A369,'[2]Sheet 1'!$A$2:$Q$3504,12,FALSE())</f>
        <v>0</v>
      </c>
      <c r="M369" s="0" t="n">
        <f aca="false">VLOOKUP($A369,'[2]Sheet 1'!$A$2:$Q$3504,13,FALSE())</f>
        <v>209</v>
      </c>
      <c r="N369" s="0" t="n">
        <f aca="false">VLOOKUP($A369,'[2]Sheet 1'!$A$2:$Q$3504,14,FALSE())</f>
        <v>0.07</v>
      </c>
      <c r="O369" s="0" t="n">
        <f aca="false">VLOOKUP($A369,'[2]Sheet 1'!$A$2:$Q$3504,15,FALSE())</f>
        <v>0.375</v>
      </c>
      <c r="P369" s="0" t="n">
        <f aca="false">VLOOKUP($A369,'[2]Sheet 1'!$A$2:$Q$3504,16,FALSE())</f>
        <v>0.3</v>
      </c>
      <c r="Q369" s="0" t="n">
        <f aca="false">VLOOKUP($A369,'[2]Sheet 1'!$A$2:$Q$3504,17,FALSE())</f>
        <v>30</v>
      </c>
      <c r="S369" s="5"/>
    </row>
    <row r="370" customFormat="false" ht="14.25" hidden="false" customHeight="false" outlineLevel="0" collapsed="false">
      <c r="A370" s="5" t="n">
        <v>894</v>
      </c>
      <c r="B370" s="5" t="s">
        <v>889</v>
      </c>
      <c r="C370" s="5" t="n">
        <v>27</v>
      </c>
      <c r="D370" s="0" t="n">
        <f aca="false">VLOOKUP($A370,'[2]Sheet 1'!$A$2:$Q$3504,4,FALSE())</f>
        <v>135</v>
      </c>
      <c r="E370" s="0" t="n">
        <f aca="false">VLOOKUP($A370,'[2]Sheet 1'!$A$2:$Q$3504,5,FALSE())</f>
        <v>6.81</v>
      </c>
      <c r="F370" s="0" t="n">
        <f aca="false">VLOOKUP($A370,'[2]Sheet 1'!$A$2:$Q$3504,6,FALSE())</f>
        <v>0</v>
      </c>
      <c r="G370" s="0" t="n">
        <f aca="false">VLOOKUP($A370,'[2]Sheet 1'!$A$2:$Q$3504,7,FALSE())</f>
        <v>0.77</v>
      </c>
      <c r="H370" s="0" t="n">
        <f aca="false">VLOOKUP($A370,'[2]Sheet 1'!$A$2:$Q$3504,8,FALSE())</f>
        <v>0.19</v>
      </c>
      <c r="I370" s="0" t="n">
        <f aca="false">VLOOKUP($A370,'[2]Sheet 1'!$A$2:$Q$3504,9,FALSE())</f>
        <v>261</v>
      </c>
      <c r="J370" s="0" t="n">
        <f aca="false">VLOOKUP($A370,'[2]Sheet 1'!$A$2:$Q$3504,10,FALSE())</f>
        <v>8</v>
      </c>
      <c r="K370" s="0" t="n">
        <f aca="false">VLOOKUP($A370,'[2]Sheet 1'!$A$2:$Q$3504,11,FALSE())</f>
        <v>0.316</v>
      </c>
      <c r="L370" s="0" t="n">
        <f aca="false">VLOOKUP($A370,'[2]Sheet 1'!$A$2:$Q$3504,12,FALSE())</f>
        <v>31.3</v>
      </c>
      <c r="M370" s="0" t="n">
        <f aca="false">VLOOKUP($A370,'[2]Sheet 1'!$A$2:$Q$3504,13,FALSE())</f>
        <v>303</v>
      </c>
      <c r="N370" s="0" t="n">
        <f aca="false">VLOOKUP($A370,'[2]Sheet 1'!$A$2:$Q$3504,14,FALSE())</f>
        <v>0.16</v>
      </c>
      <c r="O370" s="0" t="n">
        <f aca="false">VLOOKUP($A370,'[2]Sheet 1'!$A$2:$Q$3504,15,FALSE())</f>
        <v>0.16</v>
      </c>
      <c r="P370" s="0" t="n">
        <f aca="false">VLOOKUP($A370,'[2]Sheet 1'!$A$2:$Q$3504,16,FALSE())</f>
        <v>0.6</v>
      </c>
      <c r="Q370" s="0" t="n">
        <f aca="false">VLOOKUP($A370,'[2]Sheet 1'!$A$2:$Q$3504,17,FALSE())</f>
        <v>65</v>
      </c>
      <c r="S370" s="5"/>
    </row>
    <row r="371" customFormat="false" ht="14.25" hidden="false" customHeight="false" outlineLevel="0" collapsed="false">
      <c r="A371" s="5" t="n">
        <v>897</v>
      </c>
      <c r="B371" s="5" t="s">
        <v>891</v>
      </c>
      <c r="C371" s="5" t="n">
        <v>98</v>
      </c>
      <c r="D371" s="0" t="n">
        <f aca="false">VLOOKUP($A371,'[2]Sheet 1'!$A$2:$Q$3504,4,FALSE())</f>
        <v>57.1</v>
      </c>
      <c r="E371" s="0" t="n">
        <f aca="false">VLOOKUP($A371,'[2]Sheet 1'!$A$2:$Q$3504,5,FALSE())</f>
        <v>3.25</v>
      </c>
      <c r="F371" s="0" t="n">
        <f aca="false">VLOOKUP($A371,'[2]Sheet 1'!$A$2:$Q$3504,6,FALSE())</f>
        <v>0</v>
      </c>
      <c r="G371" s="0" t="n">
        <f aca="false">VLOOKUP($A371,'[2]Sheet 1'!$A$2:$Q$3504,7,FALSE())</f>
        <v>0.38</v>
      </c>
      <c r="H371" s="0" t="n">
        <f aca="false">VLOOKUP($A371,'[2]Sheet 1'!$A$2:$Q$3504,8,FALSE())</f>
        <v>0.15740988</v>
      </c>
      <c r="I371" s="0" t="n">
        <f aca="false">VLOOKUP($A371,'[2]Sheet 1'!$A$2:$Q$3504,9,FALSE())</f>
        <v>116.5</v>
      </c>
      <c r="J371" s="0" t="n">
        <f aca="false">VLOOKUP($A371,'[2]Sheet 1'!$A$2:$Q$3504,10,FALSE())</f>
        <v>6.5</v>
      </c>
      <c r="K371" s="0" t="n">
        <f aca="false">VLOOKUP($A371,'[2]Sheet 1'!$A$2:$Q$3504,11,FALSE())</f>
        <v>0.0548197595</v>
      </c>
      <c r="L371" s="0" t="n">
        <f aca="false">VLOOKUP($A371,'[2]Sheet 1'!$A$2:$Q$3504,12,FALSE())</f>
        <v>7.997106487</v>
      </c>
      <c r="M371" s="0" t="n">
        <f aca="false">VLOOKUP($A371,'[2]Sheet 1'!$A$2:$Q$3504,13,FALSE())</f>
        <v>130</v>
      </c>
      <c r="N371" s="0" t="n">
        <f aca="false">VLOOKUP($A371,'[2]Sheet 1'!$A$2:$Q$3504,14,FALSE())</f>
        <v>0.07</v>
      </c>
      <c r="O371" s="0" t="n">
        <f aca="false">VLOOKUP($A371,'[2]Sheet 1'!$A$2:$Q$3504,15,FALSE())</f>
        <v>0.525</v>
      </c>
      <c r="P371" s="0" t="n">
        <f aca="false">VLOOKUP($A371,'[2]Sheet 1'!$A$2:$Q$3504,16,FALSE())</f>
        <v>0.3</v>
      </c>
      <c r="Q371" s="0" t="n">
        <f aca="false">VLOOKUP($A371,'[2]Sheet 1'!$A$2:$Q$3504,17,FALSE())</f>
        <v>32.17623498</v>
      </c>
      <c r="S371" s="5"/>
    </row>
    <row r="372" customFormat="false" ht="14.25" hidden="false" customHeight="false" outlineLevel="0" collapsed="false">
      <c r="A372" s="5" t="n">
        <v>898</v>
      </c>
      <c r="B372" s="5" t="s">
        <v>894</v>
      </c>
      <c r="C372" s="5" t="n">
        <v>98</v>
      </c>
      <c r="D372" s="0" t="n">
        <f aca="false">VLOOKUP($A372,'[2]Sheet 1'!$A$2:$Q$3504,4,FALSE())</f>
        <v>362</v>
      </c>
      <c r="E372" s="0" t="n">
        <f aca="false">VLOOKUP($A372,'[2]Sheet 1'!$A$2:$Q$3504,5,FALSE())</f>
        <v>36.16</v>
      </c>
      <c r="F372" s="0" t="n">
        <f aca="false">VLOOKUP($A372,'[2]Sheet 1'!$A$2:$Q$3504,6,FALSE())</f>
        <v>0</v>
      </c>
      <c r="G372" s="0" t="n">
        <f aca="false">VLOOKUP($A372,'[2]Sheet 1'!$A$2:$Q$3504,7,FALSE())</f>
        <v>4.08</v>
      </c>
      <c r="H372" s="0" t="n">
        <f aca="false">VLOOKUP($A372,'[2]Sheet 1'!$A$2:$Q$3504,8,FALSE())</f>
        <v>0.32</v>
      </c>
      <c r="I372" s="0" t="n">
        <f aca="false">VLOOKUP($A372,'[2]Sheet 1'!$A$2:$Q$3504,9,FALSE())</f>
        <v>1257</v>
      </c>
      <c r="J372" s="0" t="n">
        <f aca="false">VLOOKUP($A372,'[2]Sheet 1'!$A$2:$Q$3504,10,FALSE())</f>
        <v>50</v>
      </c>
      <c r="K372" s="0" t="n">
        <f aca="false">VLOOKUP($A372,'[2]Sheet 1'!$A$2:$Q$3504,11,FALSE())</f>
        <v>1.55</v>
      </c>
      <c r="L372" s="0" t="n">
        <f aca="false">VLOOKUP($A372,'[2]Sheet 1'!$A$2:$Q$3504,12,FALSE())</f>
        <v>169.2</v>
      </c>
      <c r="M372" s="0" t="n">
        <f aca="false">VLOOKUP($A372,'[2]Sheet 1'!$A$2:$Q$3504,13,FALSE())</f>
        <v>1794</v>
      </c>
      <c r="N372" s="0" t="n">
        <f aca="false">VLOOKUP($A372,'[2]Sheet 1'!$A$2:$Q$3504,14,FALSE())</f>
        <v>0</v>
      </c>
      <c r="O372" s="0" t="n">
        <f aca="false">VLOOKUP($A372,'[2]Sheet 1'!$A$2:$Q$3504,15,FALSE())</f>
        <v>4.03</v>
      </c>
      <c r="P372" s="0" t="n">
        <f aca="false">VLOOKUP($A372,'[2]Sheet 1'!$A$2:$Q$3504,16,FALSE())</f>
        <v>0.1</v>
      </c>
      <c r="Q372" s="0" t="n">
        <f aca="false">VLOOKUP($A372,'[2]Sheet 1'!$A$2:$Q$3504,17,FALSE())</f>
        <v>6</v>
      </c>
      <c r="S372" s="5"/>
    </row>
    <row r="373" customFormat="false" ht="14.25" hidden="false" customHeight="false" outlineLevel="0" collapsed="false">
      <c r="A373" s="5" t="n">
        <v>900</v>
      </c>
      <c r="B373" s="5" t="s">
        <v>896</v>
      </c>
      <c r="C373" s="5" t="n">
        <v>98</v>
      </c>
      <c r="D373" s="0" t="n">
        <f aca="false">VLOOKUP($A373,'[2]Sheet 1'!$A$2:$Q$3504,4,FALSE())</f>
        <v>27</v>
      </c>
      <c r="E373" s="0" t="n">
        <f aca="false">VLOOKUP($A373,'[2]Sheet 1'!$A$2:$Q$3504,5,FALSE())</f>
        <v>0.85</v>
      </c>
      <c r="F373" s="0" t="n">
        <f aca="false">VLOOKUP($A373,'[2]Sheet 1'!$A$2:$Q$3504,6,FALSE())</f>
        <v>0</v>
      </c>
      <c r="G373" s="0" t="n">
        <f aca="false">VLOOKUP($A373,'[2]Sheet 1'!$A$2:$Q$3504,7,FALSE())</f>
        <v>0.13</v>
      </c>
      <c r="H373" s="0" t="n">
        <f aca="false">VLOOKUP($A373,'[2]Sheet 1'!$A$2:$Q$3504,8,FALSE())</f>
        <v>0.06</v>
      </c>
      <c r="I373" s="0" t="n">
        <f aca="false">VLOOKUP($A373,'[2]Sheet 1'!$A$2:$Q$3504,9,FALSE())</f>
        <v>47</v>
      </c>
      <c r="J373" s="0" t="n">
        <f aca="false">VLOOKUP($A373,'[2]Sheet 1'!$A$2:$Q$3504,10,FALSE())</f>
        <v>1</v>
      </c>
      <c r="K373" s="0" t="n">
        <f aca="false">VLOOKUP($A373,'[2]Sheet 1'!$A$2:$Q$3504,11,FALSE())</f>
        <v>0.158</v>
      </c>
      <c r="L373" s="0" t="n">
        <f aca="false">VLOOKUP($A373,'[2]Sheet 1'!$A$2:$Q$3504,12,FALSE())</f>
        <v>16</v>
      </c>
      <c r="M373" s="0" t="n">
        <f aca="false">VLOOKUP($A373,'[2]Sheet 1'!$A$2:$Q$3504,13,FALSE())</f>
        <v>161</v>
      </c>
      <c r="N373" s="0" t="n">
        <f aca="false">VLOOKUP($A373,'[2]Sheet 1'!$A$2:$Q$3504,14,FALSE())</f>
        <v>0</v>
      </c>
      <c r="O373" s="0" t="n">
        <f aca="false">VLOOKUP($A373,'[2]Sheet 1'!$A$2:$Q$3504,15,FALSE())</f>
        <v>0.28</v>
      </c>
      <c r="P373" s="0" t="n">
        <f aca="false">VLOOKUP($A373,'[2]Sheet 1'!$A$2:$Q$3504,16,FALSE())</f>
        <v>0</v>
      </c>
      <c r="Q373" s="0" t="n">
        <f aca="false">VLOOKUP($A373,'[2]Sheet 1'!$A$2:$Q$3504,17,FALSE())</f>
        <v>3</v>
      </c>
      <c r="S373" s="5"/>
    </row>
    <row r="374" customFormat="false" ht="14.25" hidden="false" customHeight="false" outlineLevel="0" collapsed="false">
      <c r="A374" s="5" t="n">
        <v>901</v>
      </c>
      <c r="B374" s="5" t="s">
        <v>898</v>
      </c>
      <c r="C374" s="5" t="n">
        <v>60</v>
      </c>
      <c r="D374" s="0" t="n">
        <f aca="false">VLOOKUP($A374,'[2]Sheet 1'!$A$2:$Q$3504,4,FALSE())</f>
        <v>73</v>
      </c>
      <c r="E374" s="0" t="n">
        <f aca="false">VLOOKUP($A374,'[2]Sheet 1'!$A$2:$Q$3504,5,FALSE())</f>
        <v>3.8</v>
      </c>
      <c r="F374" s="0" t="n">
        <f aca="false">VLOOKUP($A374,'[2]Sheet 1'!$A$2:$Q$3504,6,FALSE())</f>
        <v>0</v>
      </c>
      <c r="G374" s="0" t="n">
        <f aca="false">VLOOKUP($A374,'[2]Sheet 1'!$A$2:$Q$3504,7,FALSE())</f>
        <v>0.58</v>
      </c>
      <c r="H374" s="0" t="n">
        <f aca="false">VLOOKUP($A374,'[2]Sheet 1'!$A$2:$Q$3504,8,FALSE())</f>
        <v>0.1</v>
      </c>
      <c r="I374" s="0" t="n">
        <f aca="false">VLOOKUP($A374,'[2]Sheet 1'!$A$2:$Q$3504,9,FALSE())</f>
        <v>152</v>
      </c>
      <c r="J374" s="0" t="n">
        <f aca="false">VLOOKUP($A374,'[2]Sheet 1'!$A$2:$Q$3504,10,FALSE())</f>
        <v>12</v>
      </c>
      <c r="K374" s="0" t="n">
        <f aca="false">VLOOKUP($A374,'[2]Sheet 1'!$A$2:$Q$3504,11,FALSE())</f>
        <v>0.2</v>
      </c>
      <c r="L374" s="0" t="n">
        <f aca="false">VLOOKUP($A374,'[2]Sheet 1'!$A$2:$Q$3504,12,FALSE())</f>
        <v>0</v>
      </c>
      <c r="M374" s="0" t="n">
        <f aca="false">VLOOKUP($A374,'[2]Sheet 1'!$A$2:$Q$3504,13,FALSE())</f>
        <v>209</v>
      </c>
      <c r="N374" s="0" t="n">
        <f aca="false">VLOOKUP($A374,'[2]Sheet 1'!$A$2:$Q$3504,14,FALSE())</f>
        <v>0.07</v>
      </c>
      <c r="O374" s="0" t="n">
        <f aca="false">VLOOKUP($A374,'[2]Sheet 1'!$A$2:$Q$3504,15,FALSE())</f>
        <v>0.375</v>
      </c>
      <c r="P374" s="0" t="n">
        <f aca="false">VLOOKUP($A374,'[2]Sheet 1'!$A$2:$Q$3504,16,FALSE())</f>
        <v>0.3</v>
      </c>
      <c r="Q374" s="0" t="n">
        <f aca="false">VLOOKUP($A374,'[2]Sheet 1'!$A$2:$Q$3504,17,FALSE())</f>
        <v>30</v>
      </c>
      <c r="S374" s="5"/>
    </row>
    <row r="375" customFormat="false" ht="14.25" hidden="false" customHeight="false" outlineLevel="0" collapsed="false">
      <c r="A375" s="5" t="n">
        <v>907</v>
      </c>
      <c r="B375" s="5" t="s">
        <v>901</v>
      </c>
      <c r="C375" s="5" t="n">
        <v>60</v>
      </c>
      <c r="D375" s="0" t="n">
        <f aca="false">VLOOKUP($A375,'[2]Sheet 1'!$A$2:$Q$3504,4,FALSE())</f>
        <v>73</v>
      </c>
      <c r="E375" s="0" t="n">
        <f aca="false">VLOOKUP($A375,'[2]Sheet 1'!$A$2:$Q$3504,5,FALSE())</f>
        <v>3.8</v>
      </c>
      <c r="F375" s="0" t="n">
        <f aca="false">VLOOKUP($A375,'[2]Sheet 1'!$A$2:$Q$3504,6,FALSE())</f>
        <v>0</v>
      </c>
      <c r="G375" s="0" t="n">
        <f aca="false">VLOOKUP($A375,'[2]Sheet 1'!$A$2:$Q$3504,7,FALSE())</f>
        <v>0.58</v>
      </c>
      <c r="H375" s="0" t="n">
        <f aca="false">VLOOKUP($A375,'[2]Sheet 1'!$A$2:$Q$3504,8,FALSE())</f>
        <v>0.1</v>
      </c>
      <c r="I375" s="0" t="n">
        <f aca="false">VLOOKUP($A375,'[2]Sheet 1'!$A$2:$Q$3504,9,FALSE())</f>
        <v>152</v>
      </c>
      <c r="J375" s="0" t="n">
        <f aca="false">VLOOKUP($A375,'[2]Sheet 1'!$A$2:$Q$3504,10,FALSE())</f>
        <v>12</v>
      </c>
      <c r="K375" s="0" t="n">
        <f aca="false">VLOOKUP($A375,'[2]Sheet 1'!$A$2:$Q$3504,11,FALSE())</f>
        <v>0.2</v>
      </c>
      <c r="L375" s="0" t="n">
        <f aca="false">VLOOKUP($A375,'[2]Sheet 1'!$A$2:$Q$3504,12,FALSE())</f>
        <v>0</v>
      </c>
      <c r="M375" s="0" t="n">
        <f aca="false">VLOOKUP($A375,'[2]Sheet 1'!$A$2:$Q$3504,13,FALSE())</f>
        <v>209</v>
      </c>
      <c r="N375" s="0" t="n">
        <f aca="false">VLOOKUP($A375,'[2]Sheet 1'!$A$2:$Q$3504,14,FALSE())</f>
        <v>0.07</v>
      </c>
      <c r="O375" s="0" t="n">
        <f aca="false">VLOOKUP($A375,'[2]Sheet 1'!$A$2:$Q$3504,15,FALSE())</f>
        <v>0.375</v>
      </c>
      <c r="P375" s="0" t="n">
        <f aca="false">VLOOKUP($A375,'[2]Sheet 1'!$A$2:$Q$3504,16,FALSE())</f>
        <v>0.3</v>
      </c>
      <c r="Q375" s="0" t="n">
        <f aca="false">VLOOKUP($A375,'[2]Sheet 1'!$A$2:$Q$3504,17,FALSE())</f>
        <v>30</v>
      </c>
      <c r="S375" s="5"/>
    </row>
    <row r="376" customFormat="false" ht="14.25" hidden="false" customHeight="false" outlineLevel="0" collapsed="false">
      <c r="A376" s="5" t="n">
        <v>909</v>
      </c>
      <c r="B376" s="5" t="s">
        <v>905</v>
      </c>
      <c r="C376" s="5" t="n">
        <v>60</v>
      </c>
      <c r="D376" s="0" t="n">
        <f aca="false">VLOOKUP($A376,'[2]Sheet 1'!$A$2:$Q$3504,4,FALSE())</f>
        <v>73</v>
      </c>
      <c r="E376" s="0" t="n">
        <f aca="false">VLOOKUP($A376,'[2]Sheet 1'!$A$2:$Q$3504,5,FALSE())</f>
        <v>3.8</v>
      </c>
      <c r="F376" s="0" t="n">
        <f aca="false">VLOOKUP($A376,'[2]Sheet 1'!$A$2:$Q$3504,6,FALSE())</f>
        <v>0</v>
      </c>
      <c r="G376" s="0" t="n">
        <f aca="false">VLOOKUP($A376,'[2]Sheet 1'!$A$2:$Q$3504,7,FALSE())</f>
        <v>0.58</v>
      </c>
      <c r="H376" s="0" t="n">
        <f aca="false">VLOOKUP($A376,'[2]Sheet 1'!$A$2:$Q$3504,8,FALSE())</f>
        <v>0.1</v>
      </c>
      <c r="I376" s="0" t="n">
        <f aca="false">VLOOKUP($A376,'[2]Sheet 1'!$A$2:$Q$3504,9,FALSE())</f>
        <v>152</v>
      </c>
      <c r="J376" s="0" t="n">
        <f aca="false">VLOOKUP($A376,'[2]Sheet 1'!$A$2:$Q$3504,10,FALSE())</f>
        <v>12</v>
      </c>
      <c r="K376" s="0" t="n">
        <f aca="false">VLOOKUP($A376,'[2]Sheet 1'!$A$2:$Q$3504,11,FALSE())</f>
        <v>0.2</v>
      </c>
      <c r="L376" s="0" t="n">
        <f aca="false">VLOOKUP($A376,'[2]Sheet 1'!$A$2:$Q$3504,12,FALSE())</f>
        <v>0</v>
      </c>
      <c r="M376" s="0" t="n">
        <f aca="false">VLOOKUP($A376,'[2]Sheet 1'!$A$2:$Q$3504,13,FALSE())</f>
        <v>209</v>
      </c>
      <c r="N376" s="0" t="n">
        <f aca="false">VLOOKUP($A376,'[2]Sheet 1'!$A$2:$Q$3504,14,FALSE())</f>
        <v>0.07</v>
      </c>
      <c r="O376" s="0" t="n">
        <f aca="false">VLOOKUP($A376,'[2]Sheet 1'!$A$2:$Q$3504,15,FALSE())</f>
        <v>0.375</v>
      </c>
      <c r="P376" s="0" t="n">
        <f aca="false">VLOOKUP($A376,'[2]Sheet 1'!$A$2:$Q$3504,16,FALSE())</f>
        <v>0.3</v>
      </c>
      <c r="Q376" s="0" t="n">
        <f aca="false">VLOOKUP($A376,'[2]Sheet 1'!$A$2:$Q$3504,17,FALSE())</f>
        <v>30</v>
      </c>
      <c r="S376" s="5"/>
    </row>
    <row r="377" customFormat="false" ht="14.25" hidden="false" customHeight="false" outlineLevel="0" collapsed="false">
      <c r="A377" s="5" t="n">
        <v>910</v>
      </c>
      <c r="B377" s="5" t="s">
        <v>906</v>
      </c>
      <c r="C377" s="5" t="n">
        <v>60</v>
      </c>
      <c r="D377" s="0" t="n">
        <f aca="false">VLOOKUP($A377,'[2]Sheet 1'!$A$2:$Q$3504,4,FALSE())</f>
        <v>166</v>
      </c>
      <c r="E377" s="0" t="n">
        <f aca="false">VLOOKUP($A377,'[2]Sheet 1'!$A$2:$Q$3504,5,FALSE())</f>
        <v>3.4</v>
      </c>
      <c r="F377" s="0" t="n">
        <f aca="false">VLOOKUP($A377,'[2]Sheet 1'!$A$2:$Q$3504,6,FALSE())</f>
        <v>0.7</v>
      </c>
      <c r="G377" s="0" t="n">
        <f aca="false">VLOOKUP($A377,'[2]Sheet 1'!$A$2:$Q$3504,7,FALSE())</f>
        <v>0.53</v>
      </c>
      <c r="H377" s="0" t="n">
        <f aca="false">VLOOKUP($A377,'[2]Sheet 1'!$A$2:$Q$3504,8,FALSE())</f>
        <v>0.2</v>
      </c>
      <c r="I377" s="0" t="n">
        <f aca="false">VLOOKUP($A377,'[2]Sheet 1'!$A$2:$Q$3504,9,FALSE())</f>
        <v>126</v>
      </c>
      <c r="J377" s="0" t="n">
        <f aca="false">VLOOKUP($A377,'[2]Sheet 1'!$A$2:$Q$3504,10,FALSE())</f>
        <v>5</v>
      </c>
      <c r="K377" s="0" t="n">
        <f aca="false">VLOOKUP($A377,'[2]Sheet 1'!$A$2:$Q$3504,11,FALSE())</f>
        <v>0.11</v>
      </c>
      <c r="L377" s="0" t="n">
        <f aca="false">VLOOKUP($A377,'[2]Sheet 1'!$A$2:$Q$3504,12,FALSE())</f>
        <v>26</v>
      </c>
      <c r="M377" s="0" t="n">
        <f aca="false">VLOOKUP($A377,'[2]Sheet 1'!$A$2:$Q$3504,13,FALSE())</f>
        <v>199</v>
      </c>
      <c r="N377" s="0" t="n">
        <f aca="false">VLOOKUP($A377,'[2]Sheet 1'!$A$2:$Q$3504,14,FALSE())</f>
        <v>0.18</v>
      </c>
      <c r="O377" s="0" t="n">
        <f aca="false">VLOOKUP($A377,'[2]Sheet 1'!$A$2:$Q$3504,15,FALSE())</f>
        <v>0.18</v>
      </c>
      <c r="P377" s="0" t="n">
        <f aca="false">VLOOKUP($A377,'[2]Sheet 1'!$A$2:$Q$3504,16,FALSE())</f>
        <v>1.1</v>
      </c>
      <c r="Q377" s="0" t="n">
        <f aca="false">VLOOKUP($A377,'[2]Sheet 1'!$A$2:$Q$3504,17,FALSE())</f>
        <v>80</v>
      </c>
      <c r="S377" s="5"/>
    </row>
    <row r="378" customFormat="false" ht="14.25" hidden="false" customHeight="false" outlineLevel="0" collapsed="false">
      <c r="A378" s="5" t="n">
        <v>920</v>
      </c>
      <c r="B378" s="5" t="s">
        <v>911</v>
      </c>
      <c r="C378" s="5" t="n">
        <v>80</v>
      </c>
      <c r="D378" s="0" t="e">
        <f aca="false">VLOOKUP($A378,'[2]Sheet 1'!$A$2:$Q$3504,4,FALSE())</f>
        <v>#N/A</v>
      </c>
      <c r="E378" s="0" t="e">
        <f aca="false">VLOOKUP($A378,'[2]Sheet 1'!$A$2:$Q$3504,5,FALSE())</f>
        <v>#N/A</v>
      </c>
      <c r="F378" s="0" t="e">
        <f aca="false">VLOOKUP($A378,'[2]Sheet 1'!$A$2:$Q$3504,6,FALSE())</f>
        <v>#N/A</v>
      </c>
      <c r="G378" s="0" t="e">
        <f aca="false">VLOOKUP($A378,'[2]Sheet 1'!$A$2:$Q$3504,7,FALSE())</f>
        <v>#N/A</v>
      </c>
      <c r="H378" s="0" t="e">
        <f aca="false">VLOOKUP($A378,'[2]Sheet 1'!$A$2:$Q$3504,8,FALSE())</f>
        <v>#N/A</v>
      </c>
      <c r="I378" s="0" t="e">
        <f aca="false">VLOOKUP($A378,'[2]Sheet 1'!$A$2:$Q$3504,9,FALSE())</f>
        <v>#N/A</v>
      </c>
      <c r="J378" s="0" t="e">
        <f aca="false">VLOOKUP($A378,'[2]Sheet 1'!$A$2:$Q$3504,10,FALSE())</f>
        <v>#N/A</v>
      </c>
      <c r="K378" s="0" t="e">
        <f aca="false">VLOOKUP($A378,'[2]Sheet 1'!$A$2:$Q$3504,11,FALSE())</f>
        <v>#N/A</v>
      </c>
      <c r="L378" s="0" t="e">
        <f aca="false">VLOOKUP($A378,'[2]Sheet 1'!$A$2:$Q$3504,12,FALSE())</f>
        <v>#N/A</v>
      </c>
      <c r="M378" s="0" t="e">
        <f aca="false">VLOOKUP($A378,'[2]Sheet 1'!$A$2:$Q$3504,13,FALSE())</f>
        <v>#N/A</v>
      </c>
      <c r="N378" s="0" t="e">
        <f aca="false">VLOOKUP($A378,'[2]Sheet 1'!$A$2:$Q$3504,14,FALSE())</f>
        <v>#N/A</v>
      </c>
      <c r="O378" s="0" t="e">
        <f aca="false">VLOOKUP($A378,'[2]Sheet 1'!$A$2:$Q$3504,15,FALSE())</f>
        <v>#N/A</v>
      </c>
      <c r="P378" s="0" t="e">
        <f aca="false">VLOOKUP($A378,'[2]Sheet 1'!$A$2:$Q$3504,16,FALSE())</f>
        <v>#N/A</v>
      </c>
      <c r="Q378" s="0" t="e">
        <f aca="false">VLOOKUP($A378,'[2]Sheet 1'!$A$2:$Q$3504,17,FALSE())</f>
        <v>#N/A</v>
      </c>
      <c r="S378" s="5"/>
    </row>
    <row r="379" customFormat="false" ht="14.25" hidden="false" customHeight="false" outlineLevel="0" collapsed="false">
      <c r="A379" s="5" t="n">
        <v>928</v>
      </c>
      <c r="B379" s="5" t="s">
        <v>913</v>
      </c>
      <c r="C379" s="5" t="n">
        <v>80</v>
      </c>
      <c r="D379" s="0" t="e">
        <f aca="false">VLOOKUP($A379,'[2]Sheet 1'!$A$2:$Q$3504,4,FALSE())</f>
        <v>#N/A</v>
      </c>
      <c r="E379" s="0" t="e">
        <f aca="false">VLOOKUP($A379,'[2]Sheet 1'!$A$2:$Q$3504,5,FALSE())</f>
        <v>#N/A</v>
      </c>
      <c r="F379" s="0" t="e">
        <f aca="false">VLOOKUP($A379,'[2]Sheet 1'!$A$2:$Q$3504,6,FALSE())</f>
        <v>#N/A</v>
      </c>
      <c r="G379" s="0" t="e">
        <f aca="false">VLOOKUP($A379,'[2]Sheet 1'!$A$2:$Q$3504,7,FALSE())</f>
        <v>#N/A</v>
      </c>
      <c r="H379" s="0" t="e">
        <f aca="false">VLOOKUP($A379,'[2]Sheet 1'!$A$2:$Q$3504,8,FALSE())</f>
        <v>#N/A</v>
      </c>
      <c r="I379" s="0" t="e">
        <f aca="false">VLOOKUP($A379,'[2]Sheet 1'!$A$2:$Q$3504,9,FALSE())</f>
        <v>#N/A</v>
      </c>
      <c r="J379" s="0" t="e">
        <f aca="false">VLOOKUP($A379,'[2]Sheet 1'!$A$2:$Q$3504,10,FALSE())</f>
        <v>#N/A</v>
      </c>
      <c r="K379" s="0" t="e">
        <f aca="false">VLOOKUP($A379,'[2]Sheet 1'!$A$2:$Q$3504,11,FALSE())</f>
        <v>#N/A</v>
      </c>
      <c r="L379" s="0" t="e">
        <f aca="false">VLOOKUP($A379,'[2]Sheet 1'!$A$2:$Q$3504,12,FALSE())</f>
        <v>#N/A</v>
      </c>
      <c r="M379" s="0" t="e">
        <f aca="false">VLOOKUP($A379,'[2]Sheet 1'!$A$2:$Q$3504,13,FALSE())</f>
        <v>#N/A</v>
      </c>
      <c r="N379" s="0" t="e">
        <f aca="false">VLOOKUP($A379,'[2]Sheet 1'!$A$2:$Q$3504,14,FALSE())</f>
        <v>#N/A</v>
      </c>
      <c r="O379" s="0" t="e">
        <f aca="false">VLOOKUP($A379,'[2]Sheet 1'!$A$2:$Q$3504,15,FALSE())</f>
        <v>#N/A</v>
      </c>
      <c r="P379" s="0" t="e">
        <f aca="false">VLOOKUP($A379,'[2]Sheet 1'!$A$2:$Q$3504,16,FALSE())</f>
        <v>#N/A</v>
      </c>
      <c r="Q379" s="0" t="e">
        <f aca="false">VLOOKUP($A379,'[2]Sheet 1'!$A$2:$Q$3504,17,FALSE())</f>
        <v>#N/A</v>
      </c>
      <c r="S379" s="5"/>
    </row>
    <row r="380" customFormat="false" ht="14.25" hidden="false" customHeight="false" outlineLevel="0" collapsed="false">
      <c r="A380" s="5" t="n">
        <v>946</v>
      </c>
      <c r="B380" s="5" t="s">
        <v>917</v>
      </c>
      <c r="C380" s="5" t="n">
        <v>0</v>
      </c>
      <c r="D380" s="0" t="e">
        <f aca="false">VLOOKUP($A380,'[2]Sheet 1'!$A$2:$Q$3504,4,FALSE())</f>
        <v>#N/A</v>
      </c>
      <c r="E380" s="0" t="e">
        <f aca="false">VLOOKUP($A380,'[2]Sheet 1'!$A$2:$Q$3504,5,FALSE())</f>
        <v>#N/A</v>
      </c>
      <c r="F380" s="0" t="e">
        <f aca="false">VLOOKUP($A380,'[2]Sheet 1'!$A$2:$Q$3504,6,FALSE())</f>
        <v>#N/A</v>
      </c>
      <c r="G380" s="0" t="e">
        <f aca="false">VLOOKUP($A380,'[2]Sheet 1'!$A$2:$Q$3504,7,FALSE())</f>
        <v>#N/A</v>
      </c>
      <c r="H380" s="0" t="e">
        <f aca="false">VLOOKUP($A380,'[2]Sheet 1'!$A$2:$Q$3504,8,FALSE())</f>
        <v>#N/A</v>
      </c>
      <c r="I380" s="0" t="e">
        <f aca="false">VLOOKUP($A380,'[2]Sheet 1'!$A$2:$Q$3504,9,FALSE())</f>
        <v>#N/A</v>
      </c>
      <c r="J380" s="0" t="e">
        <f aca="false">VLOOKUP($A380,'[2]Sheet 1'!$A$2:$Q$3504,10,FALSE())</f>
        <v>#N/A</v>
      </c>
      <c r="K380" s="0" t="e">
        <f aca="false">VLOOKUP($A380,'[2]Sheet 1'!$A$2:$Q$3504,11,FALSE())</f>
        <v>#N/A</v>
      </c>
      <c r="L380" s="0" t="e">
        <f aca="false">VLOOKUP($A380,'[2]Sheet 1'!$A$2:$Q$3504,12,FALSE())</f>
        <v>#N/A</v>
      </c>
      <c r="M380" s="0" t="e">
        <f aca="false">VLOOKUP($A380,'[2]Sheet 1'!$A$2:$Q$3504,13,FALSE())</f>
        <v>#N/A</v>
      </c>
      <c r="N380" s="0" t="e">
        <f aca="false">VLOOKUP($A380,'[2]Sheet 1'!$A$2:$Q$3504,14,FALSE())</f>
        <v>#N/A</v>
      </c>
      <c r="O380" s="0" t="e">
        <f aca="false">VLOOKUP($A380,'[2]Sheet 1'!$A$2:$Q$3504,15,FALSE())</f>
        <v>#N/A</v>
      </c>
      <c r="P380" s="0" t="e">
        <f aca="false">VLOOKUP($A380,'[2]Sheet 1'!$A$2:$Q$3504,16,FALSE())</f>
        <v>#N/A</v>
      </c>
      <c r="Q380" s="0" t="e">
        <f aca="false">VLOOKUP($A380,'[2]Sheet 1'!$A$2:$Q$3504,17,FALSE())</f>
        <v>#N/A</v>
      </c>
      <c r="S380" s="5"/>
    </row>
    <row r="381" customFormat="false" ht="14.25" hidden="false" customHeight="false" outlineLevel="0" collapsed="false">
      <c r="A381" s="5" t="n">
        <v>951</v>
      </c>
      <c r="B381" s="5" t="s">
        <v>926</v>
      </c>
      <c r="C381" s="5" t="n">
        <v>13</v>
      </c>
      <c r="D381" s="0" t="e">
        <f aca="false">VLOOKUP($A381,'[2]Sheet 1'!$A$2:$Q$3504,4,FALSE())</f>
        <v>#N/A</v>
      </c>
      <c r="E381" s="0" t="e">
        <f aca="false">VLOOKUP($A381,'[2]Sheet 1'!$A$2:$Q$3504,5,FALSE())</f>
        <v>#N/A</v>
      </c>
      <c r="F381" s="0" t="e">
        <f aca="false">VLOOKUP($A381,'[2]Sheet 1'!$A$2:$Q$3504,6,FALSE())</f>
        <v>#N/A</v>
      </c>
      <c r="G381" s="0" t="e">
        <f aca="false">VLOOKUP($A381,'[2]Sheet 1'!$A$2:$Q$3504,7,FALSE())</f>
        <v>#N/A</v>
      </c>
      <c r="H381" s="0" t="e">
        <f aca="false">VLOOKUP($A381,'[2]Sheet 1'!$A$2:$Q$3504,8,FALSE())</f>
        <v>#N/A</v>
      </c>
      <c r="I381" s="0" t="e">
        <f aca="false">VLOOKUP($A381,'[2]Sheet 1'!$A$2:$Q$3504,9,FALSE())</f>
        <v>#N/A</v>
      </c>
      <c r="J381" s="0" t="e">
        <f aca="false">VLOOKUP($A381,'[2]Sheet 1'!$A$2:$Q$3504,10,FALSE())</f>
        <v>#N/A</v>
      </c>
      <c r="K381" s="0" t="e">
        <f aca="false">VLOOKUP($A381,'[2]Sheet 1'!$A$2:$Q$3504,11,FALSE())</f>
        <v>#N/A</v>
      </c>
      <c r="L381" s="0" t="e">
        <f aca="false">VLOOKUP($A381,'[2]Sheet 1'!$A$2:$Q$3504,12,FALSE())</f>
        <v>#N/A</v>
      </c>
      <c r="M381" s="0" t="e">
        <f aca="false">VLOOKUP($A381,'[2]Sheet 1'!$A$2:$Q$3504,13,FALSE())</f>
        <v>#N/A</v>
      </c>
      <c r="N381" s="0" t="e">
        <f aca="false">VLOOKUP($A381,'[2]Sheet 1'!$A$2:$Q$3504,14,FALSE())</f>
        <v>#N/A</v>
      </c>
      <c r="O381" s="0" t="e">
        <f aca="false">VLOOKUP($A381,'[2]Sheet 1'!$A$2:$Q$3504,15,FALSE())</f>
        <v>#N/A</v>
      </c>
      <c r="P381" s="0" t="e">
        <f aca="false">VLOOKUP($A381,'[2]Sheet 1'!$A$2:$Q$3504,16,FALSE())</f>
        <v>#N/A</v>
      </c>
      <c r="Q381" s="0" t="e">
        <f aca="false">VLOOKUP($A381,'[2]Sheet 1'!$A$2:$Q$3504,17,FALSE())</f>
        <v>#N/A</v>
      </c>
      <c r="S381" s="5"/>
    </row>
    <row r="382" customFormat="false" ht="14.25" hidden="false" customHeight="false" outlineLevel="0" collapsed="false">
      <c r="A382" s="5" t="n">
        <v>953</v>
      </c>
      <c r="B382" s="5" t="s">
        <v>1233</v>
      </c>
      <c r="C382" s="5" t="n">
        <v>85</v>
      </c>
      <c r="D382" s="0" t="n">
        <f aca="false">VLOOKUP($A382,'[2]Sheet 1'!$A$2:$Q$3504,4,FALSE())</f>
        <v>875</v>
      </c>
      <c r="E382" s="0" t="n">
        <f aca="false">VLOOKUP($A382,'[2]Sheet 1'!$A$2:$Q$3504,5,FALSE())</f>
        <v>0</v>
      </c>
      <c r="F382" s="0" t="n">
        <f aca="false">VLOOKUP($A382,'[2]Sheet 1'!$A$2:$Q$3504,6,FALSE())</f>
        <v>0</v>
      </c>
      <c r="G382" s="0" t="n">
        <f aca="false">VLOOKUP($A382,'[2]Sheet 1'!$A$2:$Q$3504,7,FALSE())</f>
        <v>0</v>
      </c>
      <c r="H382" s="0" t="n">
        <f aca="false">VLOOKUP($A382,'[2]Sheet 1'!$A$2:$Q$3504,8,FALSE())</f>
        <v>0</v>
      </c>
      <c r="I382" s="0" t="n">
        <f aca="false">VLOOKUP($A382,'[2]Sheet 1'!$A$2:$Q$3504,9,FALSE())</f>
        <v>0</v>
      </c>
      <c r="J382" s="0" t="n">
        <f aca="false">VLOOKUP($A382,'[2]Sheet 1'!$A$2:$Q$3504,10,FALSE())</f>
        <v>0</v>
      </c>
      <c r="K382" s="0" t="n">
        <f aca="false">VLOOKUP($A382,'[2]Sheet 1'!$A$2:$Q$3504,11,FALSE())</f>
        <v>0</v>
      </c>
      <c r="L382" s="0" t="n">
        <f aca="false">VLOOKUP($A382,'[2]Sheet 1'!$A$2:$Q$3504,12,FALSE())</f>
        <v>0</v>
      </c>
      <c r="M382" s="0" t="n">
        <f aca="false">VLOOKUP($A382,'[2]Sheet 1'!$A$2:$Q$3504,13,FALSE())</f>
        <v>0</v>
      </c>
      <c r="N382" s="0" t="n">
        <f aca="false">VLOOKUP($A382,'[2]Sheet 1'!$A$2:$Q$3504,14,FALSE())</f>
        <v>2.32</v>
      </c>
      <c r="O382" s="0" t="n">
        <f aca="false">VLOOKUP($A382,'[2]Sheet 1'!$A$2:$Q$3504,15,FALSE())</f>
        <v>0.085</v>
      </c>
      <c r="P382" s="0" t="n">
        <f aca="false">VLOOKUP($A382,'[2]Sheet 1'!$A$2:$Q$3504,16,FALSE())</f>
        <v>7</v>
      </c>
      <c r="Q382" s="0" t="n">
        <f aca="false">VLOOKUP($A382,'[2]Sheet 1'!$A$2:$Q$3504,17,FALSE())</f>
        <v>958.75</v>
      </c>
      <c r="S382" s="5"/>
    </row>
    <row r="383" customFormat="false" ht="14.25" hidden="false" customHeight="false" outlineLevel="0" collapsed="false">
      <c r="A383" s="5" t="n">
        <v>958</v>
      </c>
      <c r="B383" s="5" t="s">
        <v>931</v>
      </c>
      <c r="C383" s="5" t="n">
        <v>80</v>
      </c>
      <c r="D383" s="0" t="e">
        <f aca="false">VLOOKUP($A383,'[2]Sheet 1'!$A$2:$Q$3504,4,FALSE())</f>
        <v>#N/A</v>
      </c>
      <c r="E383" s="0" t="e">
        <f aca="false">VLOOKUP($A383,'[2]Sheet 1'!$A$2:$Q$3504,5,FALSE())</f>
        <v>#N/A</v>
      </c>
      <c r="F383" s="0" t="e">
        <f aca="false">VLOOKUP($A383,'[2]Sheet 1'!$A$2:$Q$3504,6,FALSE())</f>
        <v>#N/A</v>
      </c>
      <c r="G383" s="0" t="e">
        <f aca="false">VLOOKUP($A383,'[2]Sheet 1'!$A$2:$Q$3504,7,FALSE())</f>
        <v>#N/A</v>
      </c>
      <c r="H383" s="0" t="e">
        <f aca="false">VLOOKUP($A383,'[2]Sheet 1'!$A$2:$Q$3504,8,FALSE())</f>
        <v>#N/A</v>
      </c>
      <c r="I383" s="0" t="e">
        <f aca="false">VLOOKUP($A383,'[2]Sheet 1'!$A$2:$Q$3504,9,FALSE())</f>
        <v>#N/A</v>
      </c>
      <c r="J383" s="0" t="e">
        <f aca="false">VLOOKUP($A383,'[2]Sheet 1'!$A$2:$Q$3504,10,FALSE())</f>
        <v>#N/A</v>
      </c>
      <c r="K383" s="0" t="e">
        <f aca="false">VLOOKUP($A383,'[2]Sheet 1'!$A$2:$Q$3504,11,FALSE())</f>
        <v>#N/A</v>
      </c>
      <c r="L383" s="0" t="e">
        <f aca="false">VLOOKUP($A383,'[2]Sheet 1'!$A$2:$Q$3504,12,FALSE())</f>
        <v>#N/A</v>
      </c>
      <c r="M383" s="0" t="e">
        <f aca="false">VLOOKUP($A383,'[2]Sheet 1'!$A$2:$Q$3504,13,FALSE())</f>
        <v>#N/A</v>
      </c>
      <c r="N383" s="0" t="e">
        <f aca="false">VLOOKUP($A383,'[2]Sheet 1'!$A$2:$Q$3504,14,FALSE())</f>
        <v>#N/A</v>
      </c>
      <c r="O383" s="0" t="e">
        <f aca="false">VLOOKUP($A383,'[2]Sheet 1'!$A$2:$Q$3504,15,FALSE())</f>
        <v>#N/A</v>
      </c>
      <c r="P383" s="0" t="e">
        <f aca="false">VLOOKUP($A383,'[2]Sheet 1'!$A$2:$Q$3504,16,FALSE())</f>
        <v>#N/A</v>
      </c>
      <c r="Q383" s="0" t="e">
        <f aca="false">VLOOKUP($A383,'[2]Sheet 1'!$A$2:$Q$3504,17,FALSE())</f>
        <v>#N/A</v>
      </c>
      <c r="S383" s="5"/>
    </row>
    <row r="384" customFormat="false" ht="14.25" hidden="false" customHeight="false" outlineLevel="0" collapsed="false">
      <c r="A384" s="5" t="n">
        <v>959</v>
      </c>
      <c r="B384" s="5" t="s">
        <v>932</v>
      </c>
      <c r="C384" s="5" t="n">
        <v>90</v>
      </c>
      <c r="D384" s="0" t="e">
        <f aca="false">VLOOKUP($A384,'[2]Sheet 1'!$A$2:$Q$3504,4,FALSE())</f>
        <v>#N/A</v>
      </c>
      <c r="E384" s="0" t="e">
        <f aca="false">VLOOKUP($A384,'[2]Sheet 1'!$A$2:$Q$3504,5,FALSE())</f>
        <v>#N/A</v>
      </c>
      <c r="F384" s="0" t="e">
        <f aca="false">VLOOKUP($A384,'[2]Sheet 1'!$A$2:$Q$3504,6,FALSE())</f>
        <v>#N/A</v>
      </c>
      <c r="G384" s="0" t="e">
        <f aca="false">VLOOKUP($A384,'[2]Sheet 1'!$A$2:$Q$3504,7,FALSE())</f>
        <v>#N/A</v>
      </c>
      <c r="H384" s="0" t="e">
        <f aca="false">VLOOKUP($A384,'[2]Sheet 1'!$A$2:$Q$3504,8,FALSE())</f>
        <v>#N/A</v>
      </c>
      <c r="I384" s="0" t="e">
        <f aca="false">VLOOKUP($A384,'[2]Sheet 1'!$A$2:$Q$3504,9,FALSE())</f>
        <v>#N/A</v>
      </c>
      <c r="J384" s="0" t="e">
        <f aca="false">VLOOKUP($A384,'[2]Sheet 1'!$A$2:$Q$3504,10,FALSE())</f>
        <v>#N/A</v>
      </c>
      <c r="K384" s="0" t="e">
        <f aca="false">VLOOKUP($A384,'[2]Sheet 1'!$A$2:$Q$3504,11,FALSE())</f>
        <v>#N/A</v>
      </c>
      <c r="L384" s="0" t="e">
        <f aca="false">VLOOKUP($A384,'[2]Sheet 1'!$A$2:$Q$3504,12,FALSE())</f>
        <v>#N/A</v>
      </c>
      <c r="M384" s="0" t="e">
        <f aca="false">VLOOKUP($A384,'[2]Sheet 1'!$A$2:$Q$3504,13,FALSE())</f>
        <v>#N/A</v>
      </c>
      <c r="N384" s="0" t="e">
        <f aca="false">VLOOKUP($A384,'[2]Sheet 1'!$A$2:$Q$3504,14,FALSE())</f>
        <v>#N/A</v>
      </c>
      <c r="O384" s="0" t="e">
        <f aca="false">VLOOKUP($A384,'[2]Sheet 1'!$A$2:$Q$3504,15,FALSE())</f>
        <v>#N/A</v>
      </c>
      <c r="P384" s="0" t="e">
        <f aca="false">VLOOKUP($A384,'[2]Sheet 1'!$A$2:$Q$3504,16,FALSE())</f>
        <v>#N/A</v>
      </c>
      <c r="Q384" s="0" t="e">
        <f aca="false">VLOOKUP($A384,'[2]Sheet 1'!$A$2:$Q$3504,17,FALSE())</f>
        <v>#N/A</v>
      </c>
      <c r="S384" s="5"/>
    </row>
    <row r="385" customFormat="false" ht="14.25" hidden="false" customHeight="false" outlineLevel="0" collapsed="false">
      <c r="A385" s="5" t="n">
        <v>976</v>
      </c>
      <c r="B385" s="5" t="s">
        <v>936</v>
      </c>
      <c r="C385" s="5" t="n">
        <v>0</v>
      </c>
      <c r="D385" s="0" t="e">
        <f aca="false">VLOOKUP($A385,'[2]Sheet 1'!$A$2:$Q$3504,4,FALSE())</f>
        <v>#N/A</v>
      </c>
      <c r="E385" s="0" t="e">
        <f aca="false">VLOOKUP($A385,'[2]Sheet 1'!$A$2:$Q$3504,5,FALSE())</f>
        <v>#N/A</v>
      </c>
      <c r="F385" s="0" t="e">
        <f aca="false">VLOOKUP($A385,'[2]Sheet 1'!$A$2:$Q$3504,6,FALSE())</f>
        <v>#N/A</v>
      </c>
      <c r="G385" s="0" t="e">
        <f aca="false">VLOOKUP($A385,'[2]Sheet 1'!$A$2:$Q$3504,7,FALSE())</f>
        <v>#N/A</v>
      </c>
      <c r="H385" s="0" t="e">
        <f aca="false">VLOOKUP($A385,'[2]Sheet 1'!$A$2:$Q$3504,8,FALSE())</f>
        <v>#N/A</v>
      </c>
      <c r="I385" s="0" t="e">
        <f aca="false">VLOOKUP($A385,'[2]Sheet 1'!$A$2:$Q$3504,9,FALSE())</f>
        <v>#N/A</v>
      </c>
      <c r="J385" s="0" t="e">
        <f aca="false">VLOOKUP($A385,'[2]Sheet 1'!$A$2:$Q$3504,10,FALSE())</f>
        <v>#N/A</v>
      </c>
      <c r="K385" s="0" t="e">
        <f aca="false">VLOOKUP($A385,'[2]Sheet 1'!$A$2:$Q$3504,11,FALSE())</f>
        <v>#N/A</v>
      </c>
      <c r="L385" s="0" t="e">
        <f aca="false">VLOOKUP($A385,'[2]Sheet 1'!$A$2:$Q$3504,12,FALSE())</f>
        <v>#N/A</v>
      </c>
      <c r="M385" s="0" t="e">
        <f aca="false">VLOOKUP($A385,'[2]Sheet 1'!$A$2:$Q$3504,13,FALSE())</f>
        <v>#N/A</v>
      </c>
      <c r="N385" s="0" t="e">
        <f aca="false">VLOOKUP($A385,'[2]Sheet 1'!$A$2:$Q$3504,14,FALSE())</f>
        <v>#N/A</v>
      </c>
      <c r="O385" s="0" t="e">
        <f aca="false">VLOOKUP($A385,'[2]Sheet 1'!$A$2:$Q$3504,15,FALSE())</f>
        <v>#N/A</v>
      </c>
      <c r="P385" s="0" t="e">
        <f aca="false">VLOOKUP($A385,'[2]Sheet 1'!$A$2:$Q$3504,16,FALSE())</f>
        <v>#N/A</v>
      </c>
      <c r="Q385" s="0" t="e">
        <f aca="false">VLOOKUP($A385,'[2]Sheet 1'!$A$2:$Q$3504,17,FALSE())</f>
        <v>#N/A</v>
      </c>
      <c r="S385" s="5"/>
    </row>
    <row r="386" customFormat="false" ht="14.25" hidden="false" customHeight="false" outlineLevel="0" collapsed="false">
      <c r="A386" s="5" t="n">
        <v>977</v>
      </c>
      <c r="B386" s="5" t="s">
        <v>938</v>
      </c>
      <c r="C386" s="5" t="n">
        <v>50</v>
      </c>
      <c r="D386" s="0" t="n">
        <f aca="false">VLOOKUP($A386,'[2]Sheet 1'!$A$2:$Q$3504,4,FALSE())</f>
        <v>179.5</v>
      </c>
      <c r="E386" s="0" t="n">
        <f aca="false">VLOOKUP($A386,'[2]Sheet 1'!$A$2:$Q$3504,5,FALSE())</f>
        <v>18.8</v>
      </c>
      <c r="F386" s="0" t="n">
        <f aca="false">VLOOKUP($A386,'[2]Sheet 1'!$A$2:$Q$3504,6,FALSE())</f>
        <v>0</v>
      </c>
      <c r="G386" s="0" t="n">
        <f aca="false">VLOOKUP($A386,'[2]Sheet 1'!$A$2:$Q$3504,7,FALSE())</f>
        <v>3.33</v>
      </c>
      <c r="H386" s="0" t="n">
        <f aca="false">VLOOKUP($A386,'[2]Sheet 1'!$A$2:$Q$3504,8,FALSE())</f>
        <v>2.2</v>
      </c>
      <c r="I386" s="0" t="n">
        <f aca="false">VLOOKUP($A386,'[2]Sheet 1'!$A$2:$Q$3504,9,FALSE())</f>
        <v>11</v>
      </c>
      <c r="J386" s="0" t="n">
        <f aca="false">VLOOKUP($A386,'[2]Sheet 1'!$A$2:$Q$3504,10,FALSE())</f>
        <v>5</v>
      </c>
      <c r="K386" s="0" t="n">
        <f aca="false">VLOOKUP($A386,'[2]Sheet 1'!$A$2:$Q$3504,11,FALSE())</f>
        <v>0.2</v>
      </c>
      <c r="L386" s="0" t="n">
        <f aca="false">VLOOKUP($A386,'[2]Sheet 1'!$A$2:$Q$3504,12,FALSE())</f>
        <v>0</v>
      </c>
      <c r="M386" s="0" t="n">
        <f aca="false">VLOOKUP($A386,'[2]Sheet 1'!$A$2:$Q$3504,13,FALSE())</f>
        <v>300</v>
      </c>
      <c r="N386" s="0" t="n">
        <f aca="false">VLOOKUP($A386,'[2]Sheet 1'!$A$2:$Q$3504,14,FALSE())</f>
        <v>0.120021922207713</v>
      </c>
      <c r="O386" s="0" t="n">
        <f aca="false">VLOOKUP($A386,'[2]Sheet 1'!$A$2:$Q$3504,15,FALSE())</f>
        <v>2.14721610700734</v>
      </c>
      <c r="P386" s="0" t="n">
        <f aca="false">VLOOKUP($A386,'[2]Sheet 1'!$A$2:$Q$3504,16,FALSE())</f>
        <v>2.43385690345533</v>
      </c>
      <c r="Q386" s="0" t="n">
        <f aca="false">VLOOKUP($A386,'[2]Sheet 1'!$A$2:$Q$3504,17,FALSE())</f>
        <v>8</v>
      </c>
      <c r="S386" s="5"/>
    </row>
    <row r="387" customFormat="false" ht="14.25" hidden="false" customHeight="false" outlineLevel="0" collapsed="false">
      <c r="A387" s="5" t="n">
        <v>978</v>
      </c>
      <c r="B387" s="5" t="s">
        <v>941</v>
      </c>
      <c r="C387" s="5" t="n">
        <v>50</v>
      </c>
      <c r="D387" s="0" t="n">
        <f aca="false">VLOOKUP($A387,'[2]Sheet 1'!$A$2:$Q$3504,4,FALSE())</f>
        <v>124</v>
      </c>
      <c r="E387" s="0" t="n">
        <f aca="false">VLOOKUP($A387,'[2]Sheet 1'!$A$2:$Q$3504,5,FALSE())</f>
        <v>16.47</v>
      </c>
      <c r="F387" s="0" t="n">
        <f aca="false">VLOOKUP($A387,'[2]Sheet 1'!$A$2:$Q$3504,6,FALSE())</f>
        <v>0</v>
      </c>
      <c r="G387" s="0" t="n">
        <f aca="false">VLOOKUP($A387,'[2]Sheet 1'!$A$2:$Q$3504,7,FALSE())</f>
        <v>2.085</v>
      </c>
      <c r="H387" s="0" t="n">
        <f aca="false">VLOOKUP($A387,'[2]Sheet 1'!$A$2:$Q$3504,8,FALSE())</f>
        <v>5.8</v>
      </c>
      <c r="I387" s="0" t="n">
        <f aca="false">VLOOKUP($A387,'[2]Sheet 1'!$A$2:$Q$3504,9,FALSE())</f>
        <v>9.9</v>
      </c>
      <c r="J387" s="0" t="n">
        <f aca="false">VLOOKUP($A387,'[2]Sheet 1'!$A$2:$Q$3504,10,FALSE())</f>
        <v>12</v>
      </c>
      <c r="K387" s="0" t="n">
        <f aca="false">VLOOKUP($A387,'[2]Sheet 1'!$A$2:$Q$3504,11,FALSE())</f>
        <v>0.52</v>
      </c>
      <c r="L387" s="0" t="n">
        <f aca="false">VLOOKUP($A387,'[2]Sheet 1'!$A$2:$Q$3504,12,FALSE())</f>
        <v>0</v>
      </c>
      <c r="M387" s="0" t="n">
        <f aca="false">VLOOKUP($A387,'[2]Sheet 1'!$A$2:$Q$3504,13,FALSE())</f>
        <v>296</v>
      </c>
      <c r="N387" s="0" t="n">
        <f aca="false">VLOOKUP($A387,'[2]Sheet 1'!$A$2:$Q$3504,14,FALSE())</f>
        <v>0.6</v>
      </c>
      <c r="O387" s="0" t="n">
        <f aca="false">VLOOKUP($A387,'[2]Sheet 1'!$A$2:$Q$3504,15,FALSE())</f>
        <v>61.6</v>
      </c>
      <c r="P387" s="0" t="n">
        <f aca="false">VLOOKUP($A387,'[2]Sheet 1'!$A$2:$Q$3504,16,FALSE())</f>
        <v>1.6</v>
      </c>
      <c r="Q387" s="0" t="n">
        <f aca="false">VLOOKUP($A387,'[2]Sheet 1'!$A$2:$Q$3504,17,FALSE())</f>
        <v>110.5</v>
      </c>
      <c r="S387" s="5"/>
    </row>
    <row r="388" customFormat="false" ht="14.25" hidden="false" customHeight="false" outlineLevel="0" collapsed="false">
      <c r="A388" s="5" t="n">
        <v>982</v>
      </c>
      <c r="B388" s="5" t="s">
        <v>945</v>
      </c>
      <c r="C388" s="5" t="n">
        <v>13</v>
      </c>
      <c r="D388" s="0" t="n">
        <f aca="false">VLOOKUP($A388,'[2]Sheet 1'!$A$2:$Q$3504,4,FALSE())</f>
        <v>100</v>
      </c>
      <c r="E388" s="0" t="n">
        <f aca="false">VLOOKUP($A388,'[2]Sheet 1'!$A$2:$Q$3504,5,FALSE())</f>
        <v>5.9</v>
      </c>
      <c r="F388" s="0" t="n">
        <f aca="false">VLOOKUP($A388,'[2]Sheet 1'!$A$2:$Q$3504,6,FALSE())</f>
        <v>0</v>
      </c>
      <c r="G388" s="0" t="n">
        <f aca="false">VLOOKUP($A388,'[2]Sheet 1'!$A$2:$Q$3504,7,FALSE())</f>
        <v>0.54</v>
      </c>
      <c r="H388" s="0" t="n">
        <f aca="false">VLOOKUP($A388,'[2]Sheet 1'!$A$2:$Q$3504,8,FALSE())</f>
        <v>0.1</v>
      </c>
      <c r="I388" s="0" t="n">
        <f aca="false">VLOOKUP($A388,'[2]Sheet 1'!$A$2:$Q$3504,9,FALSE())</f>
        <v>200</v>
      </c>
      <c r="J388" s="0" t="n">
        <f aca="false">VLOOKUP($A388,'[2]Sheet 1'!$A$2:$Q$3504,10,FALSE())</f>
        <v>7</v>
      </c>
      <c r="K388" s="0" t="n">
        <f aca="false">VLOOKUP($A388,'[2]Sheet 1'!$A$2:$Q$3504,11,FALSE())</f>
        <v>0.355</v>
      </c>
      <c r="L388" s="0" t="n">
        <f aca="false">VLOOKUP($A388,'[2]Sheet 1'!$A$2:$Q$3504,12,FALSE())</f>
        <v>0</v>
      </c>
      <c r="M388" s="0" t="n">
        <f aca="false">VLOOKUP($A388,'[2]Sheet 1'!$A$2:$Q$3504,13,FALSE())</f>
        <v>162</v>
      </c>
      <c r="N388" s="0" t="n">
        <f aca="false">VLOOKUP($A388,'[2]Sheet 1'!$A$2:$Q$3504,14,FALSE())</f>
        <v>0</v>
      </c>
      <c r="O388" s="0" t="n">
        <f aca="false">VLOOKUP($A388,'[2]Sheet 1'!$A$2:$Q$3504,15,FALSE())</f>
        <v>0.355</v>
      </c>
      <c r="P388" s="0" t="n">
        <f aca="false">VLOOKUP($A388,'[2]Sheet 1'!$A$2:$Q$3504,16,FALSE())</f>
        <v>0</v>
      </c>
      <c r="Q388" s="0" t="n">
        <f aca="false">VLOOKUP($A388,'[2]Sheet 1'!$A$2:$Q$3504,17,FALSE())</f>
        <v>44</v>
      </c>
      <c r="S388" s="5"/>
    </row>
    <row r="389" customFormat="false" ht="14.25" hidden="false" customHeight="false" outlineLevel="0" collapsed="false">
      <c r="A389" s="5" t="n">
        <v>984</v>
      </c>
      <c r="B389" s="5" t="s">
        <v>946</v>
      </c>
      <c r="C389" s="5" t="n">
        <v>60</v>
      </c>
      <c r="D389" s="0" t="n">
        <f aca="false">VLOOKUP($A389,'[2]Sheet 1'!$A$2:$Q$3504,4,FALSE())</f>
        <v>323</v>
      </c>
      <c r="E389" s="0" t="n">
        <f aca="false">VLOOKUP($A389,'[2]Sheet 1'!$A$2:$Q$3504,5,FALSE())</f>
        <v>21.92</v>
      </c>
      <c r="F389" s="0" t="n">
        <f aca="false">VLOOKUP($A389,'[2]Sheet 1'!$A$2:$Q$3504,6,FALSE())</f>
        <v>0</v>
      </c>
      <c r="G389" s="0" t="n">
        <f aca="false">VLOOKUP($A389,'[2]Sheet 1'!$A$2:$Q$3504,7,FALSE())</f>
        <v>3.55</v>
      </c>
      <c r="H389" s="0" t="n">
        <f aca="false">VLOOKUP($A389,'[2]Sheet 1'!$A$2:$Q$3504,8,FALSE())</f>
        <v>0.6</v>
      </c>
      <c r="I389" s="0" t="n">
        <f aca="false">VLOOKUP($A389,'[2]Sheet 1'!$A$2:$Q$3504,9,FALSE())</f>
        <v>723</v>
      </c>
      <c r="J389" s="0" t="n">
        <f aca="false">VLOOKUP($A389,'[2]Sheet 1'!$A$2:$Q$3504,10,FALSE())</f>
        <v>6</v>
      </c>
      <c r="K389" s="0" t="n">
        <f aca="false">VLOOKUP($A389,'[2]Sheet 1'!$A$2:$Q$3504,11,FALSE())</f>
        <v>0.4</v>
      </c>
      <c r="L389" s="0" t="n">
        <f aca="false">VLOOKUP($A389,'[2]Sheet 1'!$A$2:$Q$3504,12,FALSE())</f>
        <v>0</v>
      </c>
      <c r="M389" s="0" t="n">
        <f aca="false">VLOOKUP($A389,'[2]Sheet 1'!$A$2:$Q$3504,13,FALSE())</f>
        <v>284</v>
      </c>
      <c r="N389" s="0" t="n">
        <f aca="false">VLOOKUP($A389,'[2]Sheet 1'!$A$2:$Q$3504,14,FALSE())</f>
        <v>0</v>
      </c>
      <c r="O389" s="0" t="n">
        <f aca="false">VLOOKUP($A389,'[2]Sheet 1'!$A$2:$Q$3504,15,FALSE())</f>
        <v>2.3</v>
      </c>
      <c r="P389" s="0" t="n">
        <f aca="false">VLOOKUP($A389,'[2]Sheet 1'!$A$2:$Q$3504,16,FALSE())</f>
        <v>0</v>
      </c>
      <c r="Q389" s="0" t="n">
        <f aca="false">VLOOKUP($A389,'[2]Sheet 1'!$A$2:$Q$3504,17,FALSE())</f>
        <v>237</v>
      </c>
      <c r="S389" s="5"/>
    </row>
    <row r="390" customFormat="false" ht="14.25" hidden="false" customHeight="false" outlineLevel="0" collapsed="false">
      <c r="A390" s="5" t="n">
        <v>987</v>
      </c>
      <c r="B390" s="5" t="s">
        <v>947</v>
      </c>
      <c r="C390" s="5" t="n">
        <v>90</v>
      </c>
      <c r="D390" s="0" t="e">
        <f aca="false">VLOOKUP($A390,'[2]Sheet 1'!$A$2:$Q$3504,4,FALSE())</f>
        <v>#N/A</v>
      </c>
      <c r="E390" s="0" t="e">
        <f aca="false">VLOOKUP($A390,'[2]Sheet 1'!$A$2:$Q$3504,5,FALSE())</f>
        <v>#N/A</v>
      </c>
      <c r="F390" s="0" t="e">
        <f aca="false">VLOOKUP($A390,'[2]Sheet 1'!$A$2:$Q$3504,6,FALSE())</f>
        <v>#N/A</v>
      </c>
      <c r="G390" s="0" t="e">
        <f aca="false">VLOOKUP($A390,'[2]Sheet 1'!$A$2:$Q$3504,7,FALSE())</f>
        <v>#N/A</v>
      </c>
      <c r="H390" s="0" t="e">
        <f aca="false">VLOOKUP($A390,'[2]Sheet 1'!$A$2:$Q$3504,8,FALSE())</f>
        <v>#N/A</v>
      </c>
      <c r="I390" s="0" t="e">
        <f aca="false">VLOOKUP($A390,'[2]Sheet 1'!$A$2:$Q$3504,9,FALSE())</f>
        <v>#N/A</v>
      </c>
      <c r="J390" s="0" t="e">
        <f aca="false">VLOOKUP($A390,'[2]Sheet 1'!$A$2:$Q$3504,10,FALSE())</f>
        <v>#N/A</v>
      </c>
      <c r="K390" s="0" t="e">
        <f aca="false">VLOOKUP($A390,'[2]Sheet 1'!$A$2:$Q$3504,11,FALSE())</f>
        <v>#N/A</v>
      </c>
      <c r="L390" s="0" t="e">
        <f aca="false">VLOOKUP($A390,'[2]Sheet 1'!$A$2:$Q$3504,12,FALSE())</f>
        <v>#N/A</v>
      </c>
      <c r="M390" s="0" t="e">
        <f aca="false">VLOOKUP($A390,'[2]Sheet 1'!$A$2:$Q$3504,13,FALSE())</f>
        <v>#N/A</v>
      </c>
      <c r="N390" s="0" t="e">
        <f aca="false">VLOOKUP($A390,'[2]Sheet 1'!$A$2:$Q$3504,14,FALSE())</f>
        <v>#N/A</v>
      </c>
      <c r="O390" s="0" t="e">
        <f aca="false">VLOOKUP($A390,'[2]Sheet 1'!$A$2:$Q$3504,15,FALSE())</f>
        <v>#N/A</v>
      </c>
      <c r="P390" s="0" t="e">
        <f aca="false">VLOOKUP($A390,'[2]Sheet 1'!$A$2:$Q$3504,16,FALSE())</f>
        <v>#N/A</v>
      </c>
      <c r="Q390" s="0" t="e">
        <f aca="false">VLOOKUP($A390,'[2]Sheet 1'!$A$2:$Q$3504,17,FALSE())</f>
        <v>#N/A</v>
      </c>
      <c r="S390" s="5"/>
    </row>
    <row r="391" customFormat="false" ht="14.25" hidden="false" customHeight="false" outlineLevel="0" collapsed="false">
      <c r="A391" s="5" t="n">
        <v>988</v>
      </c>
      <c r="B391" s="5" t="s">
        <v>950</v>
      </c>
      <c r="C391" s="5" t="n">
        <v>90</v>
      </c>
      <c r="D391" s="0" t="e">
        <f aca="false">VLOOKUP($A391,'[2]Sheet 1'!$A$2:$Q$3504,4,FALSE())</f>
        <v>#N/A</v>
      </c>
      <c r="E391" s="0" t="e">
        <f aca="false">VLOOKUP($A391,'[2]Sheet 1'!$A$2:$Q$3504,5,FALSE())</f>
        <v>#N/A</v>
      </c>
      <c r="F391" s="0" t="e">
        <f aca="false">VLOOKUP($A391,'[2]Sheet 1'!$A$2:$Q$3504,6,FALSE())</f>
        <v>#N/A</v>
      </c>
      <c r="G391" s="0" t="e">
        <f aca="false">VLOOKUP($A391,'[2]Sheet 1'!$A$2:$Q$3504,7,FALSE())</f>
        <v>#N/A</v>
      </c>
      <c r="H391" s="0" t="e">
        <f aca="false">VLOOKUP($A391,'[2]Sheet 1'!$A$2:$Q$3504,8,FALSE())</f>
        <v>#N/A</v>
      </c>
      <c r="I391" s="0" t="e">
        <f aca="false">VLOOKUP($A391,'[2]Sheet 1'!$A$2:$Q$3504,9,FALSE())</f>
        <v>#N/A</v>
      </c>
      <c r="J391" s="0" t="e">
        <f aca="false">VLOOKUP($A391,'[2]Sheet 1'!$A$2:$Q$3504,10,FALSE())</f>
        <v>#N/A</v>
      </c>
      <c r="K391" s="0" t="e">
        <f aca="false">VLOOKUP($A391,'[2]Sheet 1'!$A$2:$Q$3504,11,FALSE())</f>
        <v>#N/A</v>
      </c>
      <c r="L391" s="0" t="e">
        <f aca="false">VLOOKUP($A391,'[2]Sheet 1'!$A$2:$Q$3504,12,FALSE())</f>
        <v>#N/A</v>
      </c>
      <c r="M391" s="0" t="e">
        <f aca="false">VLOOKUP($A391,'[2]Sheet 1'!$A$2:$Q$3504,13,FALSE())</f>
        <v>#N/A</v>
      </c>
      <c r="N391" s="0" t="e">
        <f aca="false">VLOOKUP($A391,'[2]Sheet 1'!$A$2:$Q$3504,14,FALSE())</f>
        <v>#N/A</v>
      </c>
      <c r="O391" s="0" t="e">
        <f aca="false">VLOOKUP($A391,'[2]Sheet 1'!$A$2:$Q$3504,15,FALSE())</f>
        <v>#N/A</v>
      </c>
      <c r="P391" s="0" t="e">
        <f aca="false">VLOOKUP($A391,'[2]Sheet 1'!$A$2:$Q$3504,16,FALSE())</f>
        <v>#N/A</v>
      </c>
      <c r="Q391" s="0" t="e">
        <f aca="false">VLOOKUP($A391,'[2]Sheet 1'!$A$2:$Q$3504,17,FALSE())</f>
        <v>#N/A</v>
      </c>
      <c r="S391" s="5"/>
    </row>
    <row r="392" customFormat="false" ht="14.25" hidden="false" customHeight="false" outlineLevel="0" collapsed="false">
      <c r="A392" s="5" t="n">
        <v>994</v>
      </c>
      <c r="B392" s="5" t="s">
        <v>953</v>
      </c>
      <c r="C392" s="5" t="n">
        <v>100</v>
      </c>
      <c r="D392" s="0" t="e">
        <f aca="false">VLOOKUP($A392,'[2]Sheet 1'!$A$2:$Q$3504,4,FALSE())</f>
        <v>#N/A</v>
      </c>
      <c r="E392" s="0" t="e">
        <f aca="false">VLOOKUP($A392,'[2]Sheet 1'!$A$2:$Q$3504,5,FALSE())</f>
        <v>#N/A</v>
      </c>
      <c r="F392" s="0" t="e">
        <f aca="false">VLOOKUP($A392,'[2]Sheet 1'!$A$2:$Q$3504,6,FALSE())</f>
        <v>#N/A</v>
      </c>
      <c r="G392" s="0" t="e">
        <f aca="false">VLOOKUP($A392,'[2]Sheet 1'!$A$2:$Q$3504,7,FALSE())</f>
        <v>#N/A</v>
      </c>
      <c r="H392" s="0" t="e">
        <f aca="false">VLOOKUP($A392,'[2]Sheet 1'!$A$2:$Q$3504,8,FALSE())</f>
        <v>#N/A</v>
      </c>
      <c r="I392" s="0" t="e">
        <f aca="false">VLOOKUP($A392,'[2]Sheet 1'!$A$2:$Q$3504,9,FALSE())</f>
        <v>#N/A</v>
      </c>
      <c r="J392" s="0" t="e">
        <f aca="false">VLOOKUP($A392,'[2]Sheet 1'!$A$2:$Q$3504,10,FALSE())</f>
        <v>#N/A</v>
      </c>
      <c r="K392" s="0" t="e">
        <f aca="false">VLOOKUP($A392,'[2]Sheet 1'!$A$2:$Q$3504,11,FALSE())</f>
        <v>#N/A</v>
      </c>
      <c r="L392" s="0" t="e">
        <f aca="false">VLOOKUP($A392,'[2]Sheet 1'!$A$2:$Q$3504,12,FALSE())</f>
        <v>#N/A</v>
      </c>
      <c r="M392" s="0" t="e">
        <f aca="false">VLOOKUP($A392,'[2]Sheet 1'!$A$2:$Q$3504,13,FALSE())</f>
        <v>#N/A</v>
      </c>
      <c r="N392" s="0" t="e">
        <f aca="false">VLOOKUP($A392,'[2]Sheet 1'!$A$2:$Q$3504,14,FALSE())</f>
        <v>#N/A</v>
      </c>
      <c r="O392" s="0" t="e">
        <f aca="false">VLOOKUP($A392,'[2]Sheet 1'!$A$2:$Q$3504,15,FALSE())</f>
        <v>#N/A</v>
      </c>
      <c r="P392" s="0" t="e">
        <f aca="false">VLOOKUP($A392,'[2]Sheet 1'!$A$2:$Q$3504,16,FALSE())</f>
        <v>#N/A</v>
      </c>
      <c r="Q392" s="0" t="e">
        <f aca="false">VLOOKUP($A392,'[2]Sheet 1'!$A$2:$Q$3504,17,FALSE())</f>
        <v>#N/A</v>
      </c>
      <c r="S392" s="5"/>
    </row>
    <row r="393" customFormat="false" ht="14.25" hidden="false" customHeight="false" outlineLevel="0" collapsed="false">
      <c r="A393" s="5" t="n">
        <v>996</v>
      </c>
      <c r="B393" s="5" t="s">
        <v>958</v>
      </c>
      <c r="C393" s="5" t="n">
        <v>80</v>
      </c>
      <c r="D393" s="0" t="e">
        <f aca="false">VLOOKUP($A393,'[2]Sheet 1'!$A$2:$Q$3504,4,FALSE())</f>
        <v>#N/A</v>
      </c>
      <c r="E393" s="0" t="e">
        <f aca="false">VLOOKUP($A393,'[2]Sheet 1'!$A$2:$Q$3504,5,FALSE())</f>
        <v>#N/A</v>
      </c>
      <c r="F393" s="0" t="e">
        <f aca="false">VLOOKUP($A393,'[2]Sheet 1'!$A$2:$Q$3504,6,FALSE())</f>
        <v>#N/A</v>
      </c>
      <c r="G393" s="0" t="e">
        <f aca="false">VLOOKUP($A393,'[2]Sheet 1'!$A$2:$Q$3504,7,FALSE())</f>
        <v>#N/A</v>
      </c>
      <c r="H393" s="0" t="e">
        <f aca="false">VLOOKUP($A393,'[2]Sheet 1'!$A$2:$Q$3504,8,FALSE())</f>
        <v>#N/A</v>
      </c>
      <c r="I393" s="0" t="e">
        <f aca="false">VLOOKUP($A393,'[2]Sheet 1'!$A$2:$Q$3504,9,FALSE())</f>
        <v>#N/A</v>
      </c>
      <c r="J393" s="0" t="e">
        <f aca="false">VLOOKUP($A393,'[2]Sheet 1'!$A$2:$Q$3504,10,FALSE())</f>
        <v>#N/A</v>
      </c>
      <c r="K393" s="0" t="e">
        <f aca="false">VLOOKUP($A393,'[2]Sheet 1'!$A$2:$Q$3504,11,FALSE())</f>
        <v>#N/A</v>
      </c>
      <c r="L393" s="0" t="e">
        <f aca="false">VLOOKUP($A393,'[2]Sheet 1'!$A$2:$Q$3504,12,FALSE())</f>
        <v>#N/A</v>
      </c>
      <c r="M393" s="0" t="e">
        <f aca="false">VLOOKUP($A393,'[2]Sheet 1'!$A$2:$Q$3504,13,FALSE())</f>
        <v>#N/A</v>
      </c>
      <c r="N393" s="0" t="e">
        <f aca="false">VLOOKUP($A393,'[2]Sheet 1'!$A$2:$Q$3504,14,FALSE())</f>
        <v>#N/A</v>
      </c>
      <c r="O393" s="0" t="e">
        <f aca="false">VLOOKUP($A393,'[2]Sheet 1'!$A$2:$Q$3504,15,FALSE())</f>
        <v>#N/A</v>
      </c>
      <c r="P393" s="0" t="e">
        <f aca="false">VLOOKUP($A393,'[2]Sheet 1'!$A$2:$Q$3504,16,FALSE())</f>
        <v>#N/A</v>
      </c>
      <c r="Q393" s="0" t="e">
        <f aca="false">VLOOKUP($A393,'[2]Sheet 1'!$A$2:$Q$3504,17,FALSE())</f>
        <v>#N/A</v>
      </c>
      <c r="S393" s="5"/>
    </row>
    <row r="394" customFormat="false" ht="14.25" hidden="false" customHeight="false" outlineLevel="0" collapsed="false">
      <c r="A394" s="5" t="n">
        <v>997</v>
      </c>
      <c r="B394" s="5" t="s">
        <v>960</v>
      </c>
      <c r="C394" s="5" t="n">
        <v>90</v>
      </c>
      <c r="D394" s="0" t="e">
        <f aca="false">VLOOKUP($A394,'[2]Sheet 1'!$A$2:$Q$3504,4,FALSE())</f>
        <v>#N/A</v>
      </c>
      <c r="E394" s="0" t="e">
        <f aca="false">VLOOKUP($A394,'[2]Sheet 1'!$A$2:$Q$3504,5,FALSE())</f>
        <v>#N/A</v>
      </c>
      <c r="F394" s="0" t="e">
        <f aca="false">VLOOKUP($A394,'[2]Sheet 1'!$A$2:$Q$3504,6,FALSE())</f>
        <v>#N/A</v>
      </c>
      <c r="G394" s="0" t="e">
        <f aca="false">VLOOKUP($A394,'[2]Sheet 1'!$A$2:$Q$3504,7,FALSE())</f>
        <v>#N/A</v>
      </c>
      <c r="H394" s="0" t="e">
        <f aca="false">VLOOKUP($A394,'[2]Sheet 1'!$A$2:$Q$3504,8,FALSE())</f>
        <v>#N/A</v>
      </c>
      <c r="I394" s="0" t="e">
        <f aca="false">VLOOKUP($A394,'[2]Sheet 1'!$A$2:$Q$3504,9,FALSE())</f>
        <v>#N/A</v>
      </c>
      <c r="J394" s="0" t="e">
        <f aca="false">VLOOKUP($A394,'[2]Sheet 1'!$A$2:$Q$3504,10,FALSE())</f>
        <v>#N/A</v>
      </c>
      <c r="K394" s="0" t="e">
        <f aca="false">VLOOKUP($A394,'[2]Sheet 1'!$A$2:$Q$3504,11,FALSE())</f>
        <v>#N/A</v>
      </c>
      <c r="L394" s="0" t="e">
        <f aca="false">VLOOKUP($A394,'[2]Sheet 1'!$A$2:$Q$3504,12,FALSE())</f>
        <v>#N/A</v>
      </c>
      <c r="M394" s="0" t="e">
        <f aca="false">VLOOKUP($A394,'[2]Sheet 1'!$A$2:$Q$3504,13,FALSE())</f>
        <v>#N/A</v>
      </c>
      <c r="N394" s="0" t="e">
        <f aca="false">VLOOKUP($A394,'[2]Sheet 1'!$A$2:$Q$3504,14,FALSE())</f>
        <v>#N/A</v>
      </c>
      <c r="O394" s="0" t="e">
        <f aca="false">VLOOKUP($A394,'[2]Sheet 1'!$A$2:$Q$3504,15,FALSE())</f>
        <v>#N/A</v>
      </c>
      <c r="P394" s="0" t="e">
        <f aca="false">VLOOKUP($A394,'[2]Sheet 1'!$A$2:$Q$3504,16,FALSE())</f>
        <v>#N/A</v>
      </c>
      <c r="Q394" s="0" t="e">
        <f aca="false">VLOOKUP($A394,'[2]Sheet 1'!$A$2:$Q$3504,17,FALSE())</f>
        <v>#N/A</v>
      </c>
      <c r="S394" s="5"/>
    </row>
    <row r="395" customFormat="false" ht="14.25" hidden="false" customHeight="false" outlineLevel="0" collapsed="false">
      <c r="A395" s="5" t="n">
        <v>999</v>
      </c>
      <c r="B395" s="5" t="s">
        <v>962</v>
      </c>
      <c r="C395" s="5" t="n">
        <v>90</v>
      </c>
      <c r="D395" s="0" t="e">
        <f aca="false">VLOOKUP($A395,'[2]Sheet 1'!$A$2:$Q$3504,4,FALSE())</f>
        <v>#N/A</v>
      </c>
      <c r="E395" s="0" t="e">
        <f aca="false">VLOOKUP($A395,'[2]Sheet 1'!$A$2:$Q$3504,5,FALSE())</f>
        <v>#N/A</v>
      </c>
      <c r="F395" s="0" t="e">
        <f aca="false">VLOOKUP($A395,'[2]Sheet 1'!$A$2:$Q$3504,6,FALSE())</f>
        <v>#N/A</v>
      </c>
      <c r="G395" s="0" t="e">
        <f aca="false">VLOOKUP($A395,'[2]Sheet 1'!$A$2:$Q$3504,7,FALSE())</f>
        <v>#N/A</v>
      </c>
      <c r="H395" s="0" t="e">
        <f aca="false">VLOOKUP($A395,'[2]Sheet 1'!$A$2:$Q$3504,8,FALSE())</f>
        <v>#N/A</v>
      </c>
      <c r="I395" s="0" t="e">
        <f aca="false">VLOOKUP($A395,'[2]Sheet 1'!$A$2:$Q$3504,9,FALSE())</f>
        <v>#N/A</v>
      </c>
      <c r="J395" s="0" t="e">
        <f aca="false">VLOOKUP($A395,'[2]Sheet 1'!$A$2:$Q$3504,10,FALSE())</f>
        <v>#N/A</v>
      </c>
      <c r="K395" s="0" t="e">
        <f aca="false">VLOOKUP($A395,'[2]Sheet 1'!$A$2:$Q$3504,11,FALSE())</f>
        <v>#N/A</v>
      </c>
      <c r="L395" s="0" t="e">
        <f aca="false">VLOOKUP($A395,'[2]Sheet 1'!$A$2:$Q$3504,12,FALSE())</f>
        <v>#N/A</v>
      </c>
      <c r="M395" s="0" t="e">
        <f aca="false">VLOOKUP($A395,'[2]Sheet 1'!$A$2:$Q$3504,13,FALSE())</f>
        <v>#N/A</v>
      </c>
      <c r="N395" s="0" t="e">
        <f aca="false">VLOOKUP($A395,'[2]Sheet 1'!$A$2:$Q$3504,14,FALSE())</f>
        <v>#N/A</v>
      </c>
      <c r="O395" s="0" t="e">
        <f aca="false">VLOOKUP($A395,'[2]Sheet 1'!$A$2:$Q$3504,15,FALSE())</f>
        <v>#N/A</v>
      </c>
      <c r="P395" s="0" t="e">
        <f aca="false">VLOOKUP($A395,'[2]Sheet 1'!$A$2:$Q$3504,16,FALSE())</f>
        <v>#N/A</v>
      </c>
      <c r="Q395" s="0" t="e">
        <f aca="false">VLOOKUP($A395,'[2]Sheet 1'!$A$2:$Q$3504,17,FALSE())</f>
        <v>#N/A</v>
      </c>
      <c r="S395" s="5"/>
    </row>
    <row r="396" customFormat="false" ht="14.25" hidden="false" customHeight="false" outlineLevel="0" collapsed="false">
      <c r="A396" s="5" t="n">
        <v>1009</v>
      </c>
      <c r="B396" s="5" t="s">
        <v>964</v>
      </c>
      <c r="C396" s="5" t="n">
        <v>90</v>
      </c>
      <c r="D396" s="0" t="e">
        <f aca="false">VLOOKUP($A396,'[2]Sheet 1'!$A$2:$Q$3504,4,FALSE())</f>
        <v>#N/A</v>
      </c>
      <c r="E396" s="0" t="e">
        <f aca="false">VLOOKUP($A396,'[2]Sheet 1'!$A$2:$Q$3504,5,FALSE())</f>
        <v>#N/A</v>
      </c>
      <c r="F396" s="0" t="e">
        <f aca="false">VLOOKUP($A396,'[2]Sheet 1'!$A$2:$Q$3504,6,FALSE())</f>
        <v>#N/A</v>
      </c>
      <c r="G396" s="0" t="e">
        <f aca="false">VLOOKUP($A396,'[2]Sheet 1'!$A$2:$Q$3504,7,FALSE())</f>
        <v>#N/A</v>
      </c>
      <c r="H396" s="0" t="e">
        <f aca="false">VLOOKUP($A396,'[2]Sheet 1'!$A$2:$Q$3504,8,FALSE())</f>
        <v>#N/A</v>
      </c>
      <c r="I396" s="0" t="e">
        <f aca="false">VLOOKUP($A396,'[2]Sheet 1'!$A$2:$Q$3504,9,FALSE())</f>
        <v>#N/A</v>
      </c>
      <c r="J396" s="0" t="e">
        <f aca="false">VLOOKUP($A396,'[2]Sheet 1'!$A$2:$Q$3504,10,FALSE())</f>
        <v>#N/A</v>
      </c>
      <c r="K396" s="0" t="e">
        <f aca="false">VLOOKUP($A396,'[2]Sheet 1'!$A$2:$Q$3504,11,FALSE())</f>
        <v>#N/A</v>
      </c>
      <c r="L396" s="0" t="e">
        <f aca="false">VLOOKUP($A396,'[2]Sheet 1'!$A$2:$Q$3504,12,FALSE())</f>
        <v>#N/A</v>
      </c>
      <c r="M396" s="0" t="e">
        <f aca="false">VLOOKUP($A396,'[2]Sheet 1'!$A$2:$Q$3504,13,FALSE())</f>
        <v>#N/A</v>
      </c>
      <c r="N396" s="0" t="e">
        <f aca="false">VLOOKUP($A396,'[2]Sheet 1'!$A$2:$Q$3504,14,FALSE())</f>
        <v>#N/A</v>
      </c>
      <c r="O396" s="0" t="e">
        <f aca="false">VLOOKUP($A396,'[2]Sheet 1'!$A$2:$Q$3504,15,FALSE())</f>
        <v>#N/A</v>
      </c>
      <c r="P396" s="0" t="e">
        <f aca="false">VLOOKUP($A396,'[2]Sheet 1'!$A$2:$Q$3504,16,FALSE())</f>
        <v>#N/A</v>
      </c>
      <c r="Q396" s="0" t="e">
        <f aca="false">VLOOKUP($A396,'[2]Sheet 1'!$A$2:$Q$3504,17,FALSE())</f>
        <v>#N/A</v>
      </c>
      <c r="S396" s="5"/>
    </row>
    <row r="397" customFormat="false" ht="14.25" hidden="false" customHeight="false" outlineLevel="0" collapsed="false">
      <c r="A397" s="5" t="n">
        <v>1016</v>
      </c>
      <c r="B397" s="5" t="s">
        <v>970</v>
      </c>
      <c r="C397" s="5" t="n">
        <v>0</v>
      </c>
      <c r="D397" s="0" t="e">
        <f aca="false">VLOOKUP($A397,'[2]Sheet 1'!$A$2:$Q$3504,4,FALSE())</f>
        <v>#N/A</v>
      </c>
      <c r="E397" s="0" t="e">
        <f aca="false">VLOOKUP($A397,'[2]Sheet 1'!$A$2:$Q$3504,5,FALSE())</f>
        <v>#N/A</v>
      </c>
      <c r="F397" s="0" t="e">
        <f aca="false">VLOOKUP($A397,'[2]Sheet 1'!$A$2:$Q$3504,6,FALSE())</f>
        <v>#N/A</v>
      </c>
      <c r="G397" s="0" t="e">
        <f aca="false">VLOOKUP($A397,'[2]Sheet 1'!$A$2:$Q$3504,7,FALSE())</f>
        <v>#N/A</v>
      </c>
      <c r="H397" s="0" t="e">
        <f aca="false">VLOOKUP($A397,'[2]Sheet 1'!$A$2:$Q$3504,8,FALSE())</f>
        <v>#N/A</v>
      </c>
      <c r="I397" s="0" t="e">
        <f aca="false">VLOOKUP($A397,'[2]Sheet 1'!$A$2:$Q$3504,9,FALSE())</f>
        <v>#N/A</v>
      </c>
      <c r="J397" s="0" t="e">
        <f aca="false">VLOOKUP($A397,'[2]Sheet 1'!$A$2:$Q$3504,10,FALSE())</f>
        <v>#N/A</v>
      </c>
      <c r="K397" s="0" t="e">
        <f aca="false">VLOOKUP($A397,'[2]Sheet 1'!$A$2:$Q$3504,11,FALSE())</f>
        <v>#N/A</v>
      </c>
      <c r="L397" s="0" t="e">
        <f aca="false">VLOOKUP($A397,'[2]Sheet 1'!$A$2:$Q$3504,12,FALSE())</f>
        <v>#N/A</v>
      </c>
      <c r="M397" s="0" t="e">
        <f aca="false">VLOOKUP($A397,'[2]Sheet 1'!$A$2:$Q$3504,13,FALSE())</f>
        <v>#N/A</v>
      </c>
      <c r="N397" s="0" t="e">
        <f aca="false">VLOOKUP($A397,'[2]Sheet 1'!$A$2:$Q$3504,14,FALSE())</f>
        <v>#N/A</v>
      </c>
      <c r="O397" s="0" t="e">
        <f aca="false">VLOOKUP($A397,'[2]Sheet 1'!$A$2:$Q$3504,15,FALSE())</f>
        <v>#N/A</v>
      </c>
      <c r="P397" s="0" t="e">
        <f aca="false">VLOOKUP($A397,'[2]Sheet 1'!$A$2:$Q$3504,16,FALSE())</f>
        <v>#N/A</v>
      </c>
      <c r="Q397" s="0" t="e">
        <f aca="false">VLOOKUP($A397,'[2]Sheet 1'!$A$2:$Q$3504,17,FALSE())</f>
        <v>#N/A</v>
      </c>
      <c r="S397" s="5"/>
    </row>
    <row r="398" customFormat="false" ht="14.25" hidden="false" customHeight="false" outlineLevel="0" collapsed="false">
      <c r="A398" s="5" t="n">
        <v>1017</v>
      </c>
      <c r="B398" s="5" t="s">
        <v>972</v>
      </c>
      <c r="C398" s="5" t="n">
        <v>50</v>
      </c>
      <c r="D398" s="0" t="n">
        <f aca="false">VLOOKUP($A398,'[2]Sheet 1'!$A$2:$Q$3504,4,FALSE())</f>
        <v>179.5</v>
      </c>
      <c r="E398" s="0" t="n">
        <f aca="false">VLOOKUP($A398,'[2]Sheet 1'!$A$2:$Q$3504,5,FALSE())</f>
        <v>18.8</v>
      </c>
      <c r="F398" s="0" t="n">
        <f aca="false">VLOOKUP($A398,'[2]Sheet 1'!$A$2:$Q$3504,6,FALSE())</f>
        <v>0</v>
      </c>
      <c r="G398" s="0" t="n">
        <f aca="false">VLOOKUP($A398,'[2]Sheet 1'!$A$2:$Q$3504,7,FALSE())</f>
        <v>3.33</v>
      </c>
      <c r="H398" s="0" t="n">
        <f aca="false">VLOOKUP($A398,'[2]Sheet 1'!$A$2:$Q$3504,8,FALSE())</f>
        <v>2.2</v>
      </c>
      <c r="I398" s="0" t="n">
        <f aca="false">VLOOKUP($A398,'[2]Sheet 1'!$A$2:$Q$3504,9,FALSE())</f>
        <v>11</v>
      </c>
      <c r="J398" s="0" t="n">
        <f aca="false">VLOOKUP($A398,'[2]Sheet 1'!$A$2:$Q$3504,10,FALSE())</f>
        <v>5</v>
      </c>
      <c r="K398" s="0" t="n">
        <f aca="false">VLOOKUP($A398,'[2]Sheet 1'!$A$2:$Q$3504,11,FALSE())</f>
        <v>0.2</v>
      </c>
      <c r="L398" s="0" t="n">
        <f aca="false">VLOOKUP($A398,'[2]Sheet 1'!$A$2:$Q$3504,12,FALSE())</f>
        <v>0</v>
      </c>
      <c r="M398" s="0" t="n">
        <f aca="false">VLOOKUP($A398,'[2]Sheet 1'!$A$2:$Q$3504,13,FALSE())</f>
        <v>300</v>
      </c>
      <c r="N398" s="0" t="n">
        <f aca="false">VLOOKUP($A398,'[2]Sheet 1'!$A$2:$Q$3504,14,FALSE())</f>
        <v>0.120021922207713</v>
      </c>
      <c r="O398" s="0" t="n">
        <f aca="false">VLOOKUP($A398,'[2]Sheet 1'!$A$2:$Q$3504,15,FALSE())</f>
        <v>2.14721610700734</v>
      </c>
      <c r="P398" s="0" t="n">
        <f aca="false">VLOOKUP($A398,'[2]Sheet 1'!$A$2:$Q$3504,16,FALSE())</f>
        <v>2.43385690345533</v>
      </c>
      <c r="Q398" s="0" t="n">
        <f aca="false">VLOOKUP($A398,'[2]Sheet 1'!$A$2:$Q$3504,17,FALSE())</f>
        <v>8</v>
      </c>
      <c r="S398" s="5"/>
    </row>
    <row r="399" customFormat="false" ht="14.25" hidden="false" customHeight="false" outlineLevel="0" collapsed="false">
      <c r="A399" s="5" t="n">
        <v>1018</v>
      </c>
      <c r="B399" s="5" t="s">
        <v>974</v>
      </c>
      <c r="C399" s="5" t="n">
        <v>50</v>
      </c>
      <c r="D399" s="0" t="n">
        <f aca="false">VLOOKUP($A399,'[2]Sheet 1'!$A$2:$Q$3504,4,FALSE())</f>
        <v>107</v>
      </c>
      <c r="E399" s="0" t="n">
        <f aca="false">VLOOKUP($A399,'[2]Sheet 1'!$A$2:$Q$3504,5,FALSE())</f>
        <v>20</v>
      </c>
      <c r="F399" s="0" t="n">
        <f aca="false">VLOOKUP($A399,'[2]Sheet 1'!$A$2:$Q$3504,6,FALSE())</f>
        <v>0</v>
      </c>
      <c r="G399" s="0" t="n">
        <f aca="false">VLOOKUP($A399,'[2]Sheet 1'!$A$2:$Q$3504,7,FALSE())</f>
        <v>0</v>
      </c>
      <c r="H399" s="0" t="n">
        <f aca="false">VLOOKUP($A399,'[2]Sheet 1'!$A$2:$Q$3504,8,FALSE())</f>
        <v>0</v>
      </c>
      <c r="I399" s="0" t="n">
        <f aca="false">VLOOKUP($A399,'[2]Sheet 1'!$A$2:$Q$3504,9,FALSE())</f>
        <v>17</v>
      </c>
      <c r="J399" s="0" t="n">
        <f aca="false">VLOOKUP($A399,'[2]Sheet 1'!$A$2:$Q$3504,10,FALSE())</f>
        <v>176</v>
      </c>
      <c r="K399" s="0" t="n">
        <f aca="false">VLOOKUP($A399,'[2]Sheet 1'!$A$2:$Q$3504,11,FALSE())</f>
        <v>0</v>
      </c>
      <c r="L399" s="0" t="n">
        <f aca="false">VLOOKUP($A399,'[2]Sheet 1'!$A$2:$Q$3504,12,FALSE())</f>
        <v>0</v>
      </c>
      <c r="M399" s="0" t="n">
        <f aca="false">VLOOKUP($A399,'[2]Sheet 1'!$A$2:$Q$3504,13,FALSE())</f>
        <v>160</v>
      </c>
      <c r="N399" s="0" t="n">
        <f aca="false">VLOOKUP($A399,'[2]Sheet 1'!$A$2:$Q$3504,14,FALSE())</f>
        <v>0.6</v>
      </c>
      <c r="O399" s="0" t="n">
        <f aca="false">VLOOKUP($A399,'[2]Sheet 1'!$A$2:$Q$3504,15,FALSE())</f>
        <v>36.25</v>
      </c>
      <c r="P399" s="0" t="n">
        <f aca="false">VLOOKUP($A399,'[2]Sheet 1'!$A$2:$Q$3504,16,FALSE())</f>
        <v>1.6</v>
      </c>
      <c r="Q399" s="0" t="n">
        <f aca="false">VLOOKUP($A399,'[2]Sheet 1'!$A$2:$Q$3504,17,FALSE())</f>
        <v>0</v>
      </c>
      <c r="S399" s="5"/>
    </row>
    <row r="400" customFormat="false" ht="14.25" hidden="false" customHeight="false" outlineLevel="0" collapsed="false">
      <c r="A400" s="5" t="n">
        <v>1026</v>
      </c>
      <c r="B400" s="5" t="s">
        <v>979</v>
      </c>
      <c r="C400" s="5" t="n">
        <v>80</v>
      </c>
      <c r="D400" s="0" t="e">
        <f aca="false">VLOOKUP($A400,'[2]Sheet 1'!$A$2:$Q$3504,4,FALSE())</f>
        <v>#N/A</v>
      </c>
      <c r="E400" s="0" t="e">
        <f aca="false">VLOOKUP($A400,'[2]Sheet 1'!$A$2:$Q$3504,5,FALSE())</f>
        <v>#N/A</v>
      </c>
      <c r="F400" s="0" t="e">
        <f aca="false">VLOOKUP($A400,'[2]Sheet 1'!$A$2:$Q$3504,6,FALSE())</f>
        <v>#N/A</v>
      </c>
      <c r="G400" s="0" t="e">
        <f aca="false">VLOOKUP($A400,'[2]Sheet 1'!$A$2:$Q$3504,7,FALSE())</f>
        <v>#N/A</v>
      </c>
      <c r="H400" s="0" t="e">
        <f aca="false">VLOOKUP($A400,'[2]Sheet 1'!$A$2:$Q$3504,8,FALSE())</f>
        <v>#N/A</v>
      </c>
      <c r="I400" s="0" t="e">
        <f aca="false">VLOOKUP($A400,'[2]Sheet 1'!$A$2:$Q$3504,9,FALSE())</f>
        <v>#N/A</v>
      </c>
      <c r="J400" s="0" t="e">
        <f aca="false">VLOOKUP($A400,'[2]Sheet 1'!$A$2:$Q$3504,10,FALSE())</f>
        <v>#N/A</v>
      </c>
      <c r="K400" s="0" t="e">
        <f aca="false">VLOOKUP($A400,'[2]Sheet 1'!$A$2:$Q$3504,11,FALSE())</f>
        <v>#N/A</v>
      </c>
      <c r="L400" s="0" t="e">
        <f aca="false">VLOOKUP($A400,'[2]Sheet 1'!$A$2:$Q$3504,12,FALSE())</f>
        <v>#N/A</v>
      </c>
      <c r="M400" s="0" t="e">
        <f aca="false">VLOOKUP($A400,'[2]Sheet 1'!$A$2:$Q$3504,13,FALSE())</f>
        <v>#N/A</v>
      </c>
      <c r="N400" s="0" t="e">
        <f aca="false">VLOOKUP($A400,'[2]Sheet 1'!$A$2:$Q$3504,14,FALSE())</f>
        <v>#N/A</v>
      </c>
      <c r="O400" s="0" t="e">
        <f aca="false">VLOOKUP($A400,'[2]Sheet 1'!$A$2:$Q$3504,15,FALSE())</f>
        <v>#N/A</v>
      </c>
      <c r="P400" s="0" t="e">
        <f aca="false">VLOOKUP($A400,'[2]Sheet 1'!$A$2:$Q$3504,16,FALSE())</f>
        <v>#N/A</v>
      </c>
      <c r="Q400" s="0" t="e">
        <f aca="false">VLOOKUP($A400,'[2]Sheet 1'!$A$2:$Q$3504,17,FALSE())</f>
        <v>#N/A</v>
      </c>
      <c r="S400" s="5"/>
    </row>
    <row r="401" customFormat="false" ht="14.25" hidden="false" customHeight="false" outlineLevel="0" collapsed="false">
      <c r="A401" s="5" t="n">
        <v>1031</v>
      </c>
      <c r="B401" s="5" t="s">
        <v>981</v>
      </c>
      <c r="C401" s="5" t="n">
        <v>0</v>
      </c>
      <c r="D401" s="0" t="e">
        <f aca="false">VLOOKUP($A401,'[2]Sheet 1'!$A$2:$Q$3504,4,FALSE())</f>
        <v>#N/A</v>
      </c>
      <c r="E401" s="0" t="e">
        <f aca="false">VLOOKUP($A401,'[2]Sheet 1'!$A$2:$Q$3504,5,FALSE())</f>
        <v>#N/A</v>
      </c>
      <c r="F401" s="0" t="e">
        <f aca="false">VLOOKUP($A401,'[2]Sheet 1'!$A$2:$Q$3504,6,FALSE())</f>
        <v>#N/A</v>
      </c>
      <c r="G401" s="0" t="e">
        <f aca="false">VLOOKUP($A401,'[2]Sheet 1'!$A$2:$Q$3504,7,FALSE())</f>
        <v>#N/A</v>
      </c>
      <c r="H401" s="0" t="e">
        <f aca="false">VLOOKUP($A401,'[2]Sheet 1'!$A$2:$Q$3504,8,FALSE())</f>
        <v>#N/A</v>
      </c>
      <c r="I401" s="0" t="e">
        <f aca="false">VLOOKUP($A401,'[2]Sheet 1'!$A$2:$Q$3504,9,FALSE())</f>
        <v>#N/A</v>
      </c>
      <c r="J401" s="0" t="e">
        <f aca="false">VLOOKUP($A401,'[2]Sheet 1'!$A$2:$Q$3504,10,FALSE())</f>
        <v>#N/A</v>
      </c>
      <c r="K401" s="0" t="e">
        <f aca="false">VLOOKUP($A401,'[2]Sheet 1'!$A$2:$Q$3504,11,FALSE())</f>
        <v>#N/A</v>
      </c>
      <c r="L401" s="0" t="e">
        <f aca="false">VLOOKUP($A401,'[2]Sheet 1'!$A$2:$Q$3504,12,FALSE())</f>
        <v>#N/A</v>
      </c>
      <c r="M401" s="0" t="e">
        <f aca="false">VLOOKUP($A401,'[2]Sheet 1'!$A$2:$Q$3504,13,FALSE())</f>
        <v>#N/A</v>
      </c>
      <c r="N401" s="0" t="e">
        <f aca="false">VLOOKUP($A401,'[2]Sheet 1'!$A$2:$Q$3504,14,FALSE())</f>
        <v>#N/A</v>
      </c>
      <c r="O401" s="0" t="e">
        <f aca="false">VLOOKUP($A401,'[2]Sheet 1'!$A$2:$Q$3504,15,FALSE())</f>
        <v>#N/A</v>
      </c>
      <c r="P401" s="0" t="e">
        <f aca="false">VLOOKUP($A401,'[2]Sheet 1'!$A$2:$Q$3504,16,FALSE())</f>
        <v>#N/A</v>
      </c>
      <c r="Q401" s="0" t="e">
        <f aca="false">VLOOKUP($A401,'[2]Sheet 1'!$A$2:$Q$3504,17,FALSE())</f>
        <v>#N/A</v>
      </c>
      <c r="S401" s="5"/>
    </row>
    <row r="402" customFormat="false" ht="14.25" hidden="false" customHeight="false" outlineLevel="0" collapsed="false">
      <c r="A402" s="5" t="n">
        <v>1034</v>
      </c>
      <c r="B402" s="5" t="s">
        <v>985</v>
      </c>
      <c r="C402" s="5" t="n">
        <v>0</v>
      </c>
      <c r="D402" s="0" t="e">
        <f aca="false">VLOOKUP($A402,'[2]Sheet 1'!$A$2:$Q$3504,4,FALSE())</f>
        <v>#N/A</v>
      </c>
      <c r="E402" s="0" t="e">
        <f aca="false">VLOOKUP($A402,'[2]Sheet 1'!$A$2:$Q$3504,5,FALSE())</f>
        <v>#N/A</v>
      </c>
      <c r="F402" s="0" t="e">
        <f aca="false">VLOOKUP($A402,'[2]Sheet 1'!$A$2:$Q$3504,6,FALSE())</f>
        <v>#N/A</v>
      </c>
      <c r="G402" s="0" t="e">
        <f aca="false">VLOOKUP($A402,'[2]Sheet 1'!$A$2:$Q$3504,7,FALSE())</f>
        <v>#N/A</v>
      </c>
      <c r="H402" s="0" t="e">
        <f aca="false">VLOOKUP($A402,'[2]Sheet 1'!$A$2:$Q$3504,8,FALSE())</f>
        <v>#N/A</v>
      </c>
      <c r="I402" s="0" t="e">
        <f aca="false">VLOOKUP($A402,'[2]Sheet 1'!$A$2:$Q$3504,9,FALSE())</f>
        <v>#N/A</v>
      </c>
      <c r="J402" s="0" t="e">
        <f aca="false">VLOOKUP($A402,'[2]Sheet 1'!$A$2:$Q$3504,10,FALSE())</f>
        <v>#N/A</v>
      </c>
      <c r="K402" s="0" t="e">
        <f aca="false">VLOOKUP($A402,'[2]Sheet 1'!$A$2:$Q$3504,11,FALSE())</f>
        <v>#N/A</v>
      </c>
      <c r="L402" s="0" t="e">
        <f aca="false">VLOOKUP($A402,'[2]Sheet 1'!$A$2:$Q$3504,12,FALSE())</f>
        <v>#N/A</v>
      </c>
      <c r="M402" s="0" t="e">
        <f aca="false">VLOOKUP($A402,'[2]Sheet 1'!$A$2:$Q$3504,13,FALSE())</f>
        <v>#N/A</v>
      </c>
      <c r="N402" s="0" t="e">
        <f aca="false">VLOOKUP($A402,'[2]Sheet 1'!$A$2:$Q$3504,14,FALSE())</f>
        <v>#N/A</v>
      </c>
      <c r="O402" s="0" t="e">
        <f aca="false">VLOOKUP($A402,'[2]Sheet 1'!$A$2:$Q$3504,15,FALSE())</f>
        <v>#N/A</v>
      </c>
      <c r="P402" s="0" t="e">
        <f aca="false">VLOOKUP($A402,'[2]Sheet 1'!$A$2:$Q$3504,16,FALSE())</f>
        <v>#N/A</v>
      </c>
      <c r="Q402" s="0" t="e">
        <f aca="false">VLOOKUP($A402,'[2]Sheet 1'!$A$2:$Q$3504,17,FALSE())</f>
        <v>#N/A</v>
      </c>
      <c r="S402" s="5"/>
    </row>
    <row r="403" customFormat="false" ht="14.25" hidden="false" customHeight="false" outlineLevel="0" collapsed="false">
      <c r="A403" s="5" t="n">
        <v>1035</v>
      </c>
      <c r="B403" s="5" t="s">
        <v>988</v>
      </c>
      <c r="C403" s="5" t="n">
        <v>55</v>
      </c>
      <c r="D403" s="0" t="n">
        <f aca="false">VLOOKUP($A403,'[2]Sheet 1'!$A$2:$Q$3504,4,FALSE())</f>
        <v>207.93</v>
      </c>
      <c r="E403" s="0" t="n">
        <f aca="false">VLOOKUP($A403,'[2]Sheet 1'!$A$2:$Q$3504,5,FALSE())</f>
        <v>19</v>
      </c>
      <c r="F403" s="0" t="n">
        <f aca="false">VLOOKUP($A403,'[2]Sheet 1'!$A$2:$Q$3504,6,FALSE())</f>
        <v>0</v>
      </c>
      <c r="G403" s="0" t="n">
        <f aca="false">VLOOKUP($A403,'[2]Sheet 1'!$A$2:$Q$3504,7,FALSE())</f>
        <v>2.055</v>
      </c>
      <c r="H403" s="0" t="n">
        <f aca="false">VLOOKUP($A403,'[2]Sheet 1'!$A$2:$Q$3504,8,FALSE())</f>
        <v>1.085</v>
      </c>
      <c r="I403" s="0" t="n">
        <f aca="false">VLOOKUP($A403,'[2]Sheet 1'!$A$2:$Q$3504,9,FALSE())</f>
        <v>10.9</v>
      </c>
      <c r="J403" s="0" t="n">
        <f aca="false">VLOOKUP($A403,'[2]Sheet 1'!$A$2:$Q$3504,10,FALSE())</f>
        <v>2.5</v>
      </c>
      <c r="K403" s="0" t="n">
        <f aca="false">VLOOKUP($A403,'[2]Sheet 1'!$A$2:$Q$3504,11,FALSE())</f>
        <v>0.2085</v>
      </c>
      <c r="L403" s="0" t="n">
        <f aca="false">VLOOKUP($A403,'[2]Sheet 1'!$A$2:$Q$3504,12,FALSE())</f>
        <v>0</v>
      </c>
      <c r="M403" s="0" t="n">
        <f aca="false">VLOOKUP($A403,'[2]Sheet 1'!$A$2:$Q$3504,13,FALSE())</f>
        <v>300.5</v>
      </c>
      <c r="N403" s="0" t="n">
        <f aca="false">VLOOKUP($A403,'[2]Sheet 1'!$A$2:$Q$3504,14,FALSE())</f>
        <v>0.197875002374958</v>
      </c>
      <c r="O403" s="0" t="n">
        <f aca="false">VLOOKUP($A403,'[2]Sheet 1'!$A$2:$Q$3504,15,FALSE())</f>
        <v>0.640552888505021</v>
      </c>
      <c r="P403" s="0" t="n">
        <f aca="false">VLOOKUP($A403,'[2]Sheet 1'!$A$2:$Q$3504,16,FALSE())</f>
        <v>0</v>
      </c>
      <c r="Q403" s="0" t="n">
        <f aca="false">VLOOKUP($A403,'[2]Sheet 1'!$A$2:$Q$3504,17,FALSE())</f>
        <v>2</v>
      </c>
      <c r="S403" s="5"/>
    </row>
    <row r="404" customFormat="false" ht="14.25" hidden="false" customHeight="false" outlineLevel="0" collapsed="false">
      <c r="A404" s="5" t="n">
        <v>1036</v>
      </c>
      <c r="B404" s="5" t="s">
        <v>991</v>
      </c>
      <c r="C404" s="5" t="n">
        <v>50</v>
      </c>
      <c r="D404" s="0" t="n">
        <f aca="false">VLOOKUP($A404,'[2]Sheet 1'!$A$2:$Q$3504,4,FALSE())</f>
        <v>127</v>
      </c>
      <c r="E404" s="0" t="n">
        <f aca="false">VLOOKUP($A404,'[2]Sheet 1'!$A$2:$Q$3504,5,FALSE())</f>
        <v>16.38</v>
      </c>
      <c r="F404" s="0" t="n">
        <f aca="false">VLOOKUP($A404,'[2]Sheet 1'!$A$2:$Q$3504,6,FALSE())</f>
        <v>0</v>
      </c>
      <c r="G404" s="0" t="n">
        <f aca="false">VLOOKUP($A404,'[2]Sheet 1'!$A$2:$Q$3504,7,FALSE())</f>
        <v>1.9</v>
      </c>
      <c r="H404" s="0" t="n">
        <f aca="false">VLOOKUP($A404,'[2]Sheet 1'!$A$2:$Q$3504,8,FALSE())</f>
        <v>5.045</v>
      </c>
      <c r="I404" s="0" t="n">
        <f aca="false">VLOOKUP($A404,'[2]Sheet 1'!$A$2:$Q$3504,9,FALSE())</f>
        <v>11</v>
      </c>
      <c r="J404" s="0" t="n">
        <f aca="false">VLOOKUP($A404,'[2]Sheet 1'!$A$2:$Q$3504,10,FALSE())</f>
        <v>3.5</v>
      </c>
      <c r="K404" s="0" t="n">
        <f aca="false">VLOOKUP($A404,'[2]Sheet 1'!$A$2:$Q$3504,11,FALSE())</f>
        <v>0.43</v>
      </c>
      <c r="L404" s="0" t="n">
        <f aca="false">VLOOKUP($A404,'[2]Sheet 1'!$A$2:$Q$3504,12,FALSE())</f>
        <v>194.8</v>
      </c>
      <c r="M404" s="0" t="n">
        <f aca="false">VLOOKUP($A404,'[2]Sheet 1'!$A$2:$Q$3504,13,FALSE())</f>
        <v>229</v>
      </c>
      <c r="N404" s="0" t="n">
        <f aca="false">VLOOKUP($A404,'[2]Sheet 1'!$A$2:$Q$3504,14,FALSE())</f>
        <v>0.26</v>
      </c>
      <c r="O404" s="0" t="n">
        <f aca="false">VLOOKUP($A404,'[2]Sheet 1'!$A$2:$Q$3504,15,FALSE())</f>
        <v>0.365</v>
      </c>
      <c r="P404" s="0" t="n">
        <f aca="false">VLOOKUP($A404,'[2]Sheet 1'!$A$2:$Q$3504,16,FALSE())</f>
        <v>0</v>
      </c>
      <c r="Q404" s="0" t="n">
        <f aca="false">VLOOKUP($A404,'[2]Sheet 1'!$A$2:$Q$3504,17,FALSE())</f>
        <v>9</v>
      </c>
      <c r="S404" s="5"/>
    </row>
    <row r="405" customFormat="false" ht="14.25" hidden="false" customHeight="false" outlineLevel="0" collapsed="false">
      <c r="A405" s="5" t="n">
        <v>1037</v>
      </c>
      <c r="B405" s="5" t="s">
        <v>993</v>
      </c>
      <c r="C405" s="5" t="n">
        <v>100</v>
      </c>
      <c r="D405" s="0" t="e">
        <f aca="false">VLOOKUP($A405,'[2]Sheet 1'!$A$2:$Q$3504,4,FALSE())</f>
        <v>#N/A</v>
      </c>
      <c r="E405" s="0" t="e">
        <f aca="false">VLOOKUP($A405,'[2]Sheet 1'!$A$2:$Q$3504,5,FALSE())</f>
        <v>#N/A</v>
      </c>
      <c r="F405" s="0" t="e">
        <f aca="false">VLOOKUP($A405,'[2]Sheet 1'!$A$2:$Q$3504,6,FALSE())</f>
        <v>#N/A</v>
      </c>
      <c r="G405" s="0" t="e">
        <f aca="false">VLOOKUP($A405,'[2]Sheet 1'!$A$2:$Q$3504,7,FALSE())</f>
        <v>#N/A</v>
      </c>
      <c r="H405" s="0" t="e">
        <f aca="false">VLOOKUP($A405,'[2]Sheet 1'!$A$2:$Q$3504,8,FALSE())</f>
        <v>#N/A</v>
      </c>
      <c r="I405" s="0" t="e">
        <f aca="false">VLOOKUP($A405,'[2]Sheet 1'!$A$2:$Q$3504,9,FALSE())</f>
        <v>#N/A</v>
      </c>
      <c r="J405" s="0" t="e">
        <f aca="false">VLOOKUP($A405,'[2]Sheet 1'!$A$2:$Q$3504,10,FALSE())</f>
        <v>#N/A</v>
      </c>
      <c r="K405" s="0" t="e">
        <f aca="false">VLOOKUP($A405,'[2]Sheet 1'!$A$2:$Q$3504,11,FALSE())</f>
        <v>#N/A</v>
      </c>
      <c r="L405" s="0" t="e">
        <f aca="false">VLOOKUP($A405,'[2]Sheet 1'!$A$2:$Q$3504,12,FALSE())</f>
        <v>#N/A</v>
      </c>
      <c r="M405" s="0" t="e">
        <f aca="false">VLOOKUP($A405,'[2]Sheet 1'!$A$2:$Q$3504,13,FALSE())</f>
        <v>#N/A</v>
      </c>
      <c r="N405" s="0" t="e">
        <f aca="false">VLOOKUP($A405,'[2]Sheet 1'!$A$2:$Q$3504,14,FALSE())</f>
        <v>#N/A</v>
      </c>
      <c r="O405" s="0" t="e">
        <f aca="false">VLOOKUP($A405,'[2]Sheet 1'!$A$2:$Q$3504,15,FALSE())</f>
        <v>#N/A</v>
      </c>
      <c r="P405" s="0" t="e">
        <f aca="false">VLOOKUP($A405,'[2]Sheet 1'!$A$2:$Q$3504,16,FALSE())</f>
        <v>#N/A</v>
      </c>
      <c r="Q405" s="0" t="e">
        <f aca="false">VLOOKUP($A405,'[2]Sheet 1'!$A$2:$Q$3504,17,FALSE())</f>
        <v>#N/A</v>
      </c>
      <c r="S405" s="5"/>
    </row>
    <row r="406" customFormat="false" ht="14.25" hidden="false" customHeight="false" outlineLevel="0" collapsed="false">
      <c r="A406" s="5" t="n">
        <v>1038</v>
      </c>
      <c r="B406" s="5" t="s">
        <v>995</v>
      </c>
      <c r="C406" s="5" t="n">
        <v>55</v>
      </c>
      <c r="D406" s="0" t="n">
        <f aca="false">VLOOKUP($A406,'[2]Sheet 1'!$A$2:$Q$3504,4,FALSE())</f>
        <v>207.93</v>
      </c>
      <c r="E406" s="0" t="n">
        <f aca="false">VLOOKUP($A406,'[2]Sheet 1'!$A$2:$Q$3504,5,FALSE())</f>
        <v>19</v>
      </c>
      <c r="F406" s="0" t="n">
        <f aca="false">VLOOKUP($A406,'[2]Sheet 1'!$A$2:$Q$3504,6,FALSE())</f>
        <v>0</v>
      </c>
      <c r="G406" s="0" t="n">
        <f aca="false">VLOOKUP($A406,'[2]Sheet 1'!$A$2:$Q$3504,7,FALSE())</f>
        <v>2.055</v>
      </c>
      <c r="H406" s="0" t="n">
        <f aca="false">VLOOKUP($A406,'[2]Sheet 1'!$A$2:$Q$3504,8,FALSE())</f>
        <v>1.085</v>
      </c>
      <c r="I406" s="0" t="n">
        <f aca="false">VLOOKUP($A406,'[2]Sheet 1'!$A$2:$Q$3504,9,FALSE())</f>
        <v>10.9</v>
      </c>
      <c r="J406" s="0" t="n">
        <f aca="false">VLOOKUP($A406,'[2]Sheet 1'!$A$2:$Q$3504,10,FALSE())</f>
        <v>2.5</v>
      </c>
      <c r="K406" s="0" t="n">
        <f aca="false">VLOOKUP($A406,'[2]Sheet 1'!$A$2:$Q$3504,11,FALSE())</f>
        <v>0.2085</v>
      </c>
      <c r="L406" s="0" t="n">
        <f aca="false">VLOOKUP($A406,'[2]Sheet 1'!$A$2:$Q$3504,12,FALSE())</f>
        <v>0</v>
      </c>
      <c r="M406" s="0" t="n">
        <f aca="false">VLOOKUP($A406,'[2]Sheet 1'!$A$2:$Q$3504,13,FALSE())</f>
        <v>300.5</v>
      </c>
      <c r="N406" s="0" t="n">
        <f aca="false">VLOOKUP($A406,'[2]Sheet 1'!$A$2:$Q$3504,14,FALSE())</f>
        <v>0.197875002374958</v>
      </c>
      <c r="O406" s="0" t="n">
        <f aca="false">VLOOKUP($A406,'[2]Sheet 1'!$A$2:$Q$3504,15,FALSE())</f>
        <v>0.640552888505021</v>
      </c>
      <c r="P406" s="0" t="n">
        <f aca="false">VLOOKUP($A406,'[2]Sheet 1'!$A$2:$Q$3504,16,FALSE())</f>
        <v>0</v>
      </c>
      <c r="Q406" s="0" t="n">
        <f aca="false">VLOOKUP($A406,'[2]Sheet 1'!$A$2:$Q$3504,17,FALSE())</f>
        <v>2</v>
      </c>
      <c r="S406" s="5"/>
    </row>
    <row r="407" customFormat="false" ht="14.25" hidden="false" customHeight="false" outlineLevel="0" collapsed="false">
      <c r="A407" s="5" t="n">
        <v>1039</v>
      </c>
      <c r="B407" s="5" t="s">
        <v>998</v>
      </c>
      <c r="C407" s="5" t="n">
        <v>55</v>
      </c>
      <c r="D407" s="0" t="n">
        <f aca="false">VLOOKUP($A407,'[2]Sheet 1'!$A$2:$Q$3504,4,FALSE())</f>
        <v>157</v>
      </c>
      <c r="E407" s="0" t="n">
        <f aca="false">VLOOKUP($A407,'[2]Sheet 1'!$A$2:$Q$3504,5,FALSE())</f>
        <v>25.05</v>
      </c>
      <c r="F407" s="0" t="n">
        <f aca="false">VLOOKUP($A407,'[2]Sheet 1'!$A$2:$Q$3504,6,FALSE())</f>
        <v>0</v>
      </c>
      <c r="G407" s="0" t="n">
        <f aca="false">VLOOKUP($A407,'[2]Sheet 1'!$A$2:$Q$3504,7,FALSE())</f>
        <v>2.57</v>
      </c>
      <c r="H407" s="0" t="n">
        <f aca="false">VLOOKUP($A407,'[2]Sheet 1'!$A$2:$Q$3504,8,FALSE())</f>
        <v>0.94</v>
      </c>
      <c r="I407" s="0" t="n">
        <f aca="false">VLOOKUP($A407,'[2]Sheet 1'!$A$2:$Q$3504,9,FALSE())</f>
        <v>7</v>
      </c>
      <c r="J407" s="0" t="n">
        <f aca="false">VLOOKUP($A407,'[2]Sheet 1'!$A$2:$Q$3504,10,FALSE())</f>
        <v>4</v>
      </c>
      <c r="K407" s="0" t="n">
        <f aca="false">VLOOKUP($A407,'[2]Sheet 1'!$A$2:$Q$3504,11,FALSE())</f>
        <v>0.254</v>
      </c>
      <c r="L407" s="0" t="n">
        <f aca="false">VLOOKUP($A407,'[2]Sheet 1'!$A$2:$Q$3504,12,FALSE())</f>
        <v>101.9</v>
      </c>
      <c r="M407" s="0" t="n">
        <f aca="false">VLOOKUP($A407,'[2]Sheet 1'!$A$2:$Q$3504,13,FALSE())</f>
        <v>316</v>
      </c>
      <c r="N407" s="0" t="n">
        <f aca="false">VLOOKUP($A407,'[2]Sheet 1'!$A$2:$Q$3504,14,FALSE())</f>
        <v>0.26</v>
      </c>
      <c r="O407" s="0" t="n">
        <f aca="false">VLOOKUP($A407,'[2]Sheet 1'!$A$2:$Q$3504,15,FALSE())</f>
        <v>0.7</v>
      </c>
      <c r="P407" s="0" t="n">
        <f aca="false">VLOOKUP($A407,'[2]Sheet 1'!$A$2:$Q$3504,16,FALSE())</f>
        <v>0</v>
      </c>
      <c r="Q407" s="0" t="n">
        <f aca="false">VLOOKUP($A407,'[2]Sheet 1'!$A$2:$Q$3504,17,FALSE())</f>
        <v>0</v>
      </c>
      <c r="S407" s="5"/>
    </row>
    <row r="408" customFormat="false" ht="14.25" hidden="false" customHeight="false" outlineLevel="0" collapsed="false">
      <c r="A408" s="5" t="n">
        <v>1041</v>
      </c>
      <c r="B408" s="5" t="s">
        <v>1001</v>
      </c>
      <c r="C408" s="5" t="n">
        <v>55</v>
      </c>
      <c r="D408" s="0" t="n">
        <f aca="false">VLOOKUP($A408,'[2]Sheet 1'!$A$2:$Q$3504,4,FALSE())</f>
        <v>297</v>
      </c>
      <c r="E408" s="0" t="n">
        <f aca="false">VLOOKUP($A408,'[2]Sheet 1'!$A$2:$Q$3504,5,FALSE())</f>
        <v>25.69</v>
      </c>
      <c r="F408" s="0" t="n">
        <f aca="false">VLOOKUP($A408,'[2]Sheet 1'!$A$2:$Q$3504,6,FALSE())</f>
        <v>0</v>
      </c>
      <c r="G408" s="0" t="n">
        <f aca="false">VLOOKUP($A408,'[2]Sheet 1'!$A$2:$Q$3504,7,FALSE())</f>
        <v>3.21</v>
      </c>
      <c r="H408" s="0" t="n">
        <f aca="false">VLOOKUP($A408,'[2]Sheet 1'!$A$2:$Q$3504,8,FALSE())</f>
        <v>1.29</v>
      </c>
      <c r="I408" s="0" t="n">
        <f aca="false">VLOOKUP($A408,'[2]Sheet 1'!$A$2:$Q$3504,9,FALSE())</f>
        <v>22</v>
      </c>
      <c r="J408" s="0" t="n">
        <f aca="false">VLOOKUP($A408,'[2]Sheet 1'!$A$2:$Q$3504,10,FALSE())</f>
        <v>6</v>
      </c>
      <c r="K408" s="0" t="n">
        <f aca="false">VLOOKUP($A408,'[2]Sheet 1'!$A$2:$Q$3504,11,FALSE())</f>
        <v>0.22</v>
      </c>
      <c r="L408" s="0" t="n">
        <f aca="false">VLOOKUP($A408,'[2]Sheet 1'!$A$2:$Q$3504,12,FALSE())</f>
        <v>88.3</v>
      </c>
      <c r="M408" s="0" t="n">
        <f aca="false">VLOOKUP($A408,'[2]Sheet 1'!$A$2:$Q$3504,13,FALSE())</f>
        <v>362</v>
      </c>
      <c r="N408" s="0" t="n">
        <f aca="false">VLOOKUP($A408,'[2]Sheet 1'!$A$2:$Q$3504,14,FALSE())</f>
        <v>0.21</v>
      </c>
      <c r="O408" s="0" t="n">
        <f aca="false">VLOOKUP($A408,'[2]Sheet 1'!$A$2:$Q$3504,15,FALSE())</f>
        <v>0.54</v>
      </c>
      <c r="P408" s="0" t="n">
        <f aca="false">VLOOKUP($A408,'[2]Sheet 1'!$A$2:$Q$3504,16,FALSE())</f>
        <v>0</v>
      </c>
      <c r="Q408" s="0" t="n">
        <f aca="false">VLOOKUP($A408,'[2]Sheet 1'!$A$2:$Q$3504,17,FALSE())</f>
        <v>2</v>
      </c>
      <c r="S408" s="5"/>
    </row>
    <row r="409" customFormat="false" ht="14.25" hidden="false" customHeight="false" outlineLevel="0" collapsed="false">
      <c r="A409" s="5" t="n">
        <v>1042</v>
      </c>
      <c r="B409" s="5" t="s">
        <v>1003</v>
      </c>
      <c r="C409" s="5" t="n">
        <v>55</v>
      </c>
      <c r="D409" s="0" t="n">
        <f aca="false">VLOOKUP($A409,'[2]Sheet 1'!$A$2:$Q$3504,4,FALSE())</f>
        <v>196</v>
      </c>
      <c r="E409" s="0" t="n">
        <f aca="false">VLOOKUP($A409,'[2]Sheet 1'!$A$2:$Q$3504,5,FALSE())</f>
        <v>19.4</v>
      </c>
      <c r="F409" s="0" t="n">
        <f aca="false">VLOOKUP($A409,'[2]Sheet 1'!$A$2:$Q$3504,6,FALSE())</f>
        <v>0</v>
      </c>
      <c r="G409" s="0" t="n">
        <f aca="false">VLOOKUP($A409,'[2]Sheet 1'!$A$2:$Q$3504,7,FALSE())</f>
        <v>2.77</v>
      </c>
      <c r="H409" s="0" t="n">
        <f aca="false">VLOOKUP($A409,'[2]Sheet 1'!$A$2:$Q$3504,8,FALSE())</f>
        <v>1.05</v>
      </c>
      <c r="I409" s="0" t="n">
        <f aca="false">VLOOKUP($A409,'[2]Sheet 1'!$A$2:$Q$3504,9,FALSE())</f>
        <v>5</v>
      </c>
      <c r="J409" s="0" t="n">
        <f aca="false">VLOOKUP($A409,'[2]Sheet 1'!$A$2:$Q$3504,10,FALSE())</f>
        <v>1</v>
      </c>
      <c r="K409" s="0" t="n">
        <f aca="false">VLOOKUP($A409,'[2]Sheet 1'!$A$2:$Q$3504,11,FALSE())</f>
        <v>0.18</v>
      </c>
      <c r="L409" s="0" t="n">
        <f aca="false">VLOOKUP($A409,'[2]Sheet 1'!$A$2:$Q$3504,12,FALSE())</f>
        <v>101.9</v>
      </c>
      <c r="M409" s="0" t="n">
        <f aca="false">VLOOKUP($A409,'[2]Sheet 1'!$A$2:$Q$3504,13,FALSE())</f>
        <v>243</v>
      </c>
      <c r="N409" s="0" t="n">
        <f aca="false">VLOOKUP($A409,'[2]Sheet 1'!$A$2:$Q$3504,14,FALSE())</f>
        <v>0.28</v>
      </c>
      <c r="O409" s="0" t="n">
        <f aca="false">VLOOKUP($A409,'[2]Sheet 1'!$A$2:$Q$3504,15,FALSE())</f>
        <v>0.93</v>
      </c>
      <c r="P409" s="0" t="n">
        <f aca="false">VLOOKUP($A409,'[2]Sheet 1'!$A$2:$Q$3504,16,FALSE())</f>
        <v>0</v>
      </c>
      <c r="Q409" s="0" t="n">
        <f aca="false">VLOOKUP($A409,'[2]Sheet 1'!$A$2:$Q$3504,17,FALSE())</f>
        <v>0</v>
      </c>
      <c r="S409" s="5"/>
    </row>
    <row r="410" customFormat="false" ht="14.25" hidden="false" customHeight="false" outlineLevel="0" collapsed="false">
      <c r="A410" s="5" t="n">
        <v>1043</v>
      </c>
      <c r="B410" s="5" t="s">
        <v>1007</v>
      </c>
      <c r="C410" s="5" t="n">
        <v>55</v>
      </c>
      <c r="D410" s="0" t="n">
        <f aca="false">VLOOKUP($A410,'[2]Sheet 1'!$A$2:$Q$3504,4,FALSE())</f>
        <v>900</v>
      </c>
      <c r="E410" s="0" t="n">
        <f aca="false">VLOOKUP($A410,'[2]Sheet 1'!$A$2:$Q$3504,5,FALSE())</f>
        <v>0</v>
      </c>
      <c r="F410" s="0" t="n">
        <f aca="false">VLOOKUP($A410,'[2]Sheet 1'!$A$2:$Q$3504,6,FALSE())</f>
        <v>0</v>
      </c>
      <c r="G410" s="0" t="n">
        <f aca="false">VLOOKUP($A410,'[2]Sheet 1'!$A$2:$Q$3504,7,FALSE())</f>
        <v>0</v>
      </c>
      <c r="H410" s="0" t="n">
        <f aca="false">VLOOKUP($A410,'[2]Sheet 1'!$A$2:$Q$3504,8,FALSE())</f>
        <v>0</v>
      </c>
      <c r="I410" s="0" t="n">
        <f aca="false">VLOOKUP($A410,'[2]Sheet 1'!$A$2:$Q$3504,9,FALSE())</f>
        <v>0</v>
      </c>
      <c r="J410" s="0" t="n">
        <f aca="false">VLOOKUP($A410,'[2]Sheet 1'!$A$2:$Q$3504,10,FALSE())</f>
        <v>0</v>
      </c>
      <c r="K410" s="0" t="n">
        <f aca="false">VLOOKUP($A410,'[2]Sheet 1'!$A$2:$Q$3504,11,FALSE())</f>
        <v>0</v>
      </c>
      <c r="L410" s="0" t="n">
        <f aca="false">VLOOKUP($A410,'[2]Sheet 1'!$A$2:$Q$3504,12,FALSE())</f>
        <v>0</v>
      </c>
      <c r="M410" s="0" t="n">
        <f aca="false">VLOOKUP($A410,'[2]Sheet 1'!$A$2:$Q$3504,13,FALSE())</f>
        <v>0</v>
      </c>
      <c r="N410" s="0" t="n">
        <f aca="false">VLOOKUP($A410,'[2]Sheet 1'!$A$2:$Q$3504,14,FALSE())</f>
        <v>2.7</v>
      </c>
      <c r="O410" s="0" t="n">
        <f aca="false">VLOOKUP($A410,'[2]Sheet 1'!$A$2:$Q$3504,15,FALSE())</f>
        <v>0</v>
      </c>
      <c r="P410" s="0" t="n">
        <f aca="false">VLOOKUP($A410,'[2]Sheet 1'!$A$2:$Q$3504,16,FALSE())</f>
        <v>0</v>
      </c>
      <c r="Q410" s="0" t="n">
        <f aca="false">VLOOKUP($A410,'[2]Sheet 1'!$A$2:$Q$3504,17,FALSE())</f>
        <v>0</v>
      </c>
      <c r="S410" s="5"/>
    </row>
    <row r="411" customFormat="false" ht="14.25" hidden="false" customHeight="false" outlineLevel="0" collapsed="false">
      <c r="A411" s="5" t="n">
        <v>1057</v>
      </c>
      <c r="B411" s="5" t="s">
        <v>1014</v>
      </c>
      <c r="C411" s="5" t="n">
        <v>0</v>
      </c>
      <c r="D411" s="0" t="e">
        <f aca="false">VLOOKUP($A411,'[2]Sheet 1'!$A$2:$Q$3504,4,FALSE())</f>
        <v>#N/A</v>
      </c>
      <c r="E411" s="0" t="e">
        <f aca="false">VLOOKUP($A411,'[2]Sheet 1'!$A$2:$Q$3504,5,FALSE())</f>
        <v>#N/A</v>
      </c>
      <c r="F411" s="0" t="e">
        <f aca="false">VLOOKUP($A411,'[2]Sheet 1'!$A$2:$Q$3504,6,FALSE())</f>
        <v>#N/A</v>
      </c>
      <c r="G411" s="0" t="e">
        <f aca="false">VLOOKUP($A411,'[2]Sheet 1'!$A$2:$Q$3504,7,FALSE())</f>
        <v>#N/A</v>
      </c>
      <c r="H411" s="0" t="e">
        <f aca="false">VLOOKUP($A411,'[2]Sheet 1'!$A$2:$Q$3504,8,FALSE())</f>
        <v>#N/A</v>
      </c>
      <c r="I411" s="0" t="e">
        <f aca="false">VLOOKUP($A411,'[2]Sheet 1'!$A$2:$Q$3504,9,FALSE())</f>
        <v>#N/A</v>
      </c>
      <c r="J411" s="0" t="e">
        <f aca="false">VLOOKUP($A411,'[2]Sheet 1'!$A$2:$Q$3504,10,FALSE())</f>
        <v>#N/A</v>
      </c>
      <c r="K411" s="0" t="e">
        <f aca="false">VLOOKUP($A411,'[2]Sheet 1'!$A$2:$Q$3504,11,FALSE())</f>
        <v>#N/A</v>
      </c>
      <c r="L411" s="0" t="e">
        <f aca="false">VLOOKUP($A411,'[2]Sheet 1'!$A$2:$Q$3504,12,FALSE())</f>
        <v>#N/A</v>
      </c>
      <c r="M411" s="0" t="e">
        <f aca="false">VLOOKUP($A411,'[2]Sheet 1'!$A$2:$Q$3504,13,FALSE())</f>
        <v>#N/A</v>
      </c>
      <c r="N411" s="0" t="e">
        <f aca="false">VLOOKUP($A411,'[2]Sheet 1'!$A$2:$Q$3504,14,FALSE())</f>
        <v>#N/A</v>
      </c>
      <c r="O411" s="0" t="e">
        <f aca="false">VLOOKUP($A411,'[2]Sheet 1'!$A$2:$Q$3504,15,FALSE())</f>
        <v>#N/A</v>
      </c>
      <c r="P411" s="0" t="e">
        <f aca="false">VLOOKUP($A411,'[2]Sheet 1'!$A$2:$Q$3504,16,FALSE())</f>
        <v>#N/A</v>
      </c>
      <c r="Q411" s="0" t="e">
        <f aca="false">VLOOKUP($A411,'[2]Sheet 1'!$A$2:$Q$3504,17,FALSE())</f>
        <v>#N/A</v>
      </c>
      <c r="S411" s="5"/>
    </row>
    <row r="412" customFormat="false" ht="14.25" hidden="false" customHeight="false" outlineLevel="0" collapsed="false">
      <c r="A412" s="5" t="n">
        <v>1058</v>
      </c>
      <c r="B412" s="5" t="s">
        <v>1018</v>
      </c>
      <c r="C412" s="5" t="n">
        <v>50</v>
      </c>
      <c r="D412" s="0" t="n">
        <f aca="false">VLOOKUP($A412,'[2]Sheet 1'!$A$2:$Q$3504,4,FALSE())</f>
        <v>172.58</v>
      </c>
      <c r="E412" s="0" t="n">
        <f aca="false">VLOOKUP($A412,'[2]Sheet 1'!$A$2:$Q$3504,5,FALSE())</f>
        <v>18.045</v>
      </c>
      <c r="F412" s="0" t="n">
        <f aca="false">VLOOKUP($A412,'[2]Sheet 1'!$A$2:$Q$3504,6,FALSE())</f>
        <v>0</v>
      </c>
      <c r="G412" s="0" t="n">
        <f aca="false">VLOOKUP($A412,'[2]Sheet 1'!$A$2:$Q$3504,7,FALSE())</f>
        <v>1.33</v>
      </c>
      <c r="H412" s="0" t="n">
        <f aca="false">VLOOKUP($A412,'[2]Sheet 1'!$A$2:$Q$3504,8,FALSE())</f>
        <v>1.4</v>
      </c>
      <c r="I412" s="0" t="n">
        <f aca="false">VLOOKUP($A412,'[2]Sheet 1'!$A$2:$Q$3504,9,FALSE())</f>
        <v>11</v>
      </c>
      <c r="J412" s="0" t="n">
        <f aca="false">VLOOKUP($A412,'[2]Sheet 1'!$A$2:$Q$3504,10,FALSE())</f>
        <v>7</v>
      </c>
      <c r="K412" s="0" t="n">
        <f aca="false">VLOOKUP($A412,'[2]Sheet 1'!$A$2:$Q$3504,11,FALSE())</f>
        <v>0.155</v>
      </c>
      <c r="L412" s="0" t="n">
        <f aca="false">VLOOKUP($A412,'[2]Sheet 1'!$A$2:$Q$3504,12,FALSE())</f>
        <v>58</v>
      </c>
      <c r="M412" s="0" t="n">
        <f aca="false">VLOOKUP($A412,'[2]Sheet 1'!$A$2:$Q$3504,13,FALSE())</f>
        <v>233.5</v>
      </c>
      <c r="N412" s="0" t="n">
        <f aca="false">VLOOKUP($A412,'[2]Sheet 1'!$A$2:$Q$3504,14,FALSE())</f>
        <v>0.158251487388476</v>
      </c>
      <c r="O412" s="0" t="n">
        <f aca="false">VLOOKUP($A412,'[2]Sheet 1'!$A$2:$Q$3504,15,FALSE())</f>
        <v>0.520695613366424</v>
      </c>
      <c r="P412" s="0" t="n">
        <f aca="false">VLOOKUP($A412,'[2]Sheet 1'!$A$2:$Q$3504,16,FALSE())</f>
        <v>0.967503828501812</v>
      </c>
      <c r="Q412" s="0" t="n">
        <f aca="false">VLOOKUP($A412,'[2]Sheet 1'!$A$2:$Q$3504,17,FALSE())</f>
        <v>18</v>
      </c>
      <c r="S412" s="5"/>
    </row>
    <row r="413" customFormat="false" ht="14.25" hidden="false" customHeight="false" outlineLevel="0" collapsed="false">
      <c r="A413" s="5" t="n">
        <v>1059</v>
      </c>
      <c r="B413" s="5" t="s">
        <v>1022</v>
      </c>
      <c r="C413" s="5" t="n">
        <v>50</v>
      </c>
      <c r="D413" s="0" t="n">
        <f aca="false">VLOOKUP($A413,'[2]Sheet 1'!$A$2:$Q$3504,4,FALSE())</f>
        <v>121</v>
      </c>
      <c r="E413" s="0" t="n">
        <f aca="false">VLOOKUP($A413,'[2]Sheet 1'!$A$2:$Q$3504,5,FALSE())</f>
        <v>17.46</v>
      </c>
      <c r="F413" s="0" t="n">
        <f aca="false">VLOOKUP($A413,'[2]Sheet 1'!$A$2:$Q$3504,6,FALSE())</f>
        <v>0</v>
      </c>
      <c r="G413" s="0" t="n">
        <f aca="false">VLOOKUP($A413,'[2]Sheet 1'!$A$2:$Q$3504,7,FALSE())</f>
        <v>2.67</v>
      </c>
      <c r="H413" s="0" t="n">
        <f aca="false">VLOOKUP($A413,'[2]Sheet 1'!$A$2:$Q$3504,8,FALSE())</f>
        <v>8.7</v>
      </c>
      <c r="I413" s="0" t="n">
        <f aca="false">VLOOKUP($A413,'[2]Sheet 1'!$A$2:$Q$3504,9,FALSE())</f>
        <v>11</v>
      </c>
      <c r="J413" s="0" t="n">
        <f aca="false">VLOOKUP($A413,'[2]Sheet 1'!$A$2:$Q$3504,10,FALSE())</f>
        <v>690</v>
      </c>
      <c r="K413" s="0" t="n">
        <f aca="false">VLOOKUP($A413,'[2]Sheet 1'!$A$2:$Q$3504,11,FALSE())</f>
        <v>1.96</v>
      </c>
      <c r="L413" s="0" t="n">
        <f aca="false">VLOOKUP($A413,'[2]Sheet 1'!$A$2:$Q$3504,12,FALSE())</f>
        <v>194.4</v>
      </c>
      <c r="M413" s="0" t="n">
        <f aca="false">VLOOKUP($A413,'[2]Sheet 1'!$A$2:$Q$3504,13,FALSE())</f>
        <v>229</v>
      </c>
      <c r="N413" s="0" t="n">
        <f aca="false">VLOOKUP($A413,'[2]Sheet 1'!$A$2:$Q$3504,14,FALSE())</f>
        <v>0.82</v>
      </c>
      <c r="O413" s="0" t="n">
        <f aca="false">VLOOKUP($A413,'[2]Sheet 1'!$A$2:$Q$3504,15,FALSE())</f>
        <v>20.425</v>
      </c>
      <c r="P413" s="0" t="n">
        <f aca="false">VLOOKUP($A413,'[2]Sheet 1'!$A$2:$Q$3504,16,FALSE())</f>
        <v>0</v>
      </c>
      <c r="Q413" s="0" t="n">
        <f aca="false">VLOOKUP($A413,'[2]Sheet 1'!$A$2:$Q$3504,17,FALSE())</f>
        <v>7890</v>
      </c>
      <c r="S413" s="5"/>
    </row>
    <row r="414" customFormat="false" ht="14.25" hidden="false" customHeight="false" outlineLevel="0" collapsed="false">
      <c r="A414" s="5" t="n">
        <v>1060</v>
      </c>
      <c r="B414" s="5" t="s">
        <v>1025</v>
      </c>
      <c r="C414" s="5" t="n">
        <v>50</v>
      </c>
      <c r="D414" s="0" t="n">
        <f aca="false">VLOOKUP($A414,'[2]Sheet 1'!$A$2:$Q$3504,4,FALSE())</f>
        <v>167</v>
      </c>
      <c r="E414" s="0" t="n">
        <f aca="false">VLOOKUP($A414,'[2]Sheet 1'!$A$2:$Q$3504,5,FALSE())</f>
        <v>24.46</v>
      </c>
      <c r="F414" s="0" t="n">
        <f aca="false">VLOOKUP($A414,'[2]Sheet 1'!$A$2:$Q$3504,6,FALSE())</f>
        <v>0</v>
      </c>
      <c r="G414" s="0" t="n">
        <f aca="false">VLOOKUP($A414,'[2]Sheet 1'!$A$2:$Q$3504,7,FALSE())</f>
        <v>3.98</v>
      </c>
      <c r="H414" s="0" t="n">
        <f aca="false">VLOOKUP($A414,'[2]Sheet 1'!$A$2:$Q$3504,8,FALSE())</f>
        <v>11.63</v>
      </c>
      <c r="I414" s="0" t="n">
        <f aca="false">VLOOKUP($A414,'[2]Sheet 1'!$A$2:$Q$3504,9,FALSE())</f>
        <v>11</v>
      </c>
      <c r="J414" s="0" t="n">
        <f aca="false">VLOOKUP($A414,'[2]Sheet 1'!$A$2:$Q$3504,10,FALSE())</f>
        <v>578</v>
      </c>
      <c r="K414" s="0" t="n">
        <f aca="false">VLOOKUP($A414,'[2]Sheet 1'!$A$2:$Q$3504,11,FALSE())</f>
        <v>1.993</v>
      </c>
      <c r="L414" s="0" t="n">
        <f aca="false">VLOOKUP($A414,'[2]Sheet 1'!$A$2:$Q$3504,12,FALSE())</f>
        <v>290</v>
      </c>
      <c r="M414" s="0" t="n">
        <f aca="false">VLOOKUP($A414,'[2]Sheet 1'!$A$2:$Q$3504,13,FALSE())</f>
        <v>263</v>
      </c>
      <c r="N414" s="0" t="n">
        <f aca="false">VLOOKUP($A414,'[2]Sheet 1'!$A$2:$Q$3504,14,FALSE())</f>
        <v>0.82</v>
      </c>
      <c r="O414" s="0" t="n">
        <f aca="false">VLOOKUP($A414,'[2]Sheet 1'!$A$2:$Q$3504,15,FALSE())</f>
        <v>16.85</v>
      </c>
      <c r="P414" s="0" t="n">
        <f aca="false">VLOOKUP($A414,'[2]Sheet 1'!$A$2:$Q$3504,16,FALSE())</f>
        <v>0</v>
      </c>
      <c r="Q414" s="0" t="n">
        <f aca="false">VLOOKUP($A414,'[2]Sheet 1'!$A$2:$Q$3504,17,FALSE())</f>
        <v>3981</v>
      </c>
      <c r="S414" s="5"/>
    </row>
    <row r="415" customFormat="false" ht="14.25" hidden="false" customHeight="false" outlineLevel="0" collapsed="false">
      <c r="A415" s="5" t="n">
        <v>1061</v>
      </c>
      <c r="B415" s="5" t="s">
        <v>1027</v>
      </c>
      <c r="C415" s="5" t="n">
        <v>50</v>
      </c>
      <c r="D415" s="0" t="n">
        <f aca="false">VLOOKUP($A415,'[2]Sheet 1'!$A$2:$Q$3504,4,FALSE())</f>
        <v>172.58</v>
      </c>
      <c r="E415" s="0" t="n">
        <f aca="false">VLOOKUP($A415,'[2]Sheet 1'!$A$2:$Q$3504,5,FALSE())</f>
        <v>18.045</v>
      </c>
      <c r="F415" s="0" t="n">
        <f aca="false">VLOOKUP($A415,'[2]Sheet 1'!$A$2:$Q$3504,6,FALSE())</f>
        <v>0</v>
      </c>
      <c r="G415" s="0" t="n">
        <f aca="false">VLOOKUP($A415,'[2]Sheet 1'!$A$2:$Q$3504,7,FALSE())</f>
        <v>1.33</v>
      </c>
      <c r="H415" s="0" t="n">
        <f aca="false">VLOOKUP($A415,'[2]Sheet 1'!$A$2:$Q$3504,8,FALSE())</f>
        <v>1.4</v>
      </c>
      <c r="I415" s="0" t="n">
        <f aca="false">VLOOKUP($A415,'[2]Sheet 1'!$A$2:$Q$3504,9,FALSE())</f>
        <v>11</v>
      </c>
      <c r="J415" s="0" t="n">
        <f aca="false">VLOOKUP($A415,'[2]Sheet 1'!$A$2:$Q$3504,10,FALSE())</f>
        <v>7</v>
      </c>
      <c r="K415" s="0" t="n">
        <f aca="false">VLOOKUP($A415,'[2]Sheet 1'!$A$2:$Q$3504,11,FALSE())</f>
        <v>0.155</v>
      </c>
      <c r="L415" s="0" t="n">
        <f aca="false">VLOOKUP($A415,'[2]Sheet 1'!$A$2:$Q$3504,12,FALSE())</f>
        <v>58</v>
      </c>
      <c r="M415" s="0" t="n">
        <f aca="false">VLOOKUP($A415,'[2]Sheet 1'!$A$2:$Q$3504,13,FALSE())</f>
        <v>233.5</v>
      </c>
      <c r="N415" s="0" t="n">
        <f aca="false">VLOOKUP($A415,'[2]Sheet 1'!$A$2:$Q$3504,14,FALSE())</f>
        <v>0.158251487388476</v>
      </c>
      <c r="O415" s="0" t="n">
        <f aca="false">VLOOKUP($A415,'[2]Sheet 1'!$A$2:$Q$3504,15,FALSE())</f>
        <v>0.520695613366424</v>
      </c>
      <c r="P415" s="0" t="n">
        <f aca="false">VLOOKUP($A415,'[2]Sheet 1'!$A$2:$Q$3504,16,FALSE())</f>
        <v>0.967503828501812</v>
      </c>
      <c r="Q415" s="0" t="n">
        <f aca="false">VLOOKUP($A415,'[2]Sheet 1'!$A$2:$Q$3504,17,FALSE())</f>
        <v>18</v>
      </c>
      <c r="S415" s="5"/>
    </row>
    <row r="416" customFormat="false" ht="14.25" hidden="false" customHeight="false" outlineLevel="0" collapsed="false">
      <c r="A416" s="5" t="n">
        <v>1062</v>
      </c>
      <c r="B416" s="5" t="s">
        <v>1031</v>
      </c>
      <c r="C416" s="5" t="n">
        <v>27</v>
      </c>
      <c r="D416" s="0" t="n">
        <f aca="false">VLOOKUP($A416,'[2]Sheet 1'!$A$2:$Q$3504,4,FALSE())</f>
        <v>149</v>
      </c>
      <c r="E416" s="0" t="n">
        <f aca="false">VLOOKUP($A416,'[2]Sheet 1'!$A$2:$Q$3504,5,FALSE())</f>
        <v>12.6</v>
      </c>
      <c r="F416" s="0" t="n">
        <f aca="false">VLOOKUP($A416,'[2]Sheet 1'!$A$2:$Q$3504,6,FALSE())</f>
        <v>0</v>
      </c>
      <c r="G416" s="0" t="n">
        <f aca="false">VLOOKUP($A416,'[2]Sheet 1'!$A$2:$Q$3504,7,FALSE())</f>
        <v>1.29</v>
      </c>
      <c r="H416" s="0" t="n">
        <f aca="false">VLOOKUP($A416,'[2]Sheet 1'!$A$2:$Q$3504,8,FALSE())</f>
        <v>2</v>
      </c>
      <c r="I416" s="0" t="n">
        <f aca="false">VLOOKUP($A416,'[2]Sheet 1'!$A$2:$Q$3504,9,FALSE())</f>
        <v>56</v>
      </c>
      <c r="J416" s="0" t="n">
        <f aca="false">VLOOKUP($A416,'[2]Sheet 1'!$A$2:$Q$3504,10,FALSE())</f>
        <v>47</v>
      </c>
      <c r="K416" s="0" t="n">
        <f aca="false">VLOOKUP($A416,'[2]Sheet 1'!$A$2:$Q$3504,11,FALSE())</f>
        <v>0.3</v>
      </c>
      <c r="L416" s="0" t="n">
        <f aca="false">VLOOKUP($A416,'[2]Sheet 1'!$A$2:$Q$3504,12,FALSE())</f>
        <v>293.8</v>
      </c>
      <c r="M416" s="0" t="n">
        <f aca="false">VLOOKUP($A416,'[2]Sheet 1'!$A$2:$Q$3504,13,FALSE())</f>
        <v>130</v>
      </c>
      <c r="N416" s="0" t="n">
        <f aca="false">VLOOKUP($A416,'[2]Sheet 1'!$A$2:$Q$3504,14,FALSE())</f>
        <v>2.04</v>
      </c>
      <c r="O416" s="0" t="n">
        <f aca="false">VLOOKUP($A416,'[2]Sheet 1'!$A$2:$Q$3504,15,FALSE())</f>
        <v>1.9</v>
      </c>
      <c r="P416" s="0" t="n">
        <f aca="false">VLOOKUP($A416,'[2]Sheet 1'!$A$2:$Q$3504,16,FALSE())</f>
        <v>0.7</v>
      </c>
      <c r="Q416" s="0" t="n">
        <f aca="false">VLOOKUP($A416,'[2]Sheet 1'!$A$2:$Q$3504,17,FALSE())</f>
        <v>197</v>
      </c>
      <c r="S416" s="5"/>
    </row>
    <row r="417" customFormat="false" ht="14.25" hidden="false" customHeight="false" outlineLevel="0" collapsed="false">
      <c r="A417" s="5" t="n">
        <v>1063</v>
      </c>
      <c r="B417" s="5" t="s">
        <v>1034</v>
      </c>
      <c r="C417" s="5" t="n">
        <v>27</v>
      </c>
      <c r="D417" s="0" t="n">
        <f aca="false">VLOOKUP($A417,'[2]Sheet 1'!$A$2:$Q$3504,4,FALSE())</f>
        <v>328.63</v>
      </c>
      <c r="E417" s="0" t="n">
        <f aca="false">VLOOKUP($A417,'[2]Sheet 1'!$A$2:$Q$3504,5,FALSE())</f>
        <v>15.6</v>
      </c>
      <c r="F417" s="0" t="n">
        <f aca="false">VLOOKUP($A417,'[2]Sheet 1'!$A$2:$Q$3504,6,FALSE())</f>
        <v>0</v>
      </c>
      <c r="G417" s="0" t="n">
        <f aca="false">VLOOKUP($A417,'[2]Sheet 1'!$A$2:$Q$3504,7,FALSE())</f>
        <v>1.29</v>
      </c>
      <c r="H417" s="0" t="n">
        <f aca="false">VLOOKUP($A417,'[2]Sheet 1'!$A$2:$Q$3504,8,FALSE())</f>
        <v>5.6</v>
      </c>
      <c r="I417" s="0" t="n">
        <f aca="false">VLOOKUP($A417,'[2]Sheet 1'!$A$2:$Q$3504,9,FALSE())</f>
        <v>132</v>
      </c>
      <c r="J417" s="0" t="n">
        <f aca="false">VLOOKUP($A417,'[2]Sheet 1'!$A$2:$Q$3504,10,FALSE())</f>
        <v>47</v>
      </c>
      <c r="K417" s="0" t="n">
        <f aca="false">VLOOKUP($A417,'[2]Sheet 1'!$A$2:$Q$3504,11,FALSE())</f>
        <v>0.36</v>
      </c>
      <c r="L417" s="0" t="n">
        <f aca="false">VLOOKUP($A417,'[2]Sheet 1'!$A$2:$Q$3504,12,FALSE())</f>
        <v>293.8</v>
      </c>
      <c r="M417" s="0" t="n">
        <f aca="false">VLOOKUP($A417,'[2]Sheet 1'!$A$2:$Q$3504,13,FALSE())</f>
        <v>114</v>
      </c>
      <c r="N417" s="0" t="n">
        <f aca="false">VLOOKUP($A417,'[2]Sheet 1'!$A$2:$Q$3504,14,FALSE())</f>
        <v>1.31</v>
      </c>
      <c r="O417" s="0" t="n">
        <f aca="false">VLOOKUP($A417,'[2]Sheet 1'!$A$2:$Q$3504,15,FALSE())</f>
        <v>0.485</v>
      </c>
      <c r="P417" s="0" t="n">
        <f aca="false">VLOOKUP($A417,'[2]Sheet 1'!$A$2:$Q$3504,16,FALSE())</f>
        <v>5.6</v>
      </c>
      <c r="Q417" s="0" t="n">
        <f aca="false">VLOOKUP($A417,'[2]Sheet 1'!$A$2:$Q$3504,17,FALSE())</f>
        <v>473</v>
      </c>
      <c r="S417" s="5"/>
    </row>
    <row r="418" customFormat="false" ht="14.25" hidden="false" customHeight="false" outlineLevel="0" collapsed="false">
      <c r="A418" s="5" t="n">
        <v>1064</v>
      </c>
      <c r="B418" s="5" t="s">
        <v>1037</v>
      </c>
      <c r="C418" s="5" t="n">
        <v>96</v>
      </c>
      <c r="D418" s="0" t="n">
        <f aca="false">VLOOKUP($A418,'[2]Sheet 1'!$A$2:$Q$3504,4,FALSE())</f>
        <v>578.8</v>
      </c>
      <c r="E418" s="0" t="n">
        <f aca="false">VLOOKUP($A418,'[2]Sheet 1'!$A$2:$Q$3504,5,FALSE())</f>
        <v>45.8</v>
      </c>
      <c r="F418" s="0" t="n">
        <f aca="false">VLOOKUP($A418,'[2]Sheet 1'!$A$2:$Q$3504,6,FALSE())</f>
        <v>0</v>
      </c>
      <c r="G418" s="0" t="n">
        <f aca="false">VLOOKUP($A418,'[2]Sheet 1'!$A$2:$Q$3504,7,FALSE())</f>
        <v>4.29</v>
      </c>
      <c r="H418" s="0" t="n">
        <f aca="false">VLOOKUP($A418,'[2]Sheet 1'!$A$2:$Q$3504,8,FALSE())</f>
        <v>6.115</v>
      </c>
      <c r="I418" s="0" t="n">
        <f aca="false">VLOOKUP($A418,'[2]Sheet 1'!$A$2:$Q$3504,9,FALSE())</f>
        <v>224</v>
      </c>
      <c r="J418" s="0" t="n">
        <f aca="false">VLOOKUP($A418,'[2]Sheet 1'!$A$2:$Q$3504,10,FALSE())</f>
        <v>119</v>
      </c>
      <c r="K418" s="0" t="n">
        <f aca="false">VLOOKUP($A418,'[2]Sheet 1'!$A$2:$Q$3504,11,FALSE())</f>
        <v>1.17</v>
      </c>
      <c r="L418" s="0" t="n">
        <f aca="false">VLOOKUP($A418,'[2]Sheet 1'!$A$2:$Q$3504,12,FALSE())</f>
        <v>1266.7</v>
      </c>
      <c r="M418" s="0" t="n">
        <f aca="false">VLOOKUP($A418,'[2]Sheet 1'!$A$2:$Q$3504,13,FALSE())</f>
        <v>515</v>
      </c>
      <c r="N418" s="0" t="n">
        <f aca="false">VLOOKUP($A418,'[2]Sheet 1'!$A$2:$Q$3504,14,FALSE())</f>
        <v>2.17</v>
      </c>
      <c r="O418" s="0" t="n">
        <f aca="false">VLOOKUP($A418,'[2]Sheet 1'!$A$2:$Q$3504,15,FALSE())</f>
        <v>1.695</v>
      </c>
      <c r="P418" s="0" t="n">
        <f aca="false">VLOOKUP($A418,'[2]Sheet 1'!$A$2:$Q$3504,16,FALSE())</f>
        <v>1.2</v>
      </c>
      <c r="Q418" s="0" t="n">
        <f aca="false">VLOOKUP($A418,'[2]Sheet 1'!$A$2:$Q$3504,17,FALSE())</f>
        <v>368</v>
      </c>
      <c r="S418" s="5"/>
    </row>
    <row r="419" customFormat="false" ht="14.25" hidden="false" customHeight="false" outlineLevel="0" collapsed="false">
      <c r="A419" s="5" t="n">
        <v>1068</v>
      </c>
      <c r="B419" s="5" t="s">
        <v>1041</v>
      </c>
      <c r="C419" s="5" t="n">
        <v>0</v>
      </c>
      <c r="D419" s="0" t="e">
        <f aca="false">VLOOKUP($A419,'[2]Sheet 1'!$A$2:$Q$3504,4,FALSE())</f>
        <v>#N/A</v>
      </c>
      <c r="E419" s="0" t="e">
        <f aca="false">VLOOKUP($A419,'[2]Sheet 1'!$A$2:$Q$3504,5,FALSE())</f>
        <v>#N/A</v>
      </c>
      <c r="F419" s="0" t="e">
        <f aca="false">VLOOKUP($A419,'[2]Sheet 1'!$A$2:$Q$3504,6,FALSE())</f>
        <v>#N/A</v>
      </c>
      <c r="G419" s="0" t="e">
        <f aca="false">VLOOKUP($A419,'[2]Sheet 1'!$A$2:$Q$3504,7,FALSE())</f>
        <v>#N/A</v>
      </c>
      <c r="H419" s="0" t="e">
        <f aca="false">VLOOKUP($A419,'[2]Sheet 1'!$A$2:$Q$3504,8,FALSE())</f>
        <v>#N/A</v>
      </c>
      <c r="I419" s="0" t="e">
        <f aca="false">VLOOKUP($A419,'[2]Sheet 1'!$A$2:$Q$3504,9,FALSE())</f>
        <v>#N/A</v>
      </c>
      <c r="J419" s="0" t="e">
        <f aca="false">VLOOKUP($A419,'[2]Sheet 1'!$A$2:$Q$3504,10,FALSE())</f>
        <v>#N/A</v>
      </c>
      <c r="K419" s="0" t="e">
        <f aca="false">VLOOKUP($A419,'[2]Sheet 1'!$A$2:$Q$3504,11,FALSE())</f>
        <v>#N/A</v>
      </c>
      <c r="L419" s="0" t="e">
        <f aca="false">VLOOKUP($A419,'[2]Sheet 1'!$A$2:$Q$3504,12,FALSE())</f>
        <v>#N/A</v>
      </c>
      <c r="M419" s="0" t="e">
        <f aca="false">VLOOKUP($A419,'[2]Sheet 1'!$A$2:$Q$3504,13,FALSE())</f>
        <v>#N/A</v>
      </c>
      <c r="N419" s="0" t="e">
        <f aca="false">VLOOKUP($A419,'[2]Sheet 1'!$A$2:$Q$3504,14,FALSE())</f>
        <v>#N/A</v>
      </c>
      <c r="O419" s="0" t="e">
        <f aca="false">VLOOKUP($A419,'[2]Sheet 1'!$A$2:$Q$3504,15,FALSE())</f>
        <v>#N/A</v>
      </c>
      <c r="P419" s="0" t="e">
        <f aca="false">VLOOKUP($A419,'[2]Sheet 1'!$A$2:$Q$3504,16,FALSE())</f>
        <v>#N/A</v>
      </c>
      <c r="Q419" s="0" t="e">
        <f aca="false">VLOOKUP($A419,'[2]Sheet 1'!$A$2:$Q$3504,17,FALSE())</f>
        <v>#N/A</v>
      </c>
      <c r="S419" s="5"/>
    </row>
    <row r="420" customFormat="false" ht="14.25" hidden="false" customHeight="false" outlineLevel="0" collapsed="false">
      <c r="A420" s="5" t="n">
        <v>1069</v>
      </c>
      <c r="B420" s="5" t="s">
        <v>1045</v>
      </c>
      <c r="C420" s="5" t="n">
        <v>50</v>
      </c>
      <c r="D420" s="0" t="n">
        <f aca="false">VLOOKUP($A420,'[2]Sheet 1'!$A$2:$Q$3504,4,FALSE())</f>
        <v>151</v>
      </c>
      <c r="E420" s="0" t="n">
        <f aca="false">VLOOKUP($A420,'[2]Sheet 1'!$A$2:$Q$3504,5,FALSE())</f>
        <v>22.3</v>
      </c>
      <c r="F420" s="0" t="n">
        <f aca="false">VLOOKUP($A420,'[2]Sheet 1'!$A$2:$Q$3504,6,FALSE())</f>
        <v>0</v>
      </c>
      <c r="G420" s="0" t="n">
        <f aca="false">VLOOKUP($A420,'[2]Sheet 1'!$A$2:$Q$3504,7,FALSE())</f>
        <v>2.2</v>
      </c>
      <c r="H420" s="0" t="n">
        <f aca="false">VLOOKUP($A420,'[2]Sheet 1'!$A$2:$Q$3504,8,FALSE())</f>
        <v>3.54</v>
      </c>
      <c r="I420" s="0" t="n">
        <f aca="false">VLOOKUP($A420,'[2]Sheet 1'!$A$2:$Q$3504,9,FALSE())</f>
        <v>12</v>
      </c>
      <c r="J420" s="0" t="n">
        <f aca="false">VLOOKUP($A420,'[2]Sheet 1'!$A$2:$Q$3504,10,FALSE())</f>
        <v>7</v>
      </c>
      <c r="K420" s="0" t="n">
        <f aca="false">VLOOKUP($A420,'[2]Sheet 1'!$A$2:$Q$3504,11,FALSE())</f>
        <v>0.26</v>
      </c>
      <c r="L420" s="0" t="n">
        <f aca="false">VLOOKUP($A420,'[2]Sheet 1'!$A$2:$Q$3504,12,FALSE())</f>
        <v>0</v>
      </c>
      <c r="M420" s="0" t="n">
        <f aca="false">VLOOKUP($A420,'[2]Sheet 1'!$A$2:$Q$3504,13,FALSE())</f>
        <v>243</v>
      </c>
      <c r="N420" s="0" t="n">
        <f aca="false">VLOOKUP($A420,'[2]Sheet 1'!$A$2:$Q$3504,14,FALSE())</f>
        <v>0.21</v>
      </c>
      <c r="O420" s="0" t="n">
        <f aca="false">VLOOKUP($A420,'[2]Sheet 1'!$A$2:$Q$3504,15,FALSE())</f>
        <v>2.515</v>
      </c>
      <c r="P420" s="0" t="n">
        <f aca="false">VLOOKUP($A420,'[2]Sheet 1'!$A$2:$Q$3504,16,FALSE())</f>
        <v>0</v>
      </c>
      <c r="Q420" s="0" t="n">
        <f aca="false">VLOOKUP($A420,'[2]Sheet 1'!$A$2:$Q$3504,17,FALSE())</f>
        <v>53</v>
      </c>
      <c r="S420" s="5"/>
    </row>
    <row r="421" customFormat="false" ht="14.25" hidden="false" customHeight="false" outlineLevel="0" collapsed="false">
      <c r="A421" s="5" t="n">
        <v>1073</v>
      </c>
      <c r="B421" s="5" t="s">
        <v>1050</v>
      </c>
      <c r="C421" s="5" t="n">
        <v>50</v>
      </c>
      <c r="D421" s="0" t="n">
        <f aca="false">VLOOKUP($A421,'[2]Sheet 1'!$A$2:$Q$3504,4,FALSE())</f>
        <v>116.39</v>
      </c>
      <c r="E421" s="0" t="n">
        <f aca="false">VLOOKUP($A421,'[2]Sheet 1'!$A$2:$Q$3504,5,FALSE())</f>
        <v>20.4</v>
      </c>
      <c r="F421" s="0" t="n">
        <f aca="false">VLOOKUP($A421,'[2]Sheet 1'!$A$2:$Q$3504,6,FALSE())</f>
        <v>0</v>
      </c>
      <c r="G421" s="0" t="n">
        <f aca="false">VLOOKUP($A421,'[2]Sheet 1'!$A$2:$Q$3504,7,FALSE())</f>
        <v>0</v>
      </c>
      <c r="H421" s="0" t="n">
        <f aca="false">VLOOKUP($A421,'[2]Sheet 1'!$A$2:$Q$3504,8,FALSE())</f>
        <v>3.3</v>
      </c>
      <c r="I421" s="0" t="n">
        <f aca="false">VLOOKUP($A421,'[2]Sheet 1'!$A$2:$Q$3504,9,FALSE())</f>
        <v>16</v>
      </c>
      <c r="J421" s="0" t="n">
        <f aca="false">VLOOKUP($A421,'[2]Sheet 1'!$A$2:$Q$3504,10,FALSE())</f>
        <v>0</v>
      </c>
      <c r="K421" s="0" t="n">
        <f aca="false">VLOOKUP($A421,'[2]Sheet 1'!$A$2:$Q$3504,11,FALSE())</f>
        <v>0.21</v>
      </c>
      <c r="L421" s="0" t="n">
        <f aca="false">VLOOKUP($A421,'[2]Sheet 1'!$A$2:$Q$3504,12,FALSE())</f>
        <v>0</v>
      </c>
      <c r="M421" s="0" t="n">
        <f aca="false">VLOOKUP($A421,'[2]Sheet 1'!$A$2:$Q$3504,13,FALSE())</f>
        <v>326</v>
      </c>
      <c r="N421" s="0" t="n">
        <f aca="false">VLOOKUP($A421,'[2]Sheet 1'!$A$2:$Q$3504,14,FALSE())</f>
        <v>0.4</v>
      </c>
      <c r="O421" s="0" t="n">
        <f aca="false">VLOOKUP($A421,'[2]Sheet 1'!$A$2:$Q$3504,15,FALSE())</f>
        <v>3.255</v>
      </c>
      <c r="P421" s="0" t="n">
        <f aca="false">VLOOKUP($A421,'[2]Sheet 1'!$A$2:$Q$3504,16,FALSE())</f>
        <v>1.4</v>
      </c>
      <c r="Q421" s="0" t="n">
        <f aca="false">VLOOKUP($A421,'[2]Sheet 1'!$A$2:$Q$3504,17,FALSE())</f>
        <v>0</v>
      </c>
      <c r="S421" s="5"/>
    </row>
    <row r="422" customFormat="false" ht="14.25" hidden="false" customHeight="false" outlineLevel="0" collapsed="false">
      <c r="A422" s="5" t="n">
        <v>1074</v>
      </c>
      <c r="B422" s="5" t="s">
        <v>1052</v>
      </c>
      <c r="C422" s="5" t="n">
        <v>50</v>
      </c>
      <c r="D422" s="0" t="n">
        <f aca="false">VLOOKUP($A422,'[2]Sheet 1'!$A$2:$Q$3504,4,FALSE())</f>
        <v>131</v>
      </c>
      <c r="E422" s="0" t="n">
        <f aca="false">VLOOKUP($A422,'[2]Sheet 1'!$A$2:$Q$3504,5,FALSE())</f>
        <v>15.785</v>
      </c>
      <c r="F422" s="0" t="n">
        <f aca="false">VLOOKUP($A422,'[2]Sheet 1'!$A$2:$Q$3504,6,FALSE())</f>
        <v>0</v>
      </c>
      <c r="G422" s="0" t="n">
        <f aca="false">VLOOKUP($A422,'[2]Sheet 1'!$A$2:$Q$3504,7,FALSE())</f>
        <v>3.315</v>
      </c>
      <c r="H422" s="0" t="n">
        <f aca="false">VLOOKUP($A422,'[2]Sheet 1'!$A$2:$Q$3504,8,FALSE())</f>
        <v>19.165</v>
      </c>
      <c r="I422" s="0" t="n">
        <f aca="false">VLOOKUP($A422,'[2]Sheet 1'!$A$2:$Q$3504,9,FALSE())</f>
        <v>22.5</v>
      </c>
      <c r="J422" s="0" t="n">
        <f aca="false">VLOOKUP($A422,'[2]Sheet 1'!$A$2:$Q$3504,10,FALSE())</f>
        <v>738</v>
      </c>
      <c r="K422" s="0" t="n">
        <f aca="false">VLOOKUP($A422,'[2]Sheet 1'!$A$2:$Q$3504,11,FALSE())</f>
        <v>0.571</v>
      </c>
      <c r="L422" s="0" t="n">
        <f aca="false">VLOOKUP($A422,'[2]Sheet 1'!$A$2:$Q$3504,12,FALSE())</f>
        <v>0</v>
      </c>
      <c r="M422" s="0" t="n">
        <f aca="false">VLOOKUP($A422,'[2]Sheet 1'!$A$2:$Q$3504,13,FALSE())</f>
        <v>230</v>
      </c>
      <c r="N422" s="0" t="n">
        <f aca="false">VLOOKUP($A422,'[2]Sheet 1'!$A$2:$Q$3504,14,FALSE())</f>
        <v>0</v>
      </c>
      <c r="O422" s="0" t="n">
        <f aca="false">VLOOKUP($A422,'[2]Sheet 1'!$A$2:$Q$3504,15,FALSE())</f>
        <v>27</v>
      </c>
      <c r="P422" s="0" t="n">
        <f aca="false">VLOOKUP($A422,'[2]Sheet 1'!$A$2:$Q$3504,16,FALSE())</f>
        <v>0</v>
      </c>
      <c r="Q422" s="0" t="n">
        <f aca="false">VLOOKUP($A422,'[2]Sheet 1'!$A$2:$Q$3504,17,FALSE())</f>
        <v>7704.5</v>
      </c>
      <c r="S422" s="5"/>
    </row>
    <row r="423" customFormat="false" ht="14.25" hidden="false" customHeight="false" outlineLevel="0" collapsed="false">
      <c r="A423" s="5" t="n">
        <v>1075</v>
      </c>
      <c r="B423" s="5" t="s">
        <v>1056</v>
      </c>
      <c r="C423" s="5" t="n">
        <v>50</v>
      </c>
      <c r="D423" s="0" t="n">
        <f aca="false">VLOOKUP($A423,'[2]Sheet 1'!$A$2:$Q$3504,4,FALSE())</f>
        <v>128</v>
      </c>
      <c r="E423" s="0" t="n">
        <f aca="false">VLOOKUP($A423,'[2]Sheet 1'!$A$2:$Q$3504,5,FALSE())</f>
        <v>16.4</v>
      </c>
      <c r="F423" s="0" t="n">
        <f aca="false">VLOOKUP($A423,'[2]Sheet 1'!$A$2:$Q$3504,6,FALSE())</f>
        <v>0</v>
      </c>
      <c r="G423" s="0" t="n">
        <f aca="false">VLOOKUP($A423,'[2]Sheet 1'!$A$2:$Q$3504,7,FALSE())</f>
        <v>3.075</v>
      </c>
      <c r="H423" s="0" t="n">
        <f aca="false">VLOOKUP($A423,'[2]Sheet 1'!$A$2:$Q$3504,8,FALSE())</f>
        <v>23.1</v>
      </c>
      <c r="I423" s="0" t="n">
        <f aca="false">VLOOKUP($A423,'[2]Sheet 1'!$A$2:$Q$3504,9,FALSE())</f>
        <v>18</v>
      </c>
      <c r="J423" s="0" t="n">
        <f aca="false">VLOOKUP($A423,'[2]Sheet 1'!$A$2:$Q$3504,10,FALSE())</f>
        <v>738</v>
      </c>
      <c r="K423" s="0" t="n">
        <f aca="false">VLOOKUP($A423,'[2]Sheet 1'!$A$2:$Q$3504,11,FALSE())</f>
        <v>1.05</v>
      </c>
      <c r="L423" s="0" t="n">
        <f aca="false">VLOOKUP($A423,'[2]Sheet 1'!$A$2:$Q$3504,12,FALSE())</f>
        <v>0</v>
      </c>
      <c r="M423" s="0" t="n">
        <f aca="false">VLOOKUP($A423,'[2]Sheet 1'!$A$2:$Q$3504,13,FALSE())</f>
        <v>230</v>
      </c>
      <c r="N423" s="0" t="n">
        <f aca="false">VLOOKUP($A423,'[2]Sheet 1'!$A$2:$Q$3504,14,FALSE())</f>
        <v>0</v>
      </c>
      <c r="O423" s="0" t="n">
        <f aca="false">VLOOKUP($A423,'[2]Sheet 1'!$A$2:$Q$3504,15,FALSE())</f>
        <v>27</v>
      </c>
      <c r="P423" s="0" t="n">
        <f aca="false">VLOOKUP($A423,'[2]Sheet 1'!$A$2:$Q$3504,16,FALSE())</f>
        <v>0</v>
      </c>
      <c r="Q423" s="0" t="n">
        <f aca="false">VLOOKUP($A423,'[2]Sheet 1'!$A$2:$Q$3504,17,FALSE())</f>
        <v>1040</v>
      </c>
      <c r="S423" s="5"/>
    </row>
    <row r="424" customFormat="false" ht="14.25" hidden="false" customHeight="false" outlineLevel="0" collapsed="false">
      <c r="A424" s="5" t="n">
        <v>1079</v>
      </c>
      <c r="B424" s="5" t="s">
        <v>1060</v>
      </c>
      <c r="C424" s="5" t="n">
        <v>0</v>
      </c>
      <c r="D424" s="0" t="e">
        <f aca="false">VLOOKUP($A424,'[2]Sheet 1'!$A$2:$Q$3504,4,FALSE())</f>
        <v>#N/A</v>
      </c>
      <c r="E424" s="0" t="e">
        <f aca="false">VLOOKUP($A424,'[2]Sheet 1'!$A$2:$Q$3504,5,FALSE())</f>
        <v>#N/A</v>
      </c>
      <c r="F424" s="0" t="e">
        <f aca="false">VLOOKUP($A424,'[2]Sheet 1'!$A$2:$Q$3504,6,FALSE())</f>
        <v>#N/A</v>
      </c>
      <c r="G424" s="0" t="e">
        <f aca="false">VLOOKUP($A424,'[2]Sheet 1'!$A$2:$Q$3504,7,FALSE())</f>
        <v>#N/A</v>
      </c>
      <c r="H424" s="0" t="e">
        <f aca="false">VLOOKUP($A424,'[2]Sheet 1'!$A$2:$Q$3504,8,FALSE())</f>
        <v>#N/A</v>
      </c>
      <c r="I424" s="0" t="e">
        <f aca="false">VLOOKUP($A424,'[2]Sheet 1'!$A$2:$Q$3504,9,FALSE())</f>
        <v>#N/A</v>
      </c>
      <c r="J424" s="0" t="e">
        <f aca="false">VLOOKUP($A424,'[2]Sheet 1'!$A$2:$Q$3504,10,FALSE())</f>
        <v>#N/A</v>
      </c>
      <c r="K424" s="0" t="e">
        <f aca="false">VLOOKUP($A424,'[2]Sheet 1'!$A$2:$Q$3504,11,FALSE())</f>
        <v>#N/A</v>
      </c>
      <c r="L424" s="0" t="e">
        <f aca="false">VLOOKUP($A424,'[2]Sheet 1'!$A$2:$Q$3504,12,FALSE())</f>
        <v>#N/A</v>
      </c>
      <c r="M424" s="0" t="e">
        <f aca="false">VLOOKUP($A424,'[2]Sheet 1'!$A$2:$Q$3504,13,FALSE())</f>
        <v>#N/A</v>
      </c>
      <c r="N424" s="0" t="e">
        <f aca="false">VLOOKUP($A424,'[2]Sheet 1'!$A$2:$Q$3504,14,FALSE())</f>
        <v>#N/A</v>
      </c>
      <c r="O424" s="0" t="e">
        <f aca="false">VLOOKUP($A424,'[2]Sheet 1'!$A$2:$Q$3504,15,FALSE())</f>
        <v>#N/A</v>
      </c>
      <c r="P424" s="0" t="e">
        <f aca="false">VLOOKUP($A424,'[2]Sheet 1'!$A$2:$Q$3504,16,FALSE())</f>
        <v>#N/A</v>
      </c>
      <c r="Q424" s="0" t="e">
        <f aca="false">VLOOKUP($A424,'[2]Sheet 1'!$A$2:$Q$3504,17,FALSE())</f>
        <v>#N/A</v>
      </c>
      <c r="S424" s="5"/>
    </row>
    <row r="425" customFormat="false" ht="14.25" hidden="false" customHeight="false" outlineLevel="0" collapsed="false">
      <c r="A425" s="5" t="n">
        <v>1080</v>
      </c>
      <c r="B425" s="5" t="s">
        <v>1063</v>
      </c>
      <c r="C425" s="5" t="n">
        <v>50</v>
      </c>
      <c r="D425" s="0" t="n">
        <f aca="false">VLOOKUP($A425,'[2]Sheet 1'!$A$2:$Q$3504,4,FALSE())</f>
        <v>172.58</v>
      </c>
      <c r="E425" s="0" t="n">
        <f aca="false">VLOOKUP($A425,'[2]Sheet 1'!$A$2:$Q$3504,5,FALSE())</f>
        <v>18.045</v>
      </c>
      <c r="F425" s="0" t="n">
        <f aca="false">VLOOKUP($A425,'[2]Sheet 1'!$A$2:$Q$3504,6,FALSE())</f>
        <v>0</v>
      </c>
      <c r="G425" s="0" t="n">
        <f aca="false">VLOOKUP($A425,'[2]Sheet 1'!$A$2:$Q$3504,7,FALSE())</f>
        <v>1.33</v>
      </c>
      <c r="H425" s="0" t="n">
        <f aca="false">VLOOKUP($A425,'[2]Sheet 1'!$A$2:$Q$3504,8,FALSE())</f>
        <v>1.4</v>
      </c>
      <c r="I425" s="0" t="n">
        <f aca="false">VLOOKUP($A425,'[2]Sheet 1'!$A$2:$Q$3504,9,FALSE())</f>
        <v>11</v>
      </c>
      <c r="J425" s="0" t="n">
        <f aca="false">VLOOKUP($A425,'[2]Sheet 1'!$A$2:$Q$3504,10,FALSE())</f>
        <v>7</v>
      </c>
      <c r="K425" s="0" t="n">
        <f aca="false">VLOOKUP($A425,'[2]Sheet 1'!$A$2:$Q$3504,11,FALSE())</f>
        <v>0.155</v>
      </c>
      <c r="L425" s="0" t="n">
        <f aca="false">VLOOKUP($A425,'[2]Sheet 1'!$A$2:$Q$3504,12,FALSE())</f>
        <v>58</v>
      </c>
      <c r="M425" s="0" t="n">
        <f aca="false">VLOOKUP($A425,'[2]Sheet 1'!$A$2:$Q$3504,13,FALSE())</f>
        <v>233.5</v>
      </c>
      <c r="N425" s="0" t="n">
        <f aca="false">VLOOKUP($A425,'[2]Sheet 1'!$A$2:$Q$3504,14,FALSE())</f>
        <v>0.158251487388476</v>
      </c>
      <c r="O425" s="0" t="n">
        <f aca="false">VLOOKUP($A425,'[2]Sheet 1'!$A$2:$Q$3504,15,FALSE())</f>
        <v>0.520695613366424</v>
      </c>
      <c r="P425" s="0" t="n">
        <f aca="false">VLOOKUP($A425,'[2]Sheet 1'!$A$2:$Q$3504,16,FALSE())</f>
        <v>0.967503828501812</v>
      </c>
      <c r="Q425" s="0" t="n">
        <f aca="false">VLOOKUP($A425,'[2]Sheet 1'!$A$2:$Q$3504,17,FALSE())</f>
        <v>18</v>
      </c>
      <c r="S425" s="5"/>
    </row>
    <row r="426" customFormat="false" ht="14.25" hidden="false" customHeight="false" outlineLevel="0" collapsed="false">
      <c r="A426" s="5" t="n">
        <v>1083</v>
      </c>
      <c r="B426" s="5" t="s">
        <v>1065</v>
      </c>
      <c r="C426" s="5" t="n">
        <v>0</v>
      </c>
      <c r="D426" s="0" t="e">
        <f aca="false">VLOOKUP($A426,'[2]Sheet 1'!$A$2:$Q$3504,4,FALSE())</f>
        <v>#N/A</v>
      </c>
      <c r="E426" s="0" t="e">
        <f aca="false">VLOOKUP($A426,'[2]Sheet 1'!$A$2:$Q$3504,5,FALSE())</f>
        <v>#N/A</v>
      </c>
      <c r="F426" s="0" t="e">
        <f aca="false">VLOOKUP($A426,'[2]Sheet 1'!$A$2:$Q$3504,6,FALSE())</f>
        <v>#N/A</v>
      </c>
      <c r="G426" s="0" t="e">
        <f aca="false">VLOOKUP($A426,'[2]Sheet 1'!$A$2:$Q$3504,7,FALSE())</f>
        <v>#N/A</v>
      </c>
      <c r="H426" s="0" t="e">
        <f aca="false">VLOOKUP($A426,'[2]Sheet 1'!$A$2:$Q$3504,8,FALSE())</f>
        <v>#N/A</v>
      </c>
      <c r="I426" s="0" t="e">
        <f aca="false">VLOOKUP($A426,'[2]Sheet 1'!$A$2:$Q$3504,9,FALSE())</f>
        <v>#N/A</v>
      </c>
      <c r="J426" s="0" t="e">
        <f aca="false">VLOOKUP($A426,'[2]Sheet 1'!$A$2:$Q$3504,10,FALSE())</f>
        <v>#N/A</v>
      </c>
      <c r="K426" s="0" t="e">
        <f aca="false">VLOOKUP($A426,'[2]Sheet 1'!$A$2:$Q$3504,11,FALSE())</f>
        <v>#N/A</v>
      </c>
      <c r="L426" s="0" t="e">
        <f aca="false">VLOOKUP($A426,'[2]Sheet 1'!$A$2:$Q$3504,12,FALSE())</f>
        <v>#N/A</v>
      </c>
      <c r="M426" s="0" t="e">
        <f aca="false">VLOOKUP($A426,'[2]Sheet 1'!$A$2:$Q$3504,13,FALSE())</f>
        <v>#N/A</v>
      </c>
      <c r="N426" s="0" t="e">
        <f aca="false">VLOOKUP($A426,'[2]Sheet 1'!$A$2:$Q$3504,14,FALSE())</f>
        <v>#N/A</v>
      </c>
      <c r="O426" s="0" t="e">
        <f aca="false">VLOOKUP($A426,'[2]Sheet 1'!$A$2:$Q$3504,15,FALSE())</f>
        <v>#N/A</v>
      </c>
      <c r="P426" s="0" t="e">
        <f aca="false">VLOOKUP($A426,'[2]Sheet 1'!$A$2:$Q$3504,16,FALSE())</f>
        <v>#N/A</v>
      </c>
      <c r="Q426" s="0" t="e">
        <f aca="false">VLOOKUP($A426,'[2]Sheet 1'!$A$2:$Q$3504,17,FALSE())</f>
        <v>#N/A</v>
      </c>
      <c r="S426" s="5"/>
    </row>
    <row r="427" customFormat="false" ht="14.25" hidden="false" customHeight="false" outlineLevel="0" collapsed="false">
      <c r="A427" s="5" t="n">
        <v>1091</v>
      </c>
      <c r="B427" s="5" t="s">
        <v>1073</v>
      </c>
      <c r="C427" s="5" t="n">
        <v>27</v>
      </c>
      <c r="D427" s="0" t="n">
        <f aca="false">VLOOKUP($A427,'[2]Sheet 1'!$A$2:$Q$3504,4,FALSE())</f>
        <v>179.5</v>
      </c>
      <c r="E427" s="0" t="n">
        <f aca="false">VLOOKUP($A427,'[2]Sheet 1'!$A$2:$Q$3504,5,FALSE())</f>
        <v>12.81</v>
      </c>
      <c r="F427" s="0" t="n">
        <f aca="false">VLOOKUP($A427,'[2]Sheet 1'!$A$2:$Q$3504,6,FALSE())</f>
        <v>0</v>
      </c>
      <c r="G427" s="0" t="n">
        <f aca="false">VLOOKUP($A427,'[2]Sheet 1'!$A$2:$Q$3504,7,FALSE())</f>
        <v>1.42</v>
      </c>
      <c r="H427" s="0" t="n">
        <f aca="false">VLOOKUP($A427,'[2]Sheet 1'!$A$2:$Q$3504,8,FALSE())</f>
        <v>3.64</v>
      </c>
      <c r="I427" s="0" t="n">
        <f aca="false">VLOOKUP($A427,'[2]Sheet 1'!$A$2:$Q$3504,9,FALSE())</f>
        <v>64</v>
      </c>
      <c r="J427" s="0" t="n">
        <f aca="false">VLOOKUP($A427,'[2]Sheet 1'!$A$2:$Q$3504,10,FALSE())</f>
        <v>76</v>
      </c>
      <c r="K427" s="0" t="n">
        <f aca="false">VLOOKUP($A427,'[2]Sheet 1'!$A$2:$Q$3504,11,FALSE())</f>
        <v>0.391</v>
      </c>
      <c r="L427" s="0" t="n">
        <f aca="false">VLOOKUP($A427,'[2]Sheet 1'!$A$2:$Q$3504,12,FALSE())</f>
        <v>263.4</v>
      </c>
      <c r="M427" s="0" t="n">
        <f aca="false">VLOOKUP($A427,'[2]Sheet 1'!$A$2:$Q$3504,13,FALSE())</f>
        <v>176</v>
      </c>
      <c r="N427" s="0" t="n">
        <f aca="false">VLOOKUP($A427,'[2]Sheet 1'!$A$2:$Q$3504,14,FALSE())</f>
        <v>0</v>
      </c>
      <c r="O427" s="0" t="n">
        <f aca="false">VLOOKUP($A427,'[2]Sheet 1'!$A$2:$Q$3504,15,FALSE())</f>
        <v>0.845</v>
      </c>
      <c r="P427" s="0" t="n">
        <f aca="false">VLOOKUP($A427,'[2]Sheet 1'!$A$2:$Q$3504,16,FALSE())</f>
        <v>0</v>
      </c>
      <c r="Q427" s="0" t="n">
        <f aca="false">VLOOKUP($A427,'[2]Sheet 1'!$A$2:$Q$3504,17,FALSE())</f>
        <v>187</v>
      </c>
      <c r="S427" s="5"/>
    </row>
    <row r="428" customFormat="false" ht="14.25" hidden="false" customHeight="false" outlineLevel="0" collapsed="false">
      <c r="A428" s="5" t="n">
        <v>1096</v>
      </c>
      <c r="B428" s="5" t="s">
        <v>1078</v>
      </c>
      <c r="C428" s="5" t="n">
        <v>0</v>
      </c>
      <c r="D428" s="0" t="e">
        <f aca="false">VLOOKUP($A428,'[2]Sheet 1'!$A$2:$Q$3504,4,FALSE())</f>
        <v>#N/A</v>
      </c>
      <c r="E428" s="0" t="e">
        <f aca="false">VLOOKUP($A428,'[2]Sheet 1'!$A$2:$Q$3504,5,FALSE())</f>
        <v>#N/A</v>
      </c>
      <c r="F428" s="0" t="e">
        <f aca="false">VLOOKUP($A428,'[2]Sheet 1'!$A$2:$Q$3504,6,FALSE())</f>
        <v>#N/A</v>
      </c>
      <c r="G428" s="0" t="e">
        <f aca="false">VLOOKUP($A428,'[2]Sheet 1'!$A$2:$Q$3504,7,FALSE())</f>
        <v>#N/A</v>
      </c>
      <c r="H428" s="0" t="e">
        <f aca="false">VLOOKUP($A428,'[2]Sheet 1'!$A$2:$Q$3504,8,FALSE())</f>
        <v>#N/A</v>
      </c>
      <c r="I428" s="0" t="e">
        <f aca="false">VLOOKUP($A428,'[2]Sheet 1'!$A$2:$Q$3504,9,FALSE())</f>
        <v>#N/A</v>
      </c>
      <c r="J428" s="0" t="e">
        <f aca="false">VLOOKUP($A428,'[2]Sheet 1'!$A$2:$Q$3504,10,FALSE())</f>
        <v>#N/A</v>
      </c>
      <c r="K428" s="0" t="e">
        <f aca="false">VLOOKUP($A428,'[2]Sheet 1'!$A$2:$Q$3504,11,FALSE())</f>
        <v>#N/A</v>
      </c>
      <c r="L428" s="0" t="e">
        <f aca="false">VLOOKUP($A428,'[2]Sheet 1'!$A$2:$Q$3504,12,FALSE())</f>
        <v>#N/A</v>
      </c>
      <c r="M428" s="0" t="e">
        <f aca="false">VLOOKUP($A428,'[2]Sheet 1'!$A$2:$Q$3504,13,FALSE())</f>
        <v>#N/A</v>
      </c>
      <c r="N428" s="0" t="e">
        <f aca="false">VLOOKUP($A428,'[2]Sheet 1'!$A$2:$Q$3504,14,FALSE())</f>
        <v>#N/A</v>
      </c>
      <c r="O428" s="0" t="e">
        <f aca="false">VLOOKUP($A428,'[2]Sheet 1'!$A$2:$Q$3504,15,FALSE())</f>
        <v>#N/A</v>
      </c>
      <c r="P428" s="0" t="e">
        <f aca="false">VLOOKUP($A428,'[2]Sheet 1'!$A$2:$Q$3504,16,FALSE())</f>
        <v>#N/A</v>
      </c>
      <c r="Q428" s="0" t="e">
        <f aca="false">VLOOKUP($A428,'[2]Sheet 1'!$A$2:$Q$3504,17,FALSE())</f>
        <v>#N/A</v>
      </c>
      <c r="S428" s="5"/>
    </row>
    <row r="429" customFormat="false" ht="14.25" hidden="false" customHeight="false" outlineLevel="0" collapsed="false">
      <c r="A429" s="5" t="n">
        <v>1097</v>
      </c>
      <c r="B429" s="5" t="s">
        <v>1082</v>
      </c>
      <c r="C429" s="5" t="n">
        <v>50</v>
      </c>
      <c r="D429" s="0" t="e">
        <f aca="false">VLOOKUP($A429,'[2]Sheet 1'!$A$2:$Q$3504,4,FALSE())</f>
        <v>#N/A</v>
      </c>
      <c r="E429" s="0" t="e">
        <f aca="false">VLOOKUP($A429,'[2]Sheet 1'!$A$2:$Q$3504,5,FALSE())</f>
        <v>#N/A</v>
      </c>
      <c r="F429" s="0" t="e">
        <f aca="false">VLOOKUP($A429,'[2]Sheet 1'!$A$2:$Q$3504,6,FALSE())</f>
        <v>#N/A</v>
      </c>
      <c r="G429" s="0" t="e">
        <f aca="false">VLOOKUP($A429,'[2]Sheet 1'!$A$2:$Q$3504,7,FALSE())</f>
        <v>#N/A</v>
      </c>
      <c r="H429" s="0" t="e">
        <f aca="false">VLOOKUP($A429,'[2]Sheet 1'!$A$2:$Q$3504,8,FALSE())</f>
        <v>#N/A</v>
      </c>
      <c r="I429" s="0" t="e">
        <f aca="false">VLOOKUP($A429,'[2]Sheet 1'!$A$2:$Q$3504,9,FALSE())</f>
        <v>#N/A</v>
      </c>
      <c r="J429" s="0" t="e">
        <f aca="false">VLOOKUP($A429,'[2]Sheet 1'!$A$2:$Q$3504,10,FALSE())</f>
        <v>#N/A</v>
      </c>
      <c r="K429" s="0" t="e">
        <f aca="false">VLOOKUP($A429,'[2]Sheet 1'!$A$2:$Q$3504,11,FALSE())</f>
        <v>#N/A</v>
      </c>
      <c r="L429" s="0" t="e">
        <f aca="false">VLOOKUP($A429,'[2]Sheet 1'!$A$2:$Q$3504,12,FALSE())</f>
        <v>#N/A</v>
      </c>
      <c r="M429" s="0" t="e">
        <f aca="false">VLOOKUP($A429,'[2]Sheet 1'!$A$2:$Q$3504,13,FALSE())</f>
        <v>#N/A</v>
      </c>
      <c r="N429" s="0" t="e">
        <f aca="false">VLOOKUP($A429,'[2]Sheet 1'!$A$2:$Q$3504,14,FALSE())</f>
        <v>#N/A</v>
      </c>
      <c r="O429" s="0" t="e">
        <f aca="false">VLOOKUP($A429,'[2]Sheet 1'!$A$2:$Q$3504,15,FALSE())</f>
        <v>#N/A</v>
      </c>
      <c r="P429" s="0" t="e">
        <f aca="false">VLOOKUP($A429,'[2]Sheet 1'!$A$2:$Q$3504,16,FALSE())</f>
        <v>#N/A</v>
      </c>
      <c r="Q429" s="0" t="e">
        <f aca="false">VLOOKUP($A429,'[2]Sheet 1'!$A$2:$Q$3504,17,FALSE())</f>
        <v>#N/A</v>
      </c>
      <c r="S429" s="5"/>
    </row>
    <row r="430" customFormat="false" ht="14.25" hidden="false" customHeight="false" outlineLevel="0" collapsed="false">
      <c r="A430" s="5" t="n">
        <v>1104</v>
      </c>
      <c r="B430" s="5" t="s">
        <v>1085</v>
      </c>
      <c r="C430" s="5" t="n">
        <v>0</v>
      </c>
      <c r="D430" s="0" t="e">
        <f aca="false">VLOOKUP($A430,'[2]Sheet 1'!$A$2:$Q$3504,4,FALSE())</f>
        <v>#N/A</v>
      </c>
      <c r="E430" s="0" t="e">
        <f aca="false">VLOOKUP($A430,'[2]Sheet 1'!$A$2:$Q$3504,5,FALSE())</f>
        <v>#N/A</v>
      </c>
      <c r="F430" s="0" t="e">
        <f aca="false">VLOOKUP($A430,'[2]Sheet 1'!$A$2:$Q$3504,6,FALSE())</f>
        <v>#N/A</v>
      </c>
      <c r="G430" s="0" t="e">
        <f aca="false">VLOOKUP($A430,'[2]Sheet 1'!$A$2:$Q$3504,7,FALSE())</f>
        <v>#N/A</v>
      </c>
      <c r="H430" s="0" t="e">
        <f aca="false">VLOOKUP($A430,'[2]Sheet 1'!$A$2:$Q$3504,8,FALSE())</f>
        <v>#N/A</v>
      </c>
      <c r="I430" s="0" t="e">
        <f aca="false">VLOOKUP($A430,'[2]Sheet 1'!$A$2:$Q$3504,9,FALSE())</f>
        <v>#N/A</v>
      </c>
      <c r="J430" s="0" t="e">
        <f aca="false">VLOOKUP($A430,'[2]Sheet 1'!$A$2:$Q$3504,10,FALSE())</f>
        <v>#N/A</v>
      </c>
      <c r="K430" s="0" t="e">
        <f aca="false">VLOOKUP($A430,'[2]Sheet 1'!$A$2:$Q$3504,11,FALSE())</f>
        <v>#N/A</v>
      </c>
      <c r="L430" s="0" t="e">
        <f aca="false">VLOOKUP($A430,'[2]Sheet 1'!$A$2:$Q$3504,12,FALSE())</f>
        <v>#N/A</v>
      </c>
      <c r="M430" s="0" t="e">
        <f aca="false">VLOOKUP($A430,'[2]Sheet 1'!$A$2:$Q$3504,13,FALSE())</f>
        <v>#N/A</v>
      </c>
      <c r="N430" s="0" t="e">
        <f aca="false">VLOOKUP($A430,'[2]Sheet 1'!$A$2:$Q$3504,14,FALSE())</f>
        <v>#N/A</v>
      </c>
      <c r="O430" s="0" t="e">
        <f aca="false">VLOOKUP($A430,'[2]Sheet 1'!$A$2:$Q$3504,15,FALSE())</f>
        <v>#N/A</v>
      </c>
      <c r="P430" s="0" t="e">
        <f aca="false">VLOOKUP($A430,'[2]Sheet 1'!$A$2:$Q$3504,16,FALSE())</f>
        <v>#N/A</v>
      </c>
      <c r="Q430" s="0" t="e">
        <f aca="false">VLOOKUP($A430,'[2]Sheet 1'!$A$2:$Q$3504,17,FALSE())</f>
        <v>#N/A</v>
      </c>
      <c r="S430" s="5"/>
    </row>
    <row r="431" customFormat="false" ht="14.25" hidden="false" customHeight="false" outlineLevel="0" collapsed="false">
      <c r="A431" s="5" t="n">
        <v>1107</v>
      </c>
      <c r="B431" s="5" t="s">
        <v>1087</v>
      </c>
      <c r="C431" s="5" t="n">
        <v>0</v>
      </c>
      <c r="D431" s="0" t="e">
        <f aca="false">VLOOKUP($A431,'[2]Sheet 1'!$A$2:$Q$3504,4,FALSE())</f>
        <v>#N/A</v>
      </c>
      <c r="E431" s="0" t="e">
        <f aca="false">VLOOKUP($A431,'[2]Sheet 1'!$A$2:$Q$3504,5,FALSE())</f>
        <v>#N/A</v>
      </c>
      <c r="F431" s="0" t="e">
        <f aca="false">VLOOKUP($A431,'[2]Sheet 1'!$A$2:$Q$3504,6,FALSE())</f>
        <v>#N/A</v>
      </c>
      <c r="G431" s="0" t="e">
        <f aca="false">VLOOKUP($A431,'[2]Sheet 1'!$A$2:$Q$3504,7,FALSE())</f>
        <v>#N/A</v>
      </c>
      <c r="H431" s="0" t="e">
        <f aca="false">VLOOKUP($A431,'[2]Sheet 1'!$A$2:$Q$3504,8,FALSE())</f>
        <v>#N/A</v>
      </c>
      <c r="I431" s="0" t="e">
        <f aca="false">VLOOKUP($A431,'[2]Sheet 1'!$A$2:$Q$3504,9,FALSE())</f>
        <v>#N/A</v>
      </c>
      <c r="J431" s="0" t="e">
        <f aca="false">VLOOKUP($A431,'[2]Sheet 1'!$A$2:$Q$3504,10,FALSE())</f>
        <v>#N/A</v>
      </c>
      <c r="K431" s="0" t="e">
        <f aca="false">VLOOKUP($A431,'[2]Sheet 1'!$A$2:$Q$3504,11,FALSE())</f>
        <v>#N/A</v>
      </c>
      <c r="L431" s="0" t="e">
        <f aca="false">VLOOKUP($A431,'[2]Sheet 1'!$A$2:$Q$3504,12,FALSE())</f>
        <v>#N/A</v>
      </c>
      <c r="M431" s="0" t="e">
        <f aca="false">VLOOKUP($A431,'[2]Sheet 1'!$A$2:$Q$3504,13,FALSE())</f>
        <v>#N/A</v>
      </c>
      <c r="N431" s="0" t="e">
        <f aca="false">VLOOKUP($A431,'[2]Sheet 1'!$A$2:$Q$3504,14,FALSE())</f>
        <v>#N/A</v>
      </c>
      <c r="O431" s="0" t="e">
        <f aca="false">VLOOKUP($A431,'[2]Sheet 1'!$A$2:$Q$3504,15,FALSE())</f>
        <v>#N/A</v>
      </c>
      <c r="P431" s="0" t="e">
        <f aca="false">VLOOKUP($A431,'[2]Sheet 1'!$A$2:$Q$3504,16,FALSE())</f>
        <v>#N/A</v>
      </c>
      <c r="Q431" s="0" t="e">
        <f aca="false">VLOOKUP($A431,'[2]Sheet 1'!$A$2:$Q$3504,17,FALSE())</f>
        <v>#N/A</v>
      </c>
      <c r="S431" s="5"/>
    </row>
    <row r="432" customFormat="false" ht="14.25" hidden="false" customHeight="false" outlineLevel="0" collapsed="false">
      <c r="A432" s="5" t="n">
        <v>1108</v>
      </c>
      <c r="B432" s="5" t="s">
        <v>1089</v>
      </c>
      <c r="C432" s="5" t="n">
        <v>50</v>
      </c>
      <c r="D432" s="0" t="e">
        <f aca="false">VLOOKUP($A432,'[2]Sheet 1'!$A$2:$Q$3504,4,FALSE())</f>
        <v>#N/A</v>
      </c>
      <c r="E432" s="0" t="e">
        <f aca="false">VLOOKUP($A432,'[2]Sheet 1'!$A$2:$Q$3504,5,FALSE())</f>
        <v>#N/A</v>
      </c>
      <c r="F432" s="0" t="e">
        <f aca="false">VLOOKUP($A432,'[2]Sheet 1'!$A$2:$Q$3504,6,FALSE())</f>
        <v>#N/A</v>
      </c>
      <c r="G432" s="0" t="e">
        <f aca="false">VLOOKUP($A432,'[2]Sheet 1'!$A$2:$Q$3504,7,FALSE())</f>
        <v>#N/A</v>
      </c>
      <c r="H432" s="0" t="e">
        <f aca="false">VLOOKUP($A432,'[2]Sheet 1'!$A$2:$Q$3504,8,FALSE())</f>
        <v>#N/A</v>
      </c>
      <c r="I432" s="0" t="e">
        <f aca="false">VLOOKUP($A432,'[2]Sheet 1'!$A$2:$Q$3504,9,FALSE())</f>
        <v>#N/A</v>
      </c>
      <c r="J432" s="0" t="e">
        <f aca="false">VLOOKUP($A432,'[2]Sheet 1'!$A$2:$Q$3504,10,FALSE())</f>
        <v>#N/A</v>
      </c>
      <c r="K432" s="0" t="e">
        <f aca="false">VLOOKUP($A432,'[2]Sheet 1'!$A$2:$Q$3504,11,FALSE())</f>
        <v>#N/A</v>
      </c>
      <c r="L432" s="0" t="e">
        <f aca="false">VLOOKUP($A432,'[2]Sheet 1'!$A$2:$Q$3504,12,FALSE())</f>
        <v>#N/A</v>
      </c>
      <c r="M432" s="0" t="e">
        <f aca="false">VLOOKUP($A432,'[2]Sheet 1'!$A$2:$Q$3504,13,FALSE())</f>
        <v>#N/A</v>
      </c>
      <c r="N432" s="0" t="e">
        <f aca="false">VLOOKUP($A432,'[2]Sheet 1'!$A$2:$Q$3504,14,FALSE())</f>
        <v>#N/A</v>
      </c>
      <c r="O432" s="0" t="e">
        <f aca="false">VLOOKUP($A432,'[2]Sheet 1'!$A$2:$Q$3504,15,FALSE())</f>
        <v>#N/A</v>
      </c>
      <c r="P432" s="0" t="e">
        <f aca="false">VLOOKUP($A432,'[2]Sheet 1'!$A$2:$Q$3504,16,FALSE())</f>
        <v>#N/A</v>
      </c>
      <c r="Q432" s="0" t="e">
        <f aca="false">VLOOKUP($A432,'[2]Sheet 1'!$A$2:$Q$3504,17,FALSE())</f>
        <v>#N/A</v>
      </c>
      <c r="S432" s="5"/>
    </row>
    <row r="433" customFormat="false" ht="14.25" hidden="false" customHeight="false" outlineLevel="0" collapsed="false">
      <c r="A433" s="5" t="n">
        <v>1110</v>
      </c>
      <c r="B433" s="5" t="s">
        <v>1090</v>
      </c>
      <c r="C433" s="5" t="n">
        <v>0</v>
      </c>
      <c r="D433" s="0" t="e">
        <f aca="false">VLOOKUP($A433,'[2]Sheet 1'!$A$2:$Q$3504,4,FALSE())</f>
        <v>#N/A</v>
      </c>
      <c r="E433" s="0" t="e">
        <f aca="false">VLOOKUP($A433,'[2]Sheet 1'!$A$2:$Q$3504,5,FALSE())</f>
        <v>#N/A</v>
      </c>
      <c r="F433" s="0" t="e">
        <f aca="false">VLOOKUP($A433,'[2]Sheet 1'!$A$2:$Q$3504,6,FALSE())</f>
        <v>#N/A</v>
      </c>
      <c r="G433" s="0" t="e">
        <f aca="false">VLOOKUP($A433,'[2]Sheet 1'!$A$2:$Q$3504,7,FALSE())</f>
        <v>#N/A</v>
      </c>
      <c r="H433" s="0" t="e">
        <f aca="false">VLOOKUP($A433,'[2]Sheet 1'!$A$2:$Q$3504,8,FALSE())</f>
        <v>#N/A</v>
      </c>
      <c r="I433" s="0" t="e">
        <f aca="false">VLOOKUP($A433,'[2]Sheet 1'!$A$2:$Q$3504,9,FALSE())</f>
        <v>#N/A</v>
      </c>
      <c r="J433" s="0" t="e">
        <f aca="false">VLOOKUP($A433,'[2]Sheet 1'!$A$2:$Q$3504,10,FALSE())</f>
        <v>#N/A</v>
      </c>
      <c r="K433" s="0" t="e">
        <f aca="false">VLOOKUP($A433,'[2]Sheet 1'!$A$2:$Q$3504,11,FALSE())</f>
        <v>#N/A</v>
      </c>
      <c r="L433" s="0" t="e">
        <f aca="false">VLOOKUP($A433,'[2]Sheet 1'!$A$2:$Q$3504,12,FALSE())</f>
        <v>#N/A</v>
      </c>
      <c r="M433" s="0" t="e">
        <f aca="false">VLOOKUP($A433,'[2]Sheet 1'!$A$2:$Q$3504,13,FALSE())</f>
        <v>#N/A</v>
      </c>
      <c r="N433" s="0" t="e">
        <f aca="false">VLOOKUP($A433,'[2]Sheet 1'!$A$2:$Q$3504,14,FALSE())</f>
        <v>#N/A</v>
      </c>
      <c r="O433" s="0" t="e">
        <f aca="false">VLOOKUP($A433,'[2]Sheet 1'!$A$2:$Q$3504,15,FALSE())</f>
        <v>#N/A</v>
      </c>
      <c r="P433" s="0" t="e">
        <f aca="false">VLOOKUP($A433,'[2]Sheet 1'!$A$2:$Q$3504,16,FALSE())</f>
        <v>#N/A</v>
      </c>
      <c r="Q433" s="0" t="e">
        <f aca="false">VLOOKUP($A433,'[2]Sheet 1'!$A$2:$Q$3504,17,FALSE())</f>
        <v>#N/A</v>
      </c>
      <c r="S433" s="5"/>
    </row>
    <row r="434" customFormat="false" ht="14.25" hidden="false" customHeight="false" outlineLevel="0" collapsed="false">
      <c r="A434" s="5" t="n">
        <v>1126</v>
      </c>
      <c r="B434" s="5" t="s">
        <v>1099</v>
      </c>
      <c r="C434" s="5" t="n">
        <v>0</v>
      </c>
      <c r="D434" s="0" t="e">
        <f aca="false">VLOOKUP($A434,'[2]Sheet 1'!$A$2:$Q$3504,4,FALSE())</f>
        <v>#N/A</v>
      </c>
      <c r="E434" s="0" t="e">
        <f aca="false">VLOOKUP($A434,'[2]Sheet 1'!$A$2:$Q$3504,5,FALSE())</f>
        <v>#N/A</v>
      </c>
      <c r="F434" s="0" t="e">
        <f aca="false">VLOOKUP($A434,'[2]Sheet 1'!$A$2:$Q$3504,6,FALSE())</f>
        <v>#N/A</v>
      </c>
      <c r="G434" s="0" t="e">
        <f aca="false">VLOOKUP($A434,'[2]Sheet 1'!$A$2:$Q$3504,7,FALSE())</f>
        <v>#N/A</v>
      </c>
      <c r="H434" s="0" t="e">
        <f aca="false">VLOOKUP($A434,'[2]Sheet 1'!$A$2:$Q$3504,8,FALSE())</f>
        <v>#N/A</v>
      </c>
      <c r="I434" s="0" t="e">
        <f aca="false">VLOOKUP($A434,'[2]Sheet 1'!$A$2:$Q$3504,9,FALSE())</f>
        <v>#N/A</v>
      </c>
      <c r="J434" s="0" t="e">
        <f aca="false">VLOOKUP($A434,'[2]Sheet 1'!$A$2:$Q$3504,10,FALSE())</f>
        <v>#N/A</v>
      </c>
      <c r="K434" s="0" t="e">
        <f aca="false">VLOOKUP($A434,'[2]Sheet 1'!$A$2:$Q$3504,11,FALSE())</f>
        <v>#N/A</v>
      </c>
      <c r="L434" s="0" t="e">
        <f aca="false">VLOOKUP($A434,'[2]Sheet 1'!$A$2:$Q$3504,12,FALSE())</f>
        <v>#N/A</v>
      </c>
      <c r="M434" s="0" t="e">
        <f aca="false">VLOOKUP($A434,'[2]Sheet 1'!$A$2:$Q$3504,13,FALSE())</f>
        <v>#N/A</v>
      </c>
      <c r="N434" s="0" t="e">
        <f aca="false">VLOOKUP($A434,'[2]Sheet 1'!$A$2:$Q$3504,14,FALSE())</f>
        <v>#N/A</v>
      </c>
      <c r="O434" s="0" t="e">
        <f aca="false">VLOOKUP($A434,'[2]Sheet 1'!$A$2:$Q$3504,15,FALSE())</f>
        <v>#N/A</v>
      </c>
      <c r="P434" s="0" t="e">
        <f aca="false">VLOOKUP($A434,'[2]Sheet 1'!$A$2:$Q$3504,16,FALSE())</f>
        <v>#N/A</v>
      </c>
      <c r="Q434" s="0" t="e">
        <f aca="false">VLOOKUP($A434,'[2]Sheet 1'!$A$2:$Q$3504,17,FALSE())</f>
        <v>#N/A</v>
      </c>
      <c r="S434" s="5"/>
    </row>
    <row r="435" customFormat="false" ht="14.25" hidden="false" customHeight="false" outlineLevel="0" collapsed="false">
      <c r="A435" s="5" t="n">
        <v>1127</v>
      </c>
      <c r="B435" s="5" t="s">
        <v>1101</v>
      </c>
      <c r="C435" s="5" t="n">
        <v>50</v>
      </c>
      <c r="D435" s="0" t="e">
        <f aca="false">VLOOKUP($A435,'[2]Sheet 1'!$A$2:$Q$3504,4,FALSE())</f>
        <v>#N/A</v>
      </c>
      <c r="E435" s="0" t="e">
        <f aca="false">VLOOKUP($A435,'[2]Sheet 1'!$A$2:$Q$3504,5,FALSE())</f>
        <v>#N/A</v>
      </c>
      <c r="F435" s="0" t="e">
        <f aca="false">VLOOKUP($A435,'[2]Sheet 1'!$A$2:$Q$3504,6,FALSE())</f>
        <v>#N/A</v>
      </c>
      <c r="G435" s="0" t="e">
        <f aca="false">VLOOKUP($A435,'[2]Sheet 1'!$A$2:$Q$3504,7,FALSE())</f>
        <v>#N/A</v>
      </c>
      <c r="H435" s="0" t="e">
        <f aca="false">VLOOKUP($A435,'[2]Sheet 1'!$A$2:$Q$3504,8,FALSE())</f>
        <v>#N/A</v>
      </c>
      <c r="I435" s="0" t="e">
        <f aca="false">VLOOKUP($A435,'[2]Sheet 1'!$A$2:$Q$3504,9,FALSE())</f>
        <v>#N/A</v>
      </c>
      <c r="J435" s="0" t="e">
        <f aca="false">VLOOKUP($A435,'[2]Sheet 1'!$A$2:$Q$3504,10,FALSE())</f>
        <v>#N/A</v>
      </c>
      <c r="K435" s="0" t="e">
        <f aca="false">VLOOKUP($A435,'[2]Sheet 1'!$A$2:$Q$3504,11,FALSE())</f>
        <v>#N/A</v>
      </c>
      <c r="L435" s="0" t="e">
        <f aca="false">VLOOKUP($A435,'[2]Sheet 1'!$A$2:$Q$3504,12,FALSE())</f>
        <v>#N/A</v>
      </c>
      <c r="M435" s="0" t="e">
        <f aca="false">VLOOKUP($A435,'[2]Sheet 1'!$A$2:$Q$3504,13,FALSE())</f>
        <v>#N/A</v>
      </c>
      <c r="N435" s="0" t="e">
        <f aca="false">VLOOKUP($A435,'[2]Sheet 1'!$A$2:$Q$3504,14,FALSE())</f>
        <v>#N/A</v>
      </c>
      <c r="O435" s="0" t="e">
        <f aca="false">VLOOKUP($A435,'[2]Sheet 1'!$A$2:$Q$3504,15,FALSE())</f>
        <v>#N/A</v>
      </c>
      <c r="P435" s="0" t="e">
        <f aca="false">VLOOKUP($A435,'[2]Sheet 1'!$A$2:$Q$3504,16,FALSE())</f>
        <v>#N/A</v>
      </c>
      <c r="Q435" s="0" t="e">
        <f aca="false">VLOOKUP($A435,'[2]Sheet 1'!$A$2:$Q$3504,17,FALSE())</f>
        <v>#N/A</v>
      </c>
      <c r="S435" s="5"/>
    </row>
    <row r="436" customFormat="false" ht="14.25" hidden="false" customHeight="false" outlineLevel="0" collapsed="false">
      <c r="A436" s="5" t="n">
        <v>1129</v>
      </c>
      <c r="B436" s="5" t="s">
        <v>1103</v>
      </c>
      <c r="C436" s="5" t="n">
        <v>100</v>
      </c>
      <c r="D436" s="0" t="e">
        <f aca="false">VLOOKUP($A436,'[2]Sheet 1'!$A$2:$Q$3504,4,FALSE())</f>
        <v>#N/A</v>
      </c>
      <c r="E436" s="0" t="e">
        <f aca="false">VLOOKUP($A436,'[2]Sheet 1'!$A$2:$Q$3504,5,FALSE())</f>
        <v>#N/A</v>
      </c>
      <c r="F436" s="0" t="e">
        <f aca="false">VLOOKUP($A436,'[2]Sheet 1'!$A$2:$Q$3504,6,FALSE())</f>
        <v>#N/A</v>
      </c>
      <c r="G436" s="0" t="e">
        <f aca="false">VLOOKUP($A436,'[2]Sheet 1'!$A$2:$Q$3504,7,FALSE())</f>
        <v>#N/A</v>
      </c>
      <c r="H436" s="0" t="e">
        <f aca="false">VLOOKUP($A436,'[2]Sheet 1'!$A$2:$Q$3504,8,FALSE())</f>
        <v>#N/A</v>
      </c>
      <c r="I436" s="0" t="e">
        <f aca="false">VLOOKUP($A436,'[2]Sheet 1'!$A$2:$Q$3504,9,FALSE())</f>
        <v>#N/A</v>
      </c>
      <c r="J436" s="0" t="e">
        <f aca="false">VLOOKUP($A436,'[2]Sheet 1'!$A$2:$Q$3504,10,FALSE())</f>
        <v>#N/A</v>
      </c>
      <c r="K436" s="0" t="e">
        <f aca="false">VLOOKUP($A436,'[2]Sheet 1'!$A$2:$Q$3504,11,FALSE())</f>
        <v>#N/A</v>
      </c>
      <c r="L436" s="0" t="e">
        <f aca="false">VLOOKUP($A436,'[2]Sheet 1'!$A$2:$Q$3504,12,FALSE())</f>
        <v>#N/A</v>
      </c>
      <c r="M436" s="0" t="e">
        <f aca="false">VLOOKUP($A436,'[2]Sheet 1'!$A$2:$Q$3504,13,FALSE())</f>
        <v>#N/A</v>
      </c>
      <c r="N436" s="0" t="e">
        <f aca="false">VLOOKUP($A436,'[2]Sheet 1'!$A$2:$Q$3504,14,FALSE())</f>
        <v>#N/A</v>
      </c>
      <c r="O436" s="0" t="e">
        <f aca="false">VLOOKUP($A436,'[2]Sheet 1'!$A$2:$Q$3504,15,FALSE())</f>
        <v>#N/A</v>
      </c>
      <c r="P436" s="0" t="e">
        <f aca="false">VLOOKUP($A436,'[2]Sheet 1'!$A$2:$Q$3504,16,FALSE())</f>
        <v>#N/A</v>
      </c>
      <c r="Q436" s="0" t="e">
        <f aca="false">VLOOKUP($A436,'[2]Sheet 1'!$A$2:$Q$3504,17,FALSE())</f>
        <v>#N/A</v>
      </c>
      <c r="S436" s="5"/>
    </row>
    <row r="437" customFormat="false" ht="14.25" hidden="false" customHeight="false" outlineLevel="0" collapsed="false">
      <c r="A437" s="5" t="n">
        <v>1134</v>
      </c>
      <c r="B437" s="5" t="s">
        <v>1107</v>
      </c>
      <c r="C437" s="5" t="n">
        <v>0</v>
      </c>
      <c r="D437" s="0" t="e">
        <f aca="false">VLOOKUP($A437,'[2]Sheet 1'!$A$2:$Q$3504,4,FALSE())</f>
        <v>#N/A</v>
      </c>
      <c r="E437" s="0" t="e">
        <f aca="false">VLOOKUP($A437,'[2]Sheet 1'!$A$2:$Q$3504,5,FALSE())</f>
        <v>#N/A</v>
      </c>
      <c r="F437" s="0" t="e">
        <f aca="false">VLOOKUP($A437,'[2]Sheet 1'!$A$2:$Q$3504,6,FALSE())</f>
        <v>#N/A</v>
      </c>
      <c r="G437" s="0" t="e">
        <f aca="false">VLOOKUP($A437,'[2]Sheet 1'!$A$2:$Q$3504,7,FALSE())</f>
        <v>#N/A</v>
      </c>
      <c r="H437" s="0" t="e">
        <f aca="false">VLOOKUP($A437,'[2]Sheet 1'!$A$2:$Q$3504,8,FALSE())</f>
        <v>#N/A</v>
      </c>
      <c r="I437" s="0" t="e">
        <f aca="false">VLOOKUP($A437,'[2]Sheet 1'!$A$2:$Q$3504,9,FALSE())</f>
        <v>#N/A</v>
      </c>
      <c r="J437" s="0" t="e">
        <f aca="false">VLOOKUP($A437,'[2]Sheet 1'!$A$2:$Q$3504,10,FALSE())</f>
        <v>#N/A</v>
      </c>
      <c r="K437" s="0" t="e">
        <f aca="false">VLOOKUP($A437,'[2]Sheet 1'!$A$2:$Q$3504,11,FALSE())</f>
        <v>#N/A</v>
      </c>
      <c r="L437" s="0" t="e">
        <f aca="false">VLOOKUP($A437,'[2]Sheet 1'!$A$2:$Q$3504,12,FALSE())</f>
        <v>#N/A</v>
      </c>
      <c r="M437" s="0" t="e">
        <f aca="false">VLOOKUP($A437,'[2]Sheet 1'!$A$2:$Q$3504,13,FALSE())</f>
        <v>#N/A</v>
      </c>
      <c r="N437" s="0" t="e">
        <f aca="false">VLOOKUP($A437,'[2]Sheet 1'!$A$2:$Q$3504,14,FALSE())</f>
        <v>#N/A</v>
      </c>
      <c r="O437" s="0" t="e">
        <f aca="false">VLOOKUP($A437,'[2]Sheet 1'!$A$2:$Q$3504,15,FALSE())</f>
        <v>#N/A</v>
      </c>
      <c r="P437" s="0" t="e">
        <f aca="false">VLOOKUP($A437,'[2]Sheet 1'!$A$2:$Q$3504,16,FALSE())</f>
        <v>#N/A</v>
      </c>
      <c r="Q437" s="0" t="e">
        <f aca="false">VLOOKUP($A437,'[2]Sheet 1'!$A$2:$Q$3504,17,FALSE())</f>
        <v>#N/A</v>
      </c>
      <c r="S437" s="5"/>
    </row>
    <row r="438" customFormat="false" ht="14.25" hidden="false" customHeight="false" outlineLevel="0" collapsed="false">
      <c r="A438" s="5" t="n">
        <v>1140</v>
      </c>
      <c r="B438" s="5" t="s">
        <v>1112</v>
      </c>
      <c r="C438" s="5" t="n">
        <v>0</v>
      </c>
      <c r="D438" s="0" t="e">
        <f aca="false">VLOOKUP($A438,'[2]Sheet 1'!$A$2:$Q$3504,4,FALSE())</f>
        <v>#N/A</v>
      </c>
      <c r="E438" s="0" t="e">
        <f aca="false">VLOOKUP($A438,'[2]Sheet 1'!$A$2:$Q$3504,5,FALSE())</f>
        <v>#N/A</v>
      </c>
      <c r="F438" s="0" t="e">
        <f aca="false">VLOOKUP($A438,'[2]Sheet 1'!$A$2:$Q$3504,6,FALSE())</f>
        <v>#N/A</v>
      </c>
      <c r="G438" s="0" t="e">
        <f aca="false">VLOOKUP($A438,'[2]Sheet 1'!$A$2:$Q$3504,7,FALSE())</f>
        <v>#N/A</v>
      </c>
      <c r="H438" s="0" t="e">
        <f aca="false">VLOOKUP($A438,'[2]Sheet 1'!$A$2:$Q$3504,8,FALSE())</f>
        <v>#N/A</v>
      </c>
      <c r="I438" s="0" t="e">
        <f aca="false">VLOOKUP($A438,'[2]Sheet 1'!$A$2:$Q$3504,9,FALSE())</f>
        <v>#N/A</v>
      </c>
      <c r="J438" s="0" t="e">
        <f aca="false">VLOOKUP($A438,'[2]Sheet 1'!$A$2:$Q$3504,10,FALSE())</f>
        <v>#N/A</v>
      </c>
      <c r="K438" s="0" t="e">
        <f aca="false">VLOOKUP($A438,'[2]Sheet 1'!$A$2:$Q$3504,11,FALSE())</f>
        <v>#N/A</v>
      </c>
      <c r="L438" s="0" t="e">
        <f aca="false">VLOOKUP($A438,'[2]Sheet 1'!$A$2:$Q$3504,12,FALSE())</f>
        <v>#N/A</v>
      </c>
      <c r="M438" s="0" t="e">
        <f aca="false">VLOOKUP($A438,'[2]Sheet 1'!$A$2:$Q$3504,13,FALSE())</f>
        <v>#N/A</v>
      </c>
      <c r="N438" s="0" t="e">
        <f aca="false">VLOOKUP($A438,'[2]Sheet 1'!$A$2:$Q$3504,14,FALSE())</f>
        <v>#N/A</v>
      </c>
      <c r="O438" s="0" t="e">
        <f aca="false">VLOOKUP($A438,'[2]Sheet 1'!$A$2:$Q$3504,15,FALSE())</f>
        <v>#N/A</v>
      </c>
      <c r="P438" s="0" t="e">
        <f aca="false">VLOOKUP($A438,'[2]Sheet 1'!$A$2:$Q$3504,16,FALSE())</f>
        <v>#N/A</v>
      </c>
      <c r="Q438" s="0" t="e">
        <f aca="false">VLOOKUP($A438,'[2]Sheet 1'!$A$2:$Q$3504,17,FALSE())</f>
        <v>#N/A</v>
      </c>
      <c r="S438" s="5"/>
    </row>
    <row r="439" customFormat="false" ht="14.25" hidden="false" customHeight="false" outlineLevel="0" collapsed="false">
      <c r="A439" s="5" t="n">
        <v>1141</v>
      </c>
      <c r="B439" s="5" t="s">
        <v>1114</v>
      </c>
      <c r="C439" s="5" t="n">
        <v>50</v>
      </c>
      <c r="D439" s="0" t="e">
        <f aca="false">VLOOKUP($A439,'[2]Sheet 1'!$A$2:$Q$3504,4,FALSE())</f>
        <v>#N/A</v>
      </c>
      <c r="E439" s="0" t="e">
        <f aca="false">VLOOKUP($A439,'[2]Sheet 1'!$A$2:$Q$3504,5,FALSE())</f>
        <v>#N/A</v>
      </c>
      <c r="F439" s="0" t="e">
        <f aca="false">VLOOKUP($A439,'[2]Sheet 1'!$A$2:$Q$3504,6,FALSE())</f>
        <v>#N/A</v>
      </c>
      <c r="G439" s="0" t="e">
        <f aca="false">VLOOKUP($A439,'[2]Sheet 1'!$A$2:$Q$3504,7,FALSE())</f>
        <v>#N/A</v>
      </c>
      <c r="H439" s="0" t="e">
        <f aca="false">VLOOKUP($A439,'[2]Sheet 1'!$A$2:$Q$3504,8,FALSE())</f>
        <v>#N/A</v>
      </c>
      <c r="I439" s="0" t="e">
        <f aca="false">VLOOKUP($A439,'[2]Sheet 1'!$A$2:$Q$3504,9,FALSE())</f>
        <v>#N/A</v>
      </c>
      <c r="J439" s="0" t="e">
        <f aca="false">VLOOKUP($A439,'[2]Sheet 1'!$A$2:$Q$3504,10,FALSE())</f>
        <v>#N/A</v>
      </c>
      <c r="K439" s="0" t="e">
        <f aca="false">VLOOKUP($A439,'[2]Sheet 1'!$A$2:$Q$3504,11,FALSE())</f>
        <v>#N/A</v>
      </c>
      <c r="L439" s="0" t="e">
        <f aca="false">VLOOKUP($A439,'[2]Sheet 1'!$A$2:$Q$3504,12,FALSE())</f>
        <v>#N/A</v>
      </c>
      <c r="M439" s="0" t="e">
        <f aca="false">VLOOKUP($A439,'[2]Sheet 1'!$A$2:$Q$3504,13,FALSE())</f>
        <v>#N/A</v>
      </c>
      <c r="N439" s="0" t="e">
        <f aca="false">VLOOKUP($A439,'[2]Sheet 1'!$A$2:$Q$3504,14,FALSE())</f>
        <v>#N/A</v>
      </c>
      <c r="O439" s="0" t="e">
        <f aca="false">VLOOKUP($A439,'[2]Sheet 1'!$A$2:$Q$3504,15,FALSE())</f>
        <v>#N/A</v>
      </c>
      <c r="P439" s="0" t="e">
        <f aca="false">VLOOKUP($A439,'[2]Sheet 1'!$A$2:$Q$3504,16,FALSE())</f>
        <v>#N/A</v>
      </c>
      <c r="Q439" s="0" t="e">
        <f aca="false">VLOOKUP($A439,'[2]Sheet 1'!$A$2:$Q$3504,17,FALSE())</f>
        <v>#N/A</v>
      </c>
      <c r="S439" s="5"/>
    </row>
    <row r="440" customFormat="false" ht="14.25" hidden="false" customHeight="false" outlineLevel="0" collapsed="false">
      <c r="A440" s="5" t="n">
        <v>1150</v>
      </c>
      <c r="B440" s="5" t="s">
        <v>1118</v>
      </c>
      <c r="C440" s="5" t="n">
        <v>0</v>
      </c>
      <c r="D440" s="0" t="e">
        <f aca="false">VLOOKUP($A440,'[2]Sheet 1'!$A$2:$Q$3504,4,FALSE())</f>
        <v>#N/A</v>
      </c>
      <c r="E440" s="0" t="e">
        <f aca="false">VLOOKUP($A440,'[2]Sheet 1'!$A$2:$Q$3504,5,FALSE())</f>
        <v>#N/A</v>
      </c>
      <c r="F440" s="0" t="e">
        <f aca="false">VLOOKUP($A440,'[2]Sheet 1'!$A$2:$Q$3504,6,FALSE())</f>
        <v>#N/A</v>
      </c>
      <c r="G440" s="0" t="e">
        <f aca="false">VLOOKUP($A440,'[2]Sheet 1'!$A$2:$Q$3504,7,FALSE())</f>
        <v>#N/A</v>
      </c>
      <c r="H440" s="0" t="e">
        <f aca="false">VLOOKUP($A440,'[2]Sheet 1'!$A$2:$Q$3504,8,FALSE())</f>
        <v>#N/A</v>
      </c>
      <c r="I440" s="0" t="e">
        <f aca="false">VLOOKUP($A440,'[2]Sheet 1'!$A$2:$Q$3504,9,FALSE())</f>
        <v>#N/A</v>
      </c>
      <c r="J440" s="0" t="e">
        <f aca="false">VLOOKUP($A440,'[2]Sheet 1'!$A$2:$Q$3504,10,FALSE())</f>
        <v>#N/A</v>
      </c>
      <c r="K440" s="0" t="e">
        <f aca="false">VLOOKUP($A440,'[2]Sheet 1'!$A$2:$Q$3504,11,FALSE())</f>
        <v>#N/A</v>
      </c>
      <c r="L440" s="0" t="e">
        <f aca="false">VLOOKUP($A440,'[2]Sheet 1'!$A$2:$Q$3504,12,FALSE())</f>
        <v>#N/A</v>
      </c>
      <c r="M440" s="0" t="e">
        <f aca="false">VLOOKUP($A440,'[2]Sheet 1'!$A$2:$Q$3504,13,FALSE())</f>
        <v>#N/A</v>
      </c>
      <c r="N440" s="0" t="e">
        <f aca="false">VLOOKUP($A440,'[2]Sheet 1'!$A$2:$Q$3504,14,FALSE())</f>
        <v>#N/A</v>
      </c>
      <c r="O440" s="0" t="e">
        <f aca="false">VLOOKUP($A440,'[2]Sheet 1'!$A$2:$Q$3504,15,FALSE())</f>
        <v>#N/A</v>
      </c>
      <c r="P440" s="0" t="e">
        <f aca="false">VLOOKUP($A440,'[2]Sheet 1'!$A$2:$Q$3504,16,FALSE())</f>
        <v>#N/A</v>
      </c>
      <c r="Q440" s="0" t="e">
        <f aca="false">VLOOKUP($A440,'[2]Sheet 1'!$A$2:$Q$3504,17,FALSE())</f>
        <v>#N/A</v>
      </c>
      <c r="S440" s="5"/>
    </row>
    <row r="441" customFormat="false" ht="14.25" hidden="false" customHeight="false" outlineLevel="0" collapsed="false">
      <c r="A441" s="5" t="n">
        <v>1157</v>
      </c>
      <c r="B441" s="5" t="s">
        <v>1123</v>
      </c>
      <c r="C441" s="5" t="n">
        <v>0</v>
      </c>
      <c r="D441" s="0" t="e">
        <f aca="false">VLOOKUP($A441,'[2]Sheet 1'!$A$2:$Q$3504,4,FALSE())</f>
        <v>#N/A</v>
      </c>
      <c r="E441" s="0" t="e">
        <f aca="false">VLOOKUP($A441,'[2]Sheet 1'!$A$2:$Q$3504,5,FALSE())</f>
        <v>#N/A</v>
      </c>
      <c r="F441" s="0" t="e">
        <f aca="false">VLOOKUP($A441,'[2]Sheet 1'!$A$2:$Q$3504,6,FALSE())</f>
        <v>#N/A</v>
      </c>
      <c r="G441" s="0" t="e">
        <f aca="false">VLOOKUP($A441,'[2]Sheet 1'!$A$2:$Q$3504,7,FALSE())</f>
        <v>#N/A</v>
      </c>
      <c r="H441" s="0" t="e">
        <f aca="false">VLOOKUP($A441,'[2]Sheet 1'!$A$2:$Q$3504,8,FALSE())</f>
        <v>#N/A</v>
      </c>
      <c r="I441" s="0" t="e">
        <f aca="false">VLOOKUP($A441,'[2]Sheet 1'!$A$2:$Q$3504,9,FALSE())</f>
        <v>#N/A</v>
      </c>
      <c r="J441" s="0" t="e">
        <f aca="false">VLOOKUP($A441,'[2]Sheet 1'!$A$2:$Q$3504,10,FALSE())</f>
        <v>#N/A</v>
      </c>
      <c r="K441" s="0" t="e">
        <f aca="false">VLOOKUP($A441,'[2]Sheet 1'!$A$2:$Q$3504,11,FALSE())</f>
        <v>#N/A</v>
      </c>
      <c r="L441" s="0" t="e">
        <f aca="false">VLOOKUP($A441,'[2]Sheet 1'!$A$2:$Q$3504,12,FALSE())</f>
        <v>#N/A</v>
      </c>
      <c r="M441" s="0" t="e">
        <f aca="false">VLOOKUP($A441,'[2]Sheet 1'!$A$2:$Q$3504,13,FALSE())</f>
        <v>#N/A</v>
      </c>
      <c r="N441" s="0" t="e">
        <f aca="false">VLOOKUP($A441,'[2]Sheet 1'!$A$2:$Q$3504,14,FALSE())</f>
        <v>#N/A</v>
      </c>
      <c r="O441" s="0" t="e">
        <f aca="false">VLOOKUP($A441,'[2]Sheet 1'!$A$2:$Q$3504,15,FALSE())</f>
        <v>#N/A</v>
      </c>
      <c r="P441" s="0" t="e">
        <f aca="false">VLOOKUP($A441,'[2]Sheet 1'!$A$2:$Q$3504,16,FALSE())</f>
        <v>#N/A</v>
      </c>
      <c r="Q441" s="0" t="e">
        <f aca="false">VLOOKUP($A441,'[2]Sheet 1'!$A$2:$Q$3504,17,FALSE())</f>
        <v>#N/A</v>
      </c>
      <c r="S441" s="5"/>
    </row>
    <row r="442" customFormat="false" ht="14.25" hidden="false" customHeight="false" outlineLevel="0" collapsed="false">
      <c r="A442" s="5" t="n">
        <v>1159</v>
      </c>
      <c r="B442" s="5" t="s">
        <v>1126</v>
      </c>
      <c r="C442" s="5" t="n">
        <v>50</v>
      </c>
      <c r="D442" s="0" t="e">
        <f aca="false">VLOOKUP($A442,'[2]Sheet 1'!$A$2:$Q$3504,4,FALSE())</f>
        <v>#N/A</v>
      </c>
      <c r="E442" s="0" t="e">
        <f aca="false">VLOOKUP($A442,'[2]Sheet 1'!$A$2:$Q$3504,5,FALSE())</f>
        <v>#N/A</v>
      </c>
      <c r="F442" s="0" t="e">
        <f aca="false">VLOOKUP($A442,'[2]Sheet 1'!$A$2:$Q$3504,6,FALSE())</f>
        <v>#N/A</v>
      </c>
      <c r="G442" s="0" t="e">
        <f aca="false">VLOOKUP($A442,'[2]Sheet 1'!$A$2:$Q$3504,7,FALSE())</f>
        <v>#N/A</v>
      </c>
      <c r="H442" s="0" t="e">
        <f aca="false">VLOOKUP($A442,'[2]Sheet 1'!$A$2:$Q$3504,8,FALSE())</f>
        <v>#N/A</v>
      </c>
      <c r="I442" s="0" t="e">
        <f aca="false">VLOOKUP($A442,'[2]Sheet 1'!$A$2:$Q$3504,9,FALSE())</f>
        <v>#N/A</v>
      </c>
      <c r="J442" s="0" t="e">
        <f aca="false">VLOOKUP($A442,'[2]Sheet 1'!$A$2:$Q$3504,10,FALSE())</f>
        <v>#N/A</v>
      </c>
      <c r="K442" s="0" t="e">
        <f aca="false">VLOOKUP($A442,'[2]Sheet 1'!$A$2:$Q$3504,11,FALSE())</f>
        <v>#N/A</v>
      </c>
      <c r="L442" s="0" t="e">
        <f aca="false">VLOOKUP($A442,'[2]Sheet 1'!$A$2:$Q$3504,12,FALSE())</f>
        <v>#N/A</v>
      </c>
      <c r="M442" s="0" t="e">
        <f aca="false">VLOOKUP($A442,'[2]Sheet 1'!$A$2:$Q$3504,13,FALSE())</f>
        <v>#N/A</v>
      </c>
      <c r="N442" s="0" t="e">
        <f aca="false">VLOOKUP($A442,'[2]Sheet 1'!$A$2:$Q$3504,14,FALSE())</f>
        <v>#N/A</v>
      </c>
      <c r="O442" s="0" t="e">
        <f aca="false">VLOOKUP($A442,'[2]Sheet 1'!$A$2:$Q$3504,15,FALSE())</f>
        <v>#N/A</v>
      </c>
      <c r="P442" s="0" t="e">
        <f aca="false">VLOOKUP($A442,'[2]Sheet 1'!$A$2:$Q$3504,16,FALSE())</f>
        <v>#N/A</v>
      </c>
      <c r="Q442" s="0" t="e">
        <f aca="false">VLOOKUP($A442,'[2]Sheet 1'!$A$2:$Q$3504,17,FALSE())</f>
        <v>#N/A</v>
      </c>
      <c r="S442" s="5"/>
    </row>
    <row r="443" customFormat="false" ht="14.25" hidden="false" customHeight="false" outlineLevel="0" collapsed="false">
      <c r="A443" s="5" t="n">
        <v>1163</v>
      </c>
      <c r="B443" s="5" t="s">
        <v>1129</v>
      </c>
      <c r="C443" s="5" t="n">
        <v>50</v>
      </c>
      <c r="D443" s="0" t="e">
        <f aca="false">VLOOKUP($A443,'[2]Sheet 1'!$A$2:$Q$3504,4,FALSE())</f>
        <v>#N/A</v>
      </c>
      <c r="E443" s="0" t="e">
        <f aca="false">VLOOKUP($A443,'[2]Sheet 1'!$A$2:$Q$3504,5,FALSE())</f>
        <v>#N/A</v>
      </c>
      <c r="F443" s="0" t="e">
        <f aca="false">VLOOKUP($A443,'[2]Sheet 1'!$A$2:$Q$3504,6,FALSE())</f>
        <v>#N/A</v>
      </c>
      <c r="G443" s="0" t="e">
        <f aca="false">VLOOKUP($A443,'[2]Sheet 1'!$A$2:$Q$3504,7,FALSE())</f>
        <v>#N/A</v>
      </c>
      <c r="H443" s="0" t="e">
        <f aca="false">VLOOKUP($A443,'[2]Sheet 1'!$A$2:$Q$3504,8,FALSE())</f>
        <v>#N/A</v>
      </c>
      <c r="I443" s="0" t="e">
        <f aca="false">VLOOKUP($A443,'[2]Sheet 1'!$A$2:$Q$3504,9,FALSE())</f>
        <v>#N/A</v>
      </c>
      <c r="J443" s="0" t="e">
        <f aca="false">VLOOKUP($A443,'[2]Sheet 1'!$A$2:$Q$3504,10,FALSE())</f>
        <v>#N/A</v>
      </c>
      <c r="K443" s="0" t="e">
        <f aca="false">VLOOKUP($A443,'[2]Sheet 1'!$A$2:$Q$3504,11,FALSE())</f>
        <v>#N/A</v>
      </c>
      <c r="L443" s="0" t="e">
        <f aca="false">VLOOKUP($A443,'[2]Sheet 1'!$A$2:$Q$3504,12,FALSE())</f>
        <v>#N/A</v>
      </c>
      <c r="M443" s="0" t="e">
        <f aca="false">VLOOKUP($A443,'[2]Sheet 1'!$A$2:$Q$3504,13,FALSE())</f>
        <v>#N/A</v>
      </c>
      <c r="N443" s="0" t="e">
        <f aca="false">VLOOKUP($A443,'[2]Sheet 1'!$A$2:$Q$3504,14,FALSE())</f>
        <v>#N/A</v>
      </c>
      <c r="O443" s="0" t="e">
        <f aca="false">VLOOKUP($A443,'[2]Sheet 1'!$A$2:$Q$3504,15,FALSE())</f>
        <v>#N/A</v>
      </c>
      <c r="P443" s="0" t="e">
        <f aca="false">VLOOKUP($A443,'[2]Sheet 1'!$A$2:$Q$3504,16,FALSE())</f>
        <v>#N/A</v>
      </c>
      <c r="Q443" s="0" t="e">
        <f aca="false">VLOOKUP($A443,'[2]Sheet 1'!$A$2:$Q$3504,17,FALSE())</f>
        <v>#N/A</v>
      </c>
      <c r="S443" s="5"/>
    </row>
    <row r="444" customFormat="false" ht="14.25" hidden="false" customHeight="false" outlineLevel="0" collapsed="false">
      <c r="A444" s="5" t="n">
        <v>1164</v>
      </c>
      <c r="B444" s="5" t="s">
        <v>1131</v>
      </c>
      <c r="C444" s="5" t="n">
        <v>65</v>
      </c>
      <c r="D444" s="0" t="e">
        <f aca="false">VLOOKUP($A444,'[2]Sheet 1'!$A$2:$Q$3504,4,FALSE())</f>
        <v>#N/A</v>
      </c>
      <c r="E444" s="0" t="e">
        <f aca="false">VLOOKUP($A444,'[2]Sheet 1'!$A$2:$Q$3504,5,FALSE())</f>
        <v>#N/A</v>
      </c>
      <c r="F444" s="0" t="e">
        <f aca="false">VLOOKUP($A444,'[2]Sheet 1'!$A$2:$Q$3504,6,FALSE())</f>
        <v>#N/A</v>
      </c>
      <c r="G444" s="0" t="e">
        <f aca="false">VLOOKUP($A444,'[2]Sheet 1'!$A$2:$Q$3504,7,FALSE())</f>
        <v>#N/A</v>
      </c>
      <c r="H444" s="0" t="e">
        <f aca="false">VLOOKUP($A444,'[2]Sheet 1'!$A$2:$Q$3504,8,FALSE())</f>
        <v>#N/A</v>
      </c>
      <c r="I444" s="0" t="e">
        <f aca="false">VLOOKUP($A444,'[2]Sheet 1'!$A$2:$Q$3504,9,FALSE())</f>
        <v>#N/A</v>
      </c>
      <c r="J444" s="0" t="e">
        <f aca="false">VLOOKUP($A444,'[2]Sheet 1'!$A$2:$Q$3504,10,FALSE())</f>
        <v>#N/A</v>
      </c>
      <c r="K444" s="0" t="e">
        <f aca="false">VLOOKUP($A444,'[2]Sheet 1'!$A$2:$Q$3504,11,FALSE())</f>
        <v>#N/A</v>
      </c>
      <c r="L444" s="0" t="e">
        <f aca="false">VLOOKUP($A444,'[2]Sheet 1'!$A$2:$Q$3504,12,FALSE())</f>
        <v>#N/A</v>
      </c>
      <c r="M444" s="0" t="e">
        <f aca="false">VLOOKUP($A444,'[2]Sheet 1'!$A$2:$Q$3504,13,FALSE())</f>
        <v>#N/A</v>
      </c>
      <c r="N444" s="0" t="e">
        <f aca="false">VLOOKUP($A444,'[2]Sheet 1'!$A$2:$Q$3504,14,FALSE())</f>
        <v>#N/A</v>
      </c>
      <c r="O444" s="0" t="e">
        <f aca="false">VLOOKUP($A444,'[2]Sheet 1'!$A$2:$Q$3504,15,FALSE())</f>
        <v>#N/A</v>
      </c>
      <c r="P444" s="0" t="e">
        <f aca="false">VLOOKUP($A444,'[2]Sheet 1'!$A$2:$Q$3504,16,FALSE())</f>
        <v>#N/A</v>
      </c>
      <c r="Q444" s="0" t="e">
        <f aca="false">VLOOKUP($A444,'[2]Sheet 1'!$A$2:$Q$3504,17,FALSE())</f>
        <v>#N/A</v>
      </c>
      <c r="S444" s="5"/>
    </row>
    <row r="445" customFormat="false" ht="14.25" hidden="false" customHeight="false" outlineLevel="0" collapsed="false">
      <c r="A445" s="5" t="n">
        <v>1166</v>
      </c>
      <c r="B445" s="5" t="s">
        <v>1234</v>
      </c>
      <c r="C445" s="5" t="n">
        <v>50</v>
      </c>
      <c r="D445" s="0" t="e">
        <f aca="false">VLOOKUP($A445,'[2]Sheet 1'!$A$2:$Q$3504,4,FALSE())</f>
        <v>#N/A</v>
      </c>
      <c r="E445" s="0" t="e">
        <f aca="false">VLOOKUP($A445,'[2]Sheet 1'!$A$2:$Q$3504,5,FALSE())</f>
        <v>#N/A</v>
      </c>
      <c r="F445" s="0" t="e">
        <f aca="false">VLOOKUP($A445,'[2]Sheet 1'!$A$2:$Q$3504,6,FALSE())</f>
        <v>#N/A</v>
      </c>
      <c r="G445" s="0" t="e">
        <f aca="false">VLOOKUP($A445,'[2]Sheet 1'!$A$2:$Q$3504,7,FALSE())</f>
        <v>#N/A</v>
      </c>
      <c r="H445" s="0" t="e">
        <f aca="false">VLOOKUP($A445,'[2]Sheet 1'!$A$2:$Q$3504,8,FALSE())</f>
        <v>#N/A</v>
      </c>
      <c r="I445" s="0" t="e">
        <f aca="false">VLOOKUP($A445,'[2]Sheet 1'!$A$2:$Q$3504,9,FALSE())</f>
        <v>#N/A</v>
      </c>
      <c r="J445" s="0" t="e">
        <f aca="false">VLOOKUP($A445,'[2]Sheet 1'!$A$2:$Q$3504,10,FALSE())</f>
        <v>#N/A</v>
      </c>
      <c r="K445" s="0" t="e">
        <f aca="false">VLOOKUP($A445,'[2]Sheet 1'!$A$2:$Q$3504,11,FALSE())</f>
        <v>#N/A</v>
      </c>
      <c r="L445" s="0" t="e">
        <f aca="false">VLOOKUP($A445,'[2]Sheet 1'!$A$2:$Q$3504,12,FALSE())</f>
        <v>#N/A</v>
      </c>
      <c r="M445" s="0" t="e">
        <f aca="false">VLOOKUP($A445,'[2]Sheet 1'!$A$2:$Q$3504,13,FALSE())</f>
        <v>#N/A</v>
      </c>
      <c r="N445" s="0" t="e">
        <f aca="false">VLOOKUP($A445,'[2]Sheet 1'!$A$2:$Q$3504,14,FALSE())</f>
        <v>#N/A</v>
      </c>
      <c r="O445" s="0" t="e">
        <f aca="false">VLOOKUP($A445,'[2]Sheet 1'!$A$2:$Q$3504,15,FALSE())</f>
        <v>#N/A</v>
      </c>
      <c r="P445" s="0" t="e">
        <f aca="false">VLOOKUP($A445,'[2]Sheet 1'!$A$2:$Q$3504,16,FALSE())</f>
        <v>#N/A</v>
      </c>
      <c r="Q445" s="0" t="e">
        <f aca="false">VLOOKUP($A445,'[2]Sheet 1'!$A$2:$Q$3504,17,FALSE())</f>
        <v>#N/A</v>
      </c>
      <c r="S445" s="5"/>
    </row>
    <row r="446" customFormat="false" ht="14.25" hidden="false" customHeight="false" outlineLevel="0" collapsed="false">
      <c r="A446" s="5" t="n">
        <v>1168</v>
      </c>
      <c r="B446" s="5" t="s">
        <v>1137</v>
      </c>
      <c r="C446" s="5" t="n">
        <v>100</v>
      </c>
      <c r="D446" s="0" t="e">
        <f aca="false">VLOOKUP($A446,'[2]Sheet 1'!$A$2:$Q$3504,4,FALSE())</f>
        <v>#N/A</v>
      </c>
      <c r="E446" s="0" t="e">
        <f aca="false">VLOOKUP($A446,'[2]Sheet 1'!$A$2:$Q$3504,5,FALSE())</f>
        <v>#N/A</v>
      </c>
      <c r="F446" s="0" t="e">
        <f aca="false">VLOOKUP($A446,'[2]Sheet 1'!$A$2:$Q$3504,6,FALSE())</f>
        <v>#N/A</v>
      </c>
      <c r="G446" s="0" t="e">
        <f aca="false">VLOOKUP($A446,'[2]Sheet 1'!$A$2:$Q$3504,7,FALSE())</f>
        <v>#N/A</v>
      </c>
      <c r="H446" s="0" t="e">
        <f aca="false">VLOOKUP($A446,'[2]Sheet 1'!$A$2:$Q$3504,8,FALSE())</f>
        <v>#N/A</v>
      </c>
      <c r="I446" s="0" t="e">
        <f aca="false">VLOOKUP($A446,'[2]Sheet 1'!$A$2:$Q$3504,9,FALSE())</f>
        <v>#N/A</v>
      </c>
      <c r="J446" s="0" t="e">
        <f aca="false">VLOOKUP($A446,'[2]Sheet 1'!$A$2:$Q$3504,10,FALSE())</f>
        <v>#N/A</v>
      </c>
      <c r="K446" s="0" t="e">
        <f aca="false">VLOOKUP($A446,'[2]Sheet 1'!$A$2:$Q$3504,11,FALSE())</f>
        <v>#N/A</v>
      </c>
      <c r="L446" s="0" t="e">
        <f aca="false">VLOOKUP($A446,'[2]Sheet 1'!$A$2:$Q$3504,12,FALSE())</f>
        <v>#N/A</v>
      </c>
      <c r="M446" s="0" t="e">
        <f aca="false">VLOOKUP($A446,'[2]Sheet 1'!$A$2:$Q$3504,13,FALSE())</f>
        <v>#N/A</v>
      </c>
      <c r="N446" s="0" t="e">
        <f aca="false">VLOOKUP($A446,'[2]Sheet 1'!$A$2:$Q$3504,14,FALSE())</f>
        <v>#N/A</v>
      </c>
      <c r="O446" s="0" t="e">
        <f aca="false">VLOOKUP($A446,'[2]Sheet 1'!$A$2:$Q$3504,15,FALSE())</f>
        <v>#N/A</v>
      </c>
      <c r="P446" s="0" t="e">
        <f aca="false">VLOOKUP($A446,'[2]Sheet 1'!$A$2:$Q$3504,16,FALSE())</f>
        <v>#N/A</v>
      </c>
      <c r="Q446" s="0" t="e">
        <f aca="false">VLOOKUP($A446,'[2]Sheet 1'!$A$2:$Q$3504,17,FALSE())</f>
        <v>#N/A</v>
      </c>
      <c r="S446" s="5"/>
    </row>
    <row r="447" customFormat="false" ht="14.25" hidden="false" customHeight="false" outlineLevel="0" collapsed="false">
      <c r="A447" s="5" t="n">
        <v>1169</v>
      </c>
      <c r="B447" s="5" t="s">
        <v>1139</v>
      </c>
      <c r="C447" s="5" t="n">
        <v>0</v>
      </c>
      <c r="D447" s="0" t="e">
        <f aca="false">VLOOKUP($A447,'[2]Sheet 1'!$A$2:$Q$3504,4,FALSE())</f>
        <v>#N/A</v>
      </c>
      <c r="E447" s="0" t="e">
        <f aca="false">VLOOKUP($A447,'[2]Sheet 1'!$A$2:$Q$3504,5,FALSE())</f>
        <v>#N/A</v>
      </c>
      <c r="F447" s="0" t="e">
        <f aca="false">VLOOKUP($A447,'[2]Sheet 1'!$A$2:$Q$3504,6,FALSE())</f>
        <v>#N/A</v>
      </c>
      <c r="G447" s="0" t="e">
        <f aca="false">VLOOKUP($A447,'[2]Sheet 1'!$A$2:$Q$3504,7,FALSE())</f>
        <v>#N/A</v>
      </c>
      <c r="H447" s="0" t="e">
        <f aca="false">VLOOKUP($A447,'[2]Sheet 1'!$A$2:$Q$3504,8,FALSE())</f>
        <v>#N/A</v>
      </c>
      <c r="I447" s="0" t="e">
        <f aca="false">VLOOKUP($A447,'[2]Sheet 1'!$A$2:$Q$3504,9,FALSE())</f>
        <v>#N/A</v>
      </c>
      <c r="J447" s="0" t="e">
        <f aca="false">VLOOKUP($A447,'[2]Sheet 1'!$A$2:$Q$3504,10,FALSE())</f>
        <v>#N/A</v>
      </c>
      <c r="K447" s="0" t="e">
        <f aca="false">VLOOKUP($A447,'[2]Sheet 1'!$A$2:$Q$3504,11,FALSE())</f>
        <v>#N/A</v>
      </c>
      <c r="L447" s="0" t="e">
        <f aca="false">VLOOKUP($A447,'[2]Sheet 1'!$A$2:$Q$3504,12,FALSE())</f>
        <v>#N/A</v>
      </c>
      <c r="M447" s="0" t="e">
        <f aca="false">VLOOKUP($A447,'[2]Sheet 1'!$A$2:$Q$3504,13,FALSE())</f>
        <v>#N/A</v>
      </c>
      <c r="N447" s="0" t="e">
        <f aca="false">VLOOKUP($A447,'[2]Sheet 1'!$A$2:$Q$3504,14,FALSE())</f>
        <v>#N/A</v>
      </c>
      <c r="O447" s="0" t="e">
        <f aca="false">VLOOKUP($A447,'[2]Sheet 1'!$A$2:$Q$3504,15,FALSE())</f>
        <v>#N/A</v>
      </c>
      <c r="P447" s="0" t="e">
        <f aca="false">VLOOKUP($A447,'[2]Sheet 1'!$A$2:$Q$3504,16,FALSE())</f>
        <v>#N/A</v>
      </c>
      <c r="Q447" s="0" t="e">
        <f aca="false">VLOOKUP($A447,'[2]Sheet 1'!$A$2:$Q$3504,17,FALSE())</f>
        <v>#N/A</v>
      </c>
      <c r="S447" s="5"/>
    </row>
    <row r="448" customFormat="false" ht="14.25" hidden="false" customHeight="false" outlineLevel="0" collapsed="false">
      <c r="A448" s="5" t="n">
        <v>1171</v>
      </c>
      <c r="B448" s="5" t="s">
        <v>1142</v>
      </c>
      <c r="C448" s="5" t="n">
        <v>0</v>
      </c>
      <c r="D448" s="0" t="e">
        <f aca="false">VLOOKUP($A448,'[2]Sheet 1'!$A$2:$Q$3504,4,FALSE())</f>
        <v>#N/A</v>
      </c>
      <c r="E448" s="0" t="e">
        <f aca="false">VLOOKUP($A448,'[2]Sheet 1'!$A$2:$Q$3504,5,FALSE())</f>
        <v>#N/A</v>
      </c>
      <c r="F448" s="0" t="e">
        <f aca="false">VLOOKUP($A448,'[2]Sheet 1'!$A$2:$Q$3504,6,FALSE())</f>
        <v>#N/A</v>
      </c>
      <c r="G448" s="0" t="e">
        <f aca="false">VLOOKUP($A448,'[2]Sheet 1'!$A$2:$Q$3504,7,FALSE())</f>
        <v>#N/A</v>
      </c>
      <c r="H448" s="0" t="e">
        <f aca="false">VLOOKUP($A448,'[2]Sheet 1'!$A$2:$Q$3504,8,FALSE())</f>
        <v>#N/A</v>
      </c>
      <c r="I448" s="0" t="e">
        <f aca="false">VLOOKUP($A448,'[2]Sheet 1'!$A$2:$Q$3504,9,FALSE())</f>
        <v>#N/A</v>
      </c>
      <c r="J448" s="0" t="e">
        <f aca="false">VLOOKUP($A448,'[2]Sheet 1'!$A$2:$Q$3504,10,FALSE())</f>
        <v>#N/A</v>
      </c>
      <c r="K448" s="0" t="e">
        <f aca="false">VLOOKUP($A448,'[2]Sheet 1'!$A$2:$Q$3504,11,FALSE())</f>
        <v>#N/A</v>
      </c>
      <c r="L448" s="0" t="e">
        <f aca="false">VLOOKUP($A448,'[2]Sheet 1'!$A$2:$Q$3504,12,FALSE())</f>
        <v>#N/A</v>
      </c>
      <c r="M448" s="0" t="e">
        <f aca="false">VLOOKUP($A448,'[2]Sheet 1'!$A$2:$Q$3504,13,FALSE())</f>
        <v>#N/A</v>
      </c>
      <c r="N448" s="0" t="e">
        <f aca="false">VLOOKUP($A448,'[2]Sheet 1'!$A$2:$Q$3504,14,FALSE())</f>
        <v>#N/A</v>
      </c>
      <c r="O448" s="0" t="e">
        <f aca="false">VLOOKUP($A448,'[2]Sheet 1'!$A$2:$Q$3504,15,FALSE())</f>
        <v>#N/A</v>
      </c>
      <c r="P448" s="0" t="e">
        <f aca="false">VLOOKUP($A448,'[2]Sheet 1'!$A$2:$Q$3504,16,FALSE())</f>
        <v>#N/A</v>
      </c>
      <c r="Q448" s="0" t="e">
        <f aca="false">VLOOKUP($A448,'[2]Sheet 1'!$A$2:$Q$3504,17,FALSE())</f>
        <v>#N/A</v>
      </c>
      <c r="S448" s="5"/>
    </row>
    <row r="449" customFormat="false" ht="14.25" hidden="false" customHeight="false" outlineLevel="0" collapsed="false">
      <c r="A449" s="5" t="n">
        <v>1173</v>
      </c>
      <c r="B449" s="5" t="s">
        <v>1146</v>
      </c>
      <c r="C449" s="5" t="n">
        <v>0</v>
      </c>
      <c r="D449" s="0" t="e">
        <f aca="false">VLOOKUP($A449,'[2]Sheet 1'!$A$2:$Q$3504,4,FALSE())</f>
        <v>#N/A</v>
      </c>
      <c r="E449" s="0" t="e">
        <f aca="false">VLOOKUP($A449,'[2]Sheet 1'!$A$2:$Q$3504,5,FALSE())</f>
        <v>#N/A</v>
      </c>
      <c r="F449" s="0" t="e">
        <f aca="false">VLOOKUP($A449,'[2]Sheet 1'!$A$2:$Q$3504,6,FALSE())</f>
        <v>#N/A</v>
      </c>
      <c r="G449" s="0" t="e">
        <f aca="false">VLOOKUP($A449,'[2]Sheet 1'!$A$2:$Q$3504,7,FALSE())</f>
        <v>#N/A</v>
      </c>
      <c r="H449" s="0" t="e">
        <f aca="false">VLOOKUP($A449,'[2]Sheet 1'!$A$2:$Q$3504,8,FALSE())</f>
        <v>#N/A</v>
      </c>
      <c r="I449" s="0" t="e">
        <f aca="false">VLOOKUP($A449,'[2]Sheet 1'!$A$2:$Q$3504,9,FALSE())</f>
        <v>#N/A</v>
      </c>
      <c r="J449" s="0" t="e">
        <f aca="false">VLOOKUP($A449,'[2]Sheet 1'!$A$2:$Q$3504,10,FALSE())</f>
        <v>#N/A</v>
      </c>
      <c r="K449" s="0" t="e">
        <f aca="false">VLOOKUP($A449,'[2]Sheet 1'!$A$2:$Q$3504,11,FALSE())</f>
        <v>#N/A</v>
      </c>
      <c r="L449" s="0" t="e">
        <f aca="false">VLOOKUP($A449,'[2]Sheet 1'!$A$2:$Q$3504,12,FALSE())</f>
        <v>#N/A</v>
      </c>
      <c r="M449" s="0" t="e">
        <f aca="false">VLOOKUP($A449,'[2]Sheet 1'!$A$2:$Q$3504,13,FALSE())</f>
        <v>#N/A</v>
      </c>
      <c r="N449" s="0" t="e">
        <f aca="false">VLOOKUP($A449,'[2]Sheet 1'!$A$2:$Q$3504,14,FALSE())</f>
        <v>#N/A</v>
      </c>
      <c r="O449" s="0" t="e">
        <f aca="false">VLOOKUP($A449,'[2]Sheet 1'!$A$2:$Q$3504,15,FALSE())</f>
        <v>#N/A</v>
      </c>
      <c r="P449" s="0" t="e">
        <f aca="false">VLOOKUP($A449,'[2]Sheet 1'!$A$2:$Q$3504,16,FALSE())</f>
        <v>#N/A</v>
      </c>
      <c r="Q449" s="0" t="e">
        <f aca="false">VLOOKUP($A449,'[2]Sheet 1'!$A$2:$Q$3504,17,FALSE())</f>
        <v>#N/A</v>
      </c>
      <c r="S449" s="5"/>
    </row>
    <row r="450" customFormat="false" ht="14.25" hidden="false" customHeight="false" outlineLevel="0" collapsed="false">
      <c r="A450" s="5" t="n">
        <v>1181</v>
      </c>
      <c r="B450" s="5" t="s">
        <v>1150</v>
      </c>
      <c r="C450" s="5" t="n">
        <v>0</v>
      </c>
      <c r="D450" s="0" t="e">
        <f aca="false">VLOOKUP($A450,'[2]Sheet 1'!$A$2:$Q$3504,4,FALSE())</f>
        <v>#N/A</v>
      </c>
      <c r="E450" s="0" t="e">
        <f aca="false">VLOOKUP($A450,'[2]Sheet 1'!$A$2:$Q$3504,5,FALSE())</f>
        <v>#N/A</v>
      </c>
      <c r="F450" s="0" t="e">
        <f aca="false">VLOOKUP($A450,'[2]Sheet 1'!$A$2:$Q$3504,6,FALSE())</f>
        <v>#N/A</v>
      </c>
      <c r="G450" s="0" t="e">
        <f aca="false">VLOOKUP($A450,'[2]Sheet 1'!$A$2:$Q$3504,7,FALSE())</f>
        <v>#N/A</v>
      </c>
      <c r="H450" s="0" t="e">
        <f aca="false">VLOOKUP($A450,'[2]Sheet 1'!$A$2:$Q$3504,8,FALSE())</f>
        <v>#N/A</v>
      </c>
      <c r="I450" s="0" t="e">
        <f aca="false">VLOOKUP($A450,'[2]Sheet 1'!$A$2:$Q$3504,9,FALSE())</f>
        <v>#N/A</v>
      </c>
      <c r="J450" s="0" t="e">
        <f aca="false">VLOOKUP($A450,'[2]Sheet 1'!$A$2:$Q$3504,10,FALSE())</f>
        <v>#N/A</v>
      </c>
      <c r="K450" s="0" t="e">
        <f aca="false">VLOOKUP($A450,'[2]Sheet 1'!$A$2:$Q$3504,11,FALSE())</f>
        <v>#N/A</v>
      </c>
      <c r="L450" s="0" t="e">
        <f aca="false">VLOOKUP($A450,'[2]Sheet 1'!$A$2:$Q$3504,12,FALSE())</f>
        <v>#N/A</v>
      </c>
      <c r="M450" s="0" t="e">
        <f aca="false">VLOOKUP($A450,'[2]Sheet 1'!$A$2:$Q$3504,13,FALSE())</f>
        <v>#N/A</v>
      </c>
      <c r="N450" s="0" t="e">
        <f aca="false">VLOOKUP($A450,'[2]Sheet 1'!$A$2:$Q$3504,14,FALSE())</f>
        <v>#N/A</v>
      </c>
      <c r="O450" s="0" t="e">
        <f aca="false">VLOOKUP($A450,'[2]Sheet 1'!$A$2:$Q$3504,15,FALSE())</f>
        <v>#N/A</v>
      </c>
      <c r="P450" s="0" t="e">
        <f aca="false">VLOOKUP($A450,'[2]Sheet 1'!$A$2:$Q$3504,16,FALSE())</f>
        <v>#N/A</v>
      </c>
      <c r="Q450" s="0" t="e">
        <f aca="false">VLOOKUP($A450,'[2]Sheet 1'!$A$2:$Q$3504,17,FALSE())</f>
        <v>#N/A</v>
      </c>
      <c r="S450" s="5"/>
    </row>
    <row r="451" customFormat="false" ht="14.25" hidden="false" customHeight="false" outlineLevel="0" collapsed="false">
      <c r="A451" s="5" t="n">
        <v>1182</v>
      </c>
      <c r="B451" s="5" t="s">
        <v>1152</v>
      </c>
      <c r="C451" s="5" t="n">
        <v>83</v>
      </c>
      <c r="D451" s="0" t="e">
        <f aca="false">VLOOKUP($A451,'[2]Sheet 1'!$A$2:$Q$3504,4,FALSE())</f>
        <v>#N/A</v>
      </c>
      <c r="E451" s="0" t="e">
        <f aca="false">VLOOKUP($A451,'[2]Sheet 1'!$A$2:$Q$3504,5,FALSE())</f>
        <v>#N/A</v>
      </c>
      <c r="F451" s="0" t="e">
        <f aca="false">VLOOKUP($A451,'[2]Sheet 1'!$A$2:$Q$3504,6,FALSE())</f>
        <v>#N/A</v>
      </c>
      <c r="G451" s="0" t="e">
        <f aca="false">VLOOKUP($A451,'[2]Sheet 1'!$A$2:$Q$3504,7,FALSE())</f>
        <v>#N/A</v>
      </c>
      <c r="H451" s="0" t="e">
        <f aca="false">VLOOKUP($A451,'[2]Sheet 1'!$A$2:$Q$3504,8,FALSE())</f>
        <v>#N/A</v>
      </c>
      <c r="I451" s="0" t="e">
        <f aca="false">VLOOKUP($A451,'[2]Sheet 1'!$A$2:$Q$3504,9,FALSE())</f>
        <v>#N/A</v>
      </c>
      <c r="J451" s="0" t="e">
        <f aca="false">VLOOKUP($A451,'[2]Sheet 1'!$A$2:$Q$3504,10,FALSE())</f>
        <v>#N/A</v>
      </c>
      <c r="K451" s="0" t="e">
        <f aca="false">VLOOKUP($A451,'[2]Sheet 1'!$A$2:$Q$3504,11,FALSE())</f>
        <v>#N/A</v>
      </c>
      <c r="L451" s="0" t="e">
        <f aca="false">VLOOKUP($A451,'[2]Sheet 1'!$A$2:$Q$3504,12,FALSE())</f>
        <v>#N/A</v>
      </c>
      <c r="M451" s="0" t="e">
        <f aca="false">VLOOKUP($A451,'[2]Sheet 1'!$A$2:$Q$3504,13,FALSE())</f>
        <v>#N/A</v>
      </c>
      <c r="N451" s="0" t="e">
        <f aca="false">VLOOKUP($A451,'[2]Sheet 1'!$A$2:$Q$3504,14,FALSE())</f>
        <v>#N/A</v>
      </c>
      <c r="O451" s="0" t="e">
        <f aca="false">VLOOKUP($A451,'[2]Sheet 1'!$A$2:$Q$3504,15,FALSE())</f>
        <v>#N/A</v>
      </c>
      <c r="P451" s="0" t="e">
        <f aca="false">VLOOKUP($A451,'[2]Sheet 1'!$A$2:$Q$3504,16,FALSE())</f>
        <v>#N/A</v>
      </c>
      <c r="Q451" s="0" t="e">
        <f aca="false">VLOOKUP($A451,'[2]Sheet 1'!$A$2:$Q$3504,17,FALSE())</f>
        <v>#N/A</v>
      </c>
      <c r="S451" s="5"/>
    </row>
    <row r="452" customFormat="false" ht="14.25" hidden="false" customHeight="false" outlineLevel="0" collapsed="false">
      <c r="A452" s="5" t="n">
        <v>1183</v>
      </c>
      <c r="B452" s="5" t="s">
        <v>1154</v>
      </c>
      <c r="C452" s="5" t="n">
        <v>90</v>
      </c>
      <c r="D452" s="0" t="e">
        <f aca="false">VLOOKUP($A452,'[2]Sheet 1'!$A$2:$Q$3504,4,FALSE())</f>
        <v>#N/A</v>
      </c>
      <c r="E452" s="0" t="e">
        <f aca="false">VLOOKUP($A452,'[2]Sheet 1'!$A$2:$Q$3504,5,FALSE())</f>
        <v>#N/A</v>
      </c>
      <c r="F452" s="0" t="e">
        <f aca="false">VLOOKUP($A452,'[2]Sheet 1'!$A$2:$Q$3504,6,FALSE())</f>
        <v>#N/A</v>
      </c>
      <c r="G452" s="0" t="e">
        <f aca="false">VLOOKUP($A452,'[2]Sheet 1'!$A$2:$Q$3504,7,FALSE())</f>
        <v>#N/A</v>
      </c>
      <c r="H452" s="0" t="e">
        <f aca="false">VLOOKUP($A452,'[2]Sheet 1'!$A$2:$Q$3504,8,FALSE())</f>
        <v>#N/A</v>
      </c>
      <c r="I452" s="0" t="e">
        <f aca="false">VLOOKUP($A452,'[2]Sheet 1'!$A$2:$Q$3504,9,FALSE())</f>
        <v>#N/A</v>
      </c>
      <c r="J452" s="0" t="e">
        <f aca="false">VLOOKUP($A452,'[2]Sheet 1'!$A$2:$Q$3504,10,FALSE())</f>
        <v>#N/A</v>
      </c>
      <c r="K452" s="0" t="e">
        <f aca="false">VLOOKUP($A452,'[2]Sheet 1'!$A$2:$Q$3504,11,FALSE())</f>
        <v>#N/A</v>
      </c>
      <c r="L452" s="0" t="e">
        <f aca="false">VLOOKUP($A452,'[2]Sheet 1'!$A$2:$Q$3504,12,FALSE())</f>
        <v>#N/A</v>
      </c>
      <c r="M452" s="0" t="e">
        <f aca="false">VLOOKUP($A452,'[2]Sheet 1'!$A$2:$Q$3504,13,FALSE())</f>
        <v>#N/A</v>
      </c>
      <c r="N452" s="0" t="e">
        <f aca="false">VLOOKUP($A452,'[2]Sheet 1'!$A$2:$Q$3504,14,FALSE())</f>
        <v>#N/A</v>
      </c>
      <c r="O452" s="0" t="e">
        <f aca="false">VLOOKUP($A452,'[2]Sheet 1'!$A$2:$Q$3504,15,FALSE())</f>
        <v>#N/A</v>
      </c>
      <c r="P452" s="0" t="e">
        <f aca="false">VLOOKUP($A452,'[2]Sheet 1'!$A$2:$Q$3504,16,FALSE())</f>
        <v>#N/A</v>
      </c>
      <c r="Q452" s="0" t="e">
        <f aca="false">VLOOKUP($A452,'[2]Sheet 1'!$A$2:$Q$3504,17,FALSE())</f>
        <v>#N/A</v>
      </c>
      <c r="S452" s="5"/>
    </row>
    <row r="453" customFormat="false" ht="14.25" hidden="false" customHeight="false" outlineLevel="0" collapsed="false">
      <c r="A453" s="5" t="n">
        <v>1185</v>
      </c>
      <c r="B453" s="5" t="s">
        <v>1156</v>
      </c>
      <c r="C453" s="5" t="n">
        <v>90</v>
      </c>
      <c r="D453" s="0" t="e">
        <f aca="false">VLOOKUP($A453,'[2]Sheet 1'!$A$2:$Q$3504,4,FALSE())</f>
        <v>#N/A</v>
      </c>
      <c r="E453" s="0" t="e">
        <f aca="false">VLOOKUP($A453,'[2]Sheet 1'!$A$2:$Q$3504,5,FALSE())</f>
        <v>#N/A</v>
      </c>
      <c r="F453" s="0" t="e">
        <f aca="false">VLOOKUP($A453,'[2]Sheet 1'!$A$2:$Q$3504,6,FALSE())</f>
        <v>#N/A</v>
      </c>
      <c r="G453" s="0" t="e">
        <f aca="false">VLOOKUP($A453,'[2]Sheet 1'!$A$2:$Q$3504,7,FALSE())</f>
        <v>#N/A</v>
      </c>
      <c r="H453" s="0" t="e">
        <f aca="false">VLOOKUP($A453,'[2]Sheet 1'!$A$2:$Q$3504,8,FALSE())</f>
        <v>#N/A</v>
      </c>
      <c r="I453" s="0" t="e">
        <f aca="false">VLOOKUP($A453,'[2]Sheet 1'!$A$2:$Q$3504,9,FALSE())</f>
        <v>#N/A</v>
      </c>
      <c r="J453" s="0" t="e">
        <f aca="false">VLOOKUP($A453,'[2]Sheet 1'!$A$2:$Q$3504,10,FALSE())</f>
        <v>#N/A</v>
      </c>
      <c r="K453" s="0" t="e">
        <f aca="false">VLOOKUP($A453,'[2]Sheet 1'!$A$2:$Q$3504,11,FALSE())</f>
        <v>#N/A</v>
      </c>
      <c r="L453" s="0" t="e">
        <f aca="false">VLOOKUP($A453,'[2]Sheet 1'!$A$2:$Q$3504,12,FALSE())</f>
        <v>#N/A</v>
      </c>
      <c r="M453" s="0" t="e">
        <f aca="false">VLOOKUP($A453,'[2]Sheet 1'!$A$2:$Q$3504,13,FALSE())</f>
        <v>#N/A</v>
      </c>
      <c r="N453" s="0" t="e">
        <f aca="false">VLOOKUP($A453,'[2]Sheet 1'!$A$2:$Q$3504,14,FALSE())</f>
        <v>#N/A</v>
      </c>
      <c r="O453" s="0" t="e">
        <f aca="false">VLOOKUP($A453,'[2]Sheet 1'!$A$2:$Q$3504,15,FALSE())</f>
        <v>#N/A</v>
      </c>
      <c r="P453" s="0" t="e">
        <f aca="false">VLOOKUP($A453,'[2]Sheet 1'!$A$2:$Q$3504,16,FALSE())</f>
        <v>#N/A</v>
      </c>
      <c r="Q453" s="0" t="e">
        <f aca="false">VLOOKUP($A453,'[2]Sheet 1'!$A$2:$Q$3504,17,FALSE())</f>
        <v>#N/A</v>
      </c>
      <c r="S453" s="5"/>
    </row>
    <row r="454" customFormat="false" ht="14.25" hidden="false" customHeight="false" outlineLevel="0" collapsed="false">
      <c r="A454" s="5" t="n">
        <v>1186</v>
      </c>
      <c r="B454" s="5" t="s">
        <v>1235</v>
      </c>
      <c r="C454" s="5" t="n">
        <v>0</v>
      </c>
      <c r="D454" s="0" t="e">
        <f aca="false">VLOOKUP($A454,'[2]Sheet 1'!$A$2:$Q$3504,4,FALSE())</f>
        <v>#N/A</v>
      </c>
      <c r="E454" s="0" t="e">
        <f aca="false">VLOOKUP($A454,'[2]Sheet 1'!$A$2:$Q$3504,5,FALSE())</f>
        <v>#N/A</v>
      </c>
      <c r="F454" s="0" t="e">
        <f aca="false">VLOOKUP($A454,'[2]Sheet 1'!$A$2:$Q$3504,6,FALSE())</f>
        <v>#N/A</v>
      </c>
      <c r="G454" s="0" t="e">
        <f aca="false">VLOOKUP($A454,'[2]Sheet 1'!$A$2:$Q$3504,7,FALSE())</f>
        <v>#N/A</v>
      </c>
      <c r="H454" s="0" t="e">
        <f aca="false">VLOOKUP($A454,'[2]Sheet 1'!$A$2:$Q$3504,8,FALSE())</f>
        <v>#N/A</v>
      </c>
      <c r="I454" s="0" t="e">
        <f aca="false">VLOOKUP($A454,'[2]Sheet 1'!$A$2:$Q$3504,9,FALSE())</f>
        <v>#N/A</v>
      </c>
      <c r="J454" s="0" t="e">
        <f aca="false">VLOOKUP($A454,'[2]Sheet 1'!$A$2:$Q$3504,10,FALSE())</f>
        <v>#N/A</v>
      </c>
      <c r="K454" s="0" t="e">
        <f aca="false">VLOOKUP($A454,'[2]Sheet 1'!$A$2:$Q$3504,11,FALSE())</f>
        <v>#N/A</v>
      </c>
      <c r="L454" s="0" t="e">
        <f aca="false">VLOOKUP($A454,'[2]Sheet 1'!$A$2:$Q$3504,12,FALSE())</f>
        <v>#N/A</v>
      </c>
      <c r="M454" s="0" t="e">
        <f aca="false">VLOOKUP($A454,'[2]Sheet 1'!$A$2:$Q$3504,13,FALSE())</f>
        <v>#N/A</v>
      </c>
      <c r="N454" s="0" t="e">
        <f aca="false">VLOOKUP($A454,'[2]Sheet 1'!$A$2:$Q$3504,14,FALSE())</f>
        <v>#N/A</v>
      </c>
      <c r="O454" s="0" t="e">
        <f aca="false">VLOOKUP($A454,'[2]Sheet 1'!$A$2:$Q$3504,15,FALSE())</f>
        <v>#N/A</v>
      </c>
      <c r="P454" s="0" t="e">
        <f aca="false">VLOOKUP($A454,'[2]Sheet 1'!$A$2:$Q$3504,16,FALSE())</f>
        <v>#N/A</v>
      </c>
      <c r="Q454" s="0" t="e">
        <f aca="false">VLOOKUP($A454,'[2]Sheet 1'!$A$2:$Q$3504,17,FALSE())</f>
        <v>#N/A</v>
      </c>
      <c r="S454" s="5"/>
    </row>
    <row r="455" customFormat="false" ht="14.25" hidden="false" customHeight="false" outlineLevel="0" collapsed="false">
      <c r="A455" s="5" t="n">
        <v>1187</v>
      </c>
      <c r="B455" s="5" t="s">
        <v>1236</v>
      </c>
      <c r="C455" s="5" t="n">
        <v>0</v>
      </c>
      <c r="D455" s="0" t="e">
        <f aca="false">VLOOKUP($A455,'[2]Sheet 1'!$A$2:$Q$3504,4,FALSE())</f>
        <v>#N/A</v>
      </c>
      <c r="E455" s="0" t="e">
        <f aca="false">VLOOKUP($A455,'[2]Sheet 1'!$A$2:$Q$3504,5,FALSE())</f>
        <v>#N/A</v>
      </c>
      <c r="F455" s="0" t="e">
        <f aca="false">VLOOKUP($A455,'[2]Sheet 1'!$A$2:$Q$3504,6,FALSE())</f>
        <v>#N/A</v>
      </c>
      <c r="G455" s="0" t="e">
        <f aca="false">VLOOKUP($A455,'[2]Sheet 1'!$A$2:$Q$3504,7,FALSE())</f>
        <v>#N/A</v>
      </c>
      <c r="H455" s="0" t="e">
        <f aca="false">VLOOKUP($A455,'[2]Sheet 1'!$A$2:$Q$3504,8,FALSE())</f>
        <v>#N/A</v>
      </c>
      <c r="I455" s="0" t="e">
        <f aca="false">VLOOKUP($A455,'[2]Sheet 1'!$A$2:$Q$3504,9,FALSE())</f>
        <v>#N/A</v>
      </c>
      <c r="J455" s="0" t="e">
        <f aca="false">VLOOKUP($A455,'[2]Sheet 1'!$A$2:$Q$3504,10,FALSE())</f>
        <v>#N/A</v>
      </c>
      <c r="K455" s="0" t="e">
        <f aca="false">VLOOKUP($A455,'[2]Sheet 1'!$A$2:$Q$3504,11,FALSE())</f>
        <v>#N/A</v>
      </c>
      <c r="L455" s="0" t="e">
        <f aca="false">VLOOKUP($A455,'[2]Sheet 1'!$A$2:$Q$3504,12,FALSE())</f>
        <v>#N/A</v>
      </c>
      <c r="M455" s="0" t="e">
        <f aca="false">VLOOKUP($A455,'[2]Sheet 1'!$A$2:$Q$3504,13,FALSE())</f>
        <v>#N/A</v>
      </c>
      <c r="N455" s="0" t="e">
        <f aca="false">VLOOKUP($A455,'[2]Sheet 1'!$A$2:$Q$3504,14,FALSE())</f>
        <v>#N/A</v>
      </c>
      <c r="O455" s="0" t="e">
        <f aca="false">VLOOKUP($A455,'[2]Sheet 1'!$A$2:$Q$3504,15,FALSE())</f>
        <v>#N/A</v>
      </c>
      <c r="P455" s="0" t="e">
        <f aca="false">VLOOKUP($A455,'[2]Sheet 1'!$A$2:$Q$3504,16,FALSE())</f>
        <v>#N/A</v>
      </c>
      <c r="Q455" s="0" t="e">
        <f aca="false">VLOOKUP($A455,'[2]Sheet 1'!$A$2:$Q$3504,17,FALSE())</f>
        <v>#N/A</v>
      </c>
      <c r="S455" s="5"/>
    </row>
    <row r="456" customFormat="false" ht="14.25" hidden="false" customHeight="false" outlineLevel="0" collapsed="false">
      <c r="A456" s="5" t="n">
        <v>1213</v>
      </c>
      <c r="B456" s="5" t="s">
        <v>1162</v>
      </c>
      <c r="C456" s="5" t="n">
        <v>0</v>
      </c>
      <c r="D456" s="0" t="e">
        <f aca="false">VLOOKUP($A456,'[2]Sheet 1'!$A$2:$Q$3504,4,FALSE())</f>
        <v>#N/A</v>
      </c>
      <c r="E456" s="0" t="e">
        <f aca="false">VLOOKUP($A456,'[2]Sheet 1'!$A$2:$Q$3504,5,FALSE())</f>
        <v>#N/A</v>
      </c>
      <c r="F456" s="0" t="e">
        <f aca="false">VLOOKUP($A456,'[2]Sheet 1'!$A$2:$Q$3504,6,FALSE())</f>
        <v>#N/A</v>
      </c>
      <c r="G456" s="0" t="e">
        <f aca="false">VLOOKUP($A456,'[2]Sheet 1'!$A$2:$Q$3504,7,FALSE())</f>
        <v>#N/A</v>
      </c>
      <c r="H456" s="0" t="e">
        <f aca="false">VLOOKUP($A456,'[2]Sheet 1'!$A$2:$Q$3504,8,FALSE())</f>
        <v>#N/A</v>
      </c>
      <c r="I456" s="0" t="e">
        <f aca="false">VLOOKUP($A456,'[2]Sheet 1'!$A$2:$Q$3504,9,FALSE())</f>
        <v>#N/A</v>
      </c>
      <c r="J456" s="0" t="e">
        <f aca="false">VLOOKUP($A456,'[2]Sheet 1'!$A$2:$Q$3504,10,FALSE())</f>
        <v>#N/A</v>
      </c>
      <c r="K456" s="0" t="e">
        <f aca="false">VLOOKUP($A456,'[2]Sheet 1'!$A$2:$Q$3504,11,FALSE())</f>
        <v>#N/A</v>
      </c>
      <c r="L456" s="0" t="e">
        <f aca="false">VLOOKUP($A456,'[2]Sheet 1'!$A$2:$Q$3504,12,FALSE())</f>
        <v>#N/A</v>
      </c>
      <c r="M456" s="0" t="e">
        <f aca="false">VLOOKUP($A456,'[2]Sheet 1'!$A$2:$Q$3504,13,FALSE())</f>
        <v>#N/A</v>
      </c>
      <c r="N456" s="0" t="e">
        <f aca="false">VLOOKUP($A456,'[2]Sheet 1'!$A$2:$Q$3504,14,FALSE())</f>
        <v>#N/A</v>
      </c>
      <c r="O456" s="0" t="e">
        <f aca="false">VLOOKUP($A456,'[2]Sheet 1'!$A$2:$Q$3504,15,FALSE())</f>
        <v>#N/A</v>
      </c>
      <c r="P456" s="0" t="e">
        <f aca="false">VLOOKUP($A456,'[2]Sheet 1'!$A$2:$Q$3504,16,FALSE())</f>
        <v>#N/A</v>
      </c>
      <c r="Q456" s="0" t="e">
        <f aca="false">VLOOKUP($A456,'[2]Sheet 1'!$A$2:$Q$3504,17,FALSE())</f>
        <v>#N/A</v>
      </c>
      <c r="S456" s="5"/>
    </row>
    <row r="457" customFormat="false" ht="14.25" hidden="false" customHeight="false" outlineLevel="0" collapsed="false">
      <c r="A457" s="5" t="n">
        <v>1216</v>
      </c>
      <c r="B457" s="5" t="s">
        <v>1237</v>
      </c>
      <c r="C457" s="5" t="n">
        <v>0</v>
      </c>
      <c r="D457" s="0" t="e">
        <f aca="false">VLOOKUP($A457,'[2]Sheet 1'!$A$2:$Q$3504,4,FALSE())</f>
        <v>#N/A</v>
      </c>
      <c r="E457" s="0" t="e">
        <f aca="false">VLOOKUP($A457,'[2]Sheet 1'!$A$2:$Q$3504,5,FALSE())</f>
        <v>#N/A</v>
      </c>
      <c r="F457" s="0" t="e">
        <f aca="false">VLOOKUP($A457,'[2]Sheet 1'!$A$2:$Q$3504,6,FALSE())</f>
        <v>#N/A</v>
      </c>
      <c r="G457" s="0" t="e">
        <f aca="false">VLOOKUP($A457,'[2]Sheet 1'!$A$2:$Q$3504,7,FALSE())</f>
        <v>#N/A</v>
      </c>
      <c r="H457" s="0" t="e">
        <f aca="false">VLOOKUP($A457,'[2]Sheet 1'!$A$2:$Q$3504,8,FALSE())</f>
        <v>#N/A</v>
      </c>
      <c r="I457" s="0" t="e">
        <f aca="false">VLOOKUP($A457,'[2]Sheet 1'!$A$2:$Q$3504,9,FALSE())</f>
        <v>#N/A</v>
      </c>
      <c r="J457" s="0" t="e">
        <f aca="false">VLOOKUP($A457,'[2]Sheet 1'!$A$2:$Q$3504,10,FALSE())</f>
        <v>#N/A</v>
      </c>
      <c r="K457" s="0" t="e">
        <f aca="false">VLOOKUP($A457,'[2]Sheet 1'!$A$2:$Q$3504,11,FALSE())</f>
        <v>#N/A</v>
      </c>
      <c r="L457" s="0" t="e">
        <f aca="false">VLOOKUP($A457,'[2]Sheet 1'!$A$2:$Q$3504,12,FALSE())</f>
        <v>#N/A</v>
      </c>
      <c r="M457" s="0" t="e">
        <f aca="false">VLOOKUP($A457,'[2]Sheet 1'!$A$2:$Q$3504,13,FALSE())</f>
        <v>#N/A</v>
      </c>
      <c r="N457" s="0" t="e">
        <f aca="false">VLOOKUP($A457,'[2]Sheet 1'!$A$2:$Q$3504,14,FALSE())</f>
        <v>#N/A</v>
      </c>
      <c r="O457" s="0" t="e">
        <f aca="false">VLOOKUP($A457,'[2]Sheet 1'!$A$2:$Q$3504,15,FALSE())</f>
        <v>#N/A</v>
      </c>
      <c r="P457" s="0" t="e">
        <f aca="false">VLOOKUP($A457,'[2]Sheet 1'!$A$2:$Q$3504,16,FALSE())</f>
        <v>#N/A</v>
      </c>
      <c r="Q457" s="0" t="e">
        <f aca="false">VLOOKUP($A457,'[2]Sheet 1'!$A$2:$Q$3504,17,FALSE())</f>
        <v>#N/A</v>
      </c>
      <c r="S457" s="5"/>
    </row>
    <row r="458" customFormat="false" ht="14.25" hidden="false" customHeight="false" outlineLevel="0" collapsed="false">
      <c r="A458" s="5" t="n">
        <v>1218</v>
      </c>
      <c r="B458" s="5" t="s">
        <v>1166</v>
      </c>
      <c r="C458" s="5" t="n">
        <v>0</v>
      </c>
      <c r="D458" s="0" t="e">
        <f aca="false">VLOOKUP($A458,'[2]Sheet 1'!$A$2:$Q$3504,4,FALSE())</f>
        <v>#N/A</v>
      </c>
      <c r="E458" s="0" t="e">
        <f aca="false">VLOOKUP($A458,'[2]Sheet 1'!$A$2:$Q$3504,5,FALSE())</f>
        <v>#N/A</v>
      </c>
      <c r="F458" s="0" t="e">
        <f aca="false">VLOOKUP($A458,'[2]Sheet 1'!$A$2:$Q$3504,6,FALSE())</f>
        <v>#N/A</v>
      </c>
      <c r="G458" s="0" t="e">
        <f aca="false">VLOOKUP($A458,'[2]Sheet 1'!$A$2:$Q$3504,7,FALSE())</f>
        <v>#N/A</v>
      </c>
      <c r="H458" s="0" t="e">
        <f aca="false">VLOOKUP($A458,'[2]Sheet 1'!$A$2:$Q$3504,8,FALSE())</f>
        <v>#N/A</v>
      </c>
      <c r="I458" s="0" t="e">
        <f aca="false">VLOOKUP($A458,'[2]Sheet 1'!$A$2:$Q$3504,9,FALSE())</f>
        <v>#N/A</v>
      </c>
      <c r="J458" s="0" t="e">
        <f aca="false">VLOOKUP($A458,'[2]Sheet 1'!$A$2:$Q$3504,10,FALSE())</f>
        <v>#N/A</v>
      </c>
      <c r="K458" s="0" t="e">
        <f aca="false">VLOOKUP($A458,'[2]Sheet 1'!$A$2:$Q$3504,11,FALSE())</f>
        <v>#N/A</v>
      </c>
      <c r="L458" s="0" t="e">
        <f aca="false">VLOOKUP($A458,'[2]Sheet 1'!$A$2:$Q$3504,12,FALSE())</f>
        <v>#N/A</v>
      </c>
      <c r="M458" s="0" t="e">
        <f aca="false">VLOOKUP($A458,'[2]Sheet 1'!$A$2:$Q$3504,13,FALSE())</f>
        <v>#N/A</v>
      </c>
      <c r="N458" s="0" t="e">
        <f aca="false">VLOOKUP($A458,'[2]Sheet 1'!$A$2:$Q$3504,14,FALSE())</f>
        <v>#N/A</v>
      </c>
      <c r="O458" s="0" t="e">
        <f aca="false">VLOOKUP($A458,'[2]Sheet 1'!$A$2:$Q$3504,15,FALSE())</f>
        <v>#N/A</v>
      </c>
      <c r="P458" s="0" t="e">
        <f aca="false">VLOOKUP($A458,'[2]Sheet 1'!$A$2:$Q$3504,16,FALSE())</f>
        <v>#N/A</v>
      </c>
      <c r="Q458" s="0" t="e">
        <f aca="false">VLOOKUP($A458,'[2]Sheet 1'!$A$2:$Q$3504,17,FALSE())</f>
        <v>#N/A</v>
      </c>
      <c r="S458" s="5"/>
    </row>
    <row r="459" customFormat="false" ht="14.25" hidden="false" customHeight="false" outlineLevel="0" collapsed="false">
      <c r="A459" s="5" t="n">
        <v>1225</v>
      </c>
      <c r="B459" s="5" t="s">
        <v>1168</v>
      </c>
      <c r="C459" s="5" t="n">
        <v>0</v>
      </c>
      <c r="D459" s="0" t="e">
        <f aca="false">VLOOKUP($A459,'[2]Sheet 1'!$A$2:$Q$3504,4,FALSE())</f>
        <v>#N/A</v>
      </c>
      <c r="E459" s="0" t="e">
        <f aca="false">VLOOKUP($A459,'[2]Sheet 1'!$A$2:$Q$3504,5,FALSE())</f>
        <v>#N/A</v>
      </c>
      <c r="F459" s="0" t="e">
        <f aca="false">VLOOKUP($A459,'[2]Sheet 1'!$A$2:$Q$3504,6,FALSE())</f>
        <v>#N/A</v>
      </c>
      <c r="G459" s="0" t="e">
        <f aca="false">VLOOKUP($A459,'[2]Sheet 1'!$A$2:$Q$3504,7,FALSE())</f>
        <v>#N/A</v>
      </c>
      <c r="H459" s="0" t="e">
        <f aca="false">VLOOKUP($A459,'[2]Sheet 1'!$A$2:$Q$3504,8,FALSE())</f>
        <v>#N/A</v>
      </c>
      <c r="I459" s="0" t="e">
        <f aca="false">VLOOKUP($A459,'[2]Sheet 1'!$A$2:$Q$3504,9,FALSE())</f>
        <v>#N/A</v>
      </c>
      <c r="J459" s="0" t="e">
        <f aca="false">VLOOKUP($A459,'[2]Sheet 1'!$A$2:$Q$3504,10,FALSE())</f>
        <v>#N/A</v>
      </c>
      <c r="K459" s="0" t="e">
        <f aca="false">VLOOKUP($A459,'[2]Sheet 1'!$A$2:$Q$3504,11,FALSE())</f>
        <v>#N/A</v>
      </c>
      <c r="L459" s="0" t="e">
        <f aca="false">VLOOKUP($A459,'[2]Sheet 1'!$A$2:$Q$3504,12,FALSE())</f>
        <v>#N/A</v>
      </c>
      <c r="M459" s="0" t="e">
        <f aca="false">VLOOKUP($A459,'[2]Sheet 1'!$A$2:$Q$3504,13,FALSE())</f>
        <v>#N/A</v>
      </c>
      <c r="N459" s="0" t="e">
        <f aca="false">VLOOKUP($A459,'[2]Sheet 1'!$A$2:$Q$3504,14,FALSE())</f>
        <v>#N/A</v>
      </c>
      <c r="O459" s="0" t="e">
        <f aca="false">VLOOKUP($A459,'[2]Sheet 1'!$A$2:$Q$3504,15,FALSE())</f>
        <v>#N/A</v>
      </c>
      <c r="P459" s="0" t="e">
        <f aca="false">VLOOKUP($A459,'[2]Sheet 1'!$A$2:$Q$3504,16,FALSE())</f>
        <v>#N/A</v>
      </c>
      <c r="Q459" s="0" t="e">
        <f aca="false">VLOOKUP($A459,'[2]Sheet 1'!$A$2:$Q$3504,17,FALSE())</f>
        <v>#N/A</v>
      </c>
      <c r="S459" s="5"/>
    </row>
    <row r="460" customFormat="false" ht="14.25" hidden="false" customHeight="false" outlineLevel="0" collapsed="false">
      <c r="A460" s="5" t="n">
        <v>1232</v>
      </c>
      <c r="B460" s="5" t="s">
        <v>1170</v>
      </c>
      <c r="C460" s="5" t="n">
        <v>50</v>
      </c>
      <c r="D460" s="0" t="e">
        <f aca="false">VLOOKUP($A460,'[2]Sheet 1'!$A$2:$Q$3504,4,FALSE())</f>
        <v>#N/A</v>
      </c>
      <c r="E460" s="0" t="e">
        <f aca="false">VLOOKUP($A460,'[2]Sheet 1'!$A$2:$Q$3504,5,FALSE())</f>
        <v>#N/A</v>
      </c>
      <c r="F460" s="0" t="e">
        <f aca="false">VLOOKUP($A460,'[2]Sheet 1'!$A$2:$Q$3504,6,FALSE())</f>
        <v>#N/A</v>
      </c>
      <c r="G460" s="0" t="e">
        <f aca="false">VLOOKUP($A460,'[2]Sheet 1'!$A$2:$Q$3504,7,FALSE())</f>
        <v>#N/A</v>
      </c>
      <c r="H460" s="0" t="e">
        <f aca="false">VLOOKUP($A460,'[2]Sheet 1'!$A$2:$Q$3504,8,FALSE())</f>
        <v>#N/A</v>
      </c>
      <c r="I460" s="0" t="e">
        <f aca="false">VLOOKUP($A460,'[2]Sheet 1'!$A$2:$Q$3504,9,FALSE())</f>
        <v>#N/A</v>
      </c>
      <c r="J460" s="0" t="e">
        <f aca="false">VLOOKUP($A460,'[2]Sheet 1'!$A$2:$Q$3504,10,FALSE())</f>
        <v>#N/A</v>
      </c>
      <c r="K460" s="0" t="e">
        <f aca="false">VLOOKUP($A460,'[2]Sheet 1'!$A$2:$Q$3504,11,FALSE())</f>
        <v>#N/A</v>
      </c>
      <c r="L460" s="0" t="e">
        <f aca="false">VLOOKUP($A460,'[2]Sheet 1'!$A$2:$Q$3504,12,FALSE())</f>
        <v>#N/A</v>
      </c>
      <c r="M460" s="0" t="e">
        <f aca="false">VLOOKUP($A460,'[2]Sheet 1'!$A$2:$Q$3504,13,FALSE())</f>
        <v>#N/A</v>
      </c>
      <c r="N460" s="0" t="e">
        <f aca="false">VLOOKUP($A460,'[2]Sheet 1'!$A$2:$Q$3504,14,FALSE())</f>
        <v>#N/A</v>
      </c>
      <c r="O460" s="0" t="e">
        <f aca="false">VLOOKUP($A460,'[2]Sheet 1'!$A$2:$Q$3504,15,FALSE())</f>
        <v>#N/A</v>
      </c>
      <c r="P460" s="0" t="e">
        <f aca="false">VLOOKUP($A460,'[2]Sheet 1'!$A$2:$Q$3504,16,FALSE())</f>
        <v>#N/A</v>
      </c>
      <c r="Q460" s="0" t="e">
        <f aca="false">VLOOKUP($A460,'[2]Sheet 1'!$A$2:$Q$3504,17,FALSE())</f>
        <v>#N/A</v>
      </c>
      <c r="S460" s="5"/>
    </row>
    <row r="461" customFormat="false" ht="14.25" hidden="false" customHeight="false" outlineLevel="0" collapsed="false">
      <c r="A461" s="5" t="n">
        <v>1241</v>
      </c>
      <c r="B461" s="5" t="s">
        <v>1174</v>
      </c>
      <c r="C461" s="5" t="n">
        <v>85</v>
      </c>
      <c r="D461" s="0" t="e">
        <f aca="false">VLOOKUP($A461,'[2]Sheet 1'!$A$2:$Q$3504,4,FALSE())</f>
        <v>#N/A</v>
      </c>
      <c r="E461" s="0" t="e">
        <f aca="false">VLOOKUP($A461,'[2]Sheet 1'!$A$2:$Q$3504,5,FALSE())</f>
        <v>#N/A</v>
      </c>
      <c r="F461" s="0" t="e">
        <f aca="false">VLOOKUP($A461,'[2]Sheet 1'!$A$2:$Q$3504,6,FALSE())</f>
        <v>#N/A</v>
      </c>
      <c r="G461" s="0" t="e">
        <f aca="false">VLOOKUP($A461,'[2]Sheet 1'!$A$2:$Q$3504,7,FALSE())</f>
        <v>#N/A</v>
      </c>
      <c r="H461" s="0" t="e">
        <f aca="false">VLOOKUP($A461,'[2]Sheet 1'!$A$2:$Q$3504,8,FALSE())</f>
        <v>#N/A</v>
      </c>
      <c r="I461" s="0" t="e">
        <f aca="false">VLOOKUP($A461,'[2]Sheet 1'!$A$2:$Q$3504,9,FALSE())</f>
        <v>#N/A</v>
      </c>
      <c r="J461" s="0" t="e">
        <f aca="false">VLOOKUP($A461,'[2]Sheet 1'!$A$2:$Q$3504,10,FALSE())</f>
        <v>#N/A</v>
      </c>
      <c r="K461" s="0" t="e">
        <f aca="false">VLOOKUP($A461,'[2]Sheet 1'!$A$2:$Q$3504,11,FALSE())</f>
        <v>#N/A</v>
      </c>
      <c r="L461" s="0" t="e">
        <f aca="false">VLOOKUP($A461,'[2]Sheet 1'!$A$2:$Q$3504,12,FALSE())</f>
        <v>#N/A</v>
      </c>
      <c r="M461" s="0" t="e">
        <f aca="false">VLOOKUP($A461,'[2]Sheet 1'!$A$2:$Q$3504,13,FALSE())</f>
        <v>#N/A</v>
      </c>
      <c r="N461" s="0" t="e">
        <f aca="false">VLOOKUP($A461,'[2]Sheet 1'!$A$2:$Q$3504,14,FALSE())</f>
        <v>#N/A</v>
      </c>
      <c r="O461" s="0" t="e">
        <f aca="false">VLOOKUP($A461,'[2]Sheet 1'!$A$2:$Q$3504,15,FALSE())</f>
        <v>#N/A</v>
      </c>
      <c r="P461" s="0" t="e">
        <f aca="false">VLOOKUP($A461,'[2]Sheet 1'!$A$2:$Q$3504,16,FALSE())</f>
        <v>#N/A</v>
      </c>
      <c r="Q461" s="0" t="e">
        <f aca="false">VLOOKUP($A461,'[2]Sheet 1'!$A$2:$Q$3504,17,FALSE())</f>
        <v>#N/A</v>
      </c>
      <c r="S461" s="5"/>
    </row>
    <row r="462" customFormat="false" ht="14.25" hidden="false" customHeight="false" outlineLevel="0" collapsed="false">
      <c r="A462" s="5" t="n">
        <v>1242</v>
      </c>
      <c r="B462" s="5" t="s">
        <v>1176</v>
      </c>
      <c r="C462" s="5" t="n">
        <v>85</v>
      </c>
      <c r="D462" s="0" t="e">
        <f aca="false">VLOOKUP($A462,'[2]Sheet 1'!$A$2:$Q$3504,4,FALSE())</f>
        <v>#N/A</v>
      </c>
      <c r="E462" s="0" t="e">
        <f aca="false">VLOOKUP($A462,'[2]Sheet 1'!$A$2:$Q$3504,5,FALSE())</f>
        <v>#N/A</v>
      </c>
      <c r="F462" s="0" t="e">
        <f aca="false">VLOOKUP($A462,'[2]Sheet 1'!$A$2:$Q$3504,6,FALSE())</f>
        <v>#N/A</v>
      </c>
      <c r="G462" s="0" t="e">
        <f aca="false">VLOOKUP($A462,'[2]Sheet 1'!$A$2:$Q$3504,7,FALSE())</f>
        <v>#N/A</v>
      </c>
      <c r="H462" s="0" t="e">
        <f aca="false">VLOOKUP($A462,'[2]Sheet 1'!$A$2:$Q$3504,8,FALSE())</f>
        <v>#N/A</v>
      </c>
      <c r="I462" s="0" t="e">
        <f aca="false">VLOOKUP($A462,'[2]Sheet 1'!$A$2:$Q$3504,9,FALSE())</f>
        <v>#N/A</v>
      </c>
      <c r="J462" s="0" t="e">
        <f aca="false">VLOOKUP($A462,'[2]Sheet 1'!$A$2:$Q$3504,10,FALSE())</f>
        <v>#N/A</v>
      </c>
      <c r="K462" s="0" t="e">
        <f aca="false">VLOOKUP($A462,'[2]Sheet 1'!$A$2:$Q$3504,11,FALSE())</f>
        <v>#N/A</v>
      </c>
      <c r="L462" s="0" t="e">
        <f aca="false">VLOOKUP($A462,'[2]Sheet 1'!$A$2:$Q$3504,12,FALSE())</f>
        <v>#N/A</v>
      </c>
      <c r="M462" s="0" t="e">
        <f aca="false">VLOOKUP($A462,'[2]Sheet 1'!$A$2:$Q$3504,13,FALSE())</f>
        <v>#N/A</v>
      </c>
      <c r="N462" s="0" t="e">
        <f aca="false">VLOOKUP($A462,'[2]Sheet 1'!$A$2:$Q$3504,14,FALSE())</f>
        <v>#N/A</v>
      </c>
      <c r="O462" s="0" t="e">
        <f aca="false">VLOOKUP($A462,'[2]Sheet 1'!$A$2:$Q$3504,15,FALSE())</f>
        <v>#N/A</v>
      </c>
      <c r="P462" s="0" t="e">
        <f aca="false">VLOOKUP($A462,'[2]Sheet 1'!$A$2:$Q$3504,16,FALSE())</f>
        <v>#N/A</v>
      </c>
      <c r="Q462" s="0" t="e">
        <f aca="false">VLOOKUP($A462,'[2]Sheet 1'!$A$2:$Q$3504,17,FALSE())</f>
        <v>#N/A</v>
      </c>
      <c r="S462" s="5"/>
    </row>
    <row r="463" customFormat="false" ht="14.25" hidden="false" customHeight="false" outlineLevel="0" collapsed="false">
      <c r="A463" s="5" t="n">
        <v>1243</v>
      </c>
      <c r="B463" s="5" t="s">
        <v>1238</v>
      </c>
      <c r="C463" s="5" t="n">
        <v>100</v>
      </c>
      <c r="D463" s="0" t="e">
        <f aca="false">VLOOKUP($A463,'[2]Sheet 1'!$A$2:$Q$3504,4,FALSE())</f>
        <v>#N/A</v>
      </c>
      <c r="E463" s="0" t="e">
        <f aca="false">VLOOKUP($A463,'[2]Sheet 1'!$A$2:$Q$3504,5,FALSE())</f>
        <v>#N/A</v>
      </c>
      <c r="F463" s="0" t="e">
        <f aca="false">VLOOKUP($A463,'[2]Sheet 1'!$A$2:$Q$3504,6,FALSE())</f>
        <v>#N/A</v>
      </c>
      <c r="G463" s="0" t="e">
        <f aca="false">VLOOKUP($A463,'[2]Sheet 1'!$A$2:$Q$3504,7,FALSE())</f>
        <v>#N/A</v>
      </c>
      <c r="H463" s="0" t="e">
        <f aca="false">VLOOKUP($A463,'[2]Sheet 1'!$A$2:$Q$3504,8,FALSE())</f>
        <v>#N/A</v>
      </c>
      <c r="I463" s="0" t="e">
        <f aca="false">VLOOKUP($A463,'[2]Sheet 1'!$A$2:$Q$3504,9,FALSE())</f>
        <v>#N/A</v>
      </c>
      <c r="J463" s="0" t="e">
        <f aca="false">VLOOKUP($A463,'[2]Sheet 1'!$A$2:$Q$3504,10,FALSE())</f>
        <v>#N/A</v>
      </c>
      <c r="K463" s="0" t="e">
        <f aca="false">VLOOKUP($A463,'[2]Sheet 1'!$A$2:$Q$3504,11,FALSE())</f>
        <v>#N/A</v>
      </c>
      <c r="L463" s="0" t="e">
        <f aca="false">VLOOKUP($A463,'[2]Sheet 1'!$A$2:$Q$3504,12,FALSE())</f>
        <v>#N/A</v>
      </c>
      <c r="M463" s="0" t="e">
        <f aca="false">VLOOKUP($A463,'[2]Sheet 1'!$A$2:$Q$3504,13,FALSE())</f>
        <v>#N/A</v>
      </c>
      <c r="N463" s="0" t="e">
        <f aca="false">VLOOKUP($A463,'[2]Sheet 1'!$A$2:$Q$3504,14,FALSE())</f>
        <v>#N/A</v>
      </c>
      <c r="O463" s="0" t="e">
        <f aca="false">VLOOKUP($A463,'[2]Sheet 1'!$A$2:$Q$3504,15,FALSE())</f>
        <v>#N/A</v>
      </c>
      <c r="P463" s="0" t="e">
        <f aca="false">VLOOKUP($A463,'[2]Sheet 1'!$A$2:$Q$3504,16,FALSE())</f>
        <v>#N/A</v>
      </c>
      <c r="Q463" s="0" t="e">
        <f aca="false">VLOOKUP($A463,'[2]Sheet 1'!$A$2:$Q$3504,17,FALSE())</f>
        <v>#N/A</v>
      </c>
      <c r="S463" s="5"/>
    </row>
    <row r="464" customFormat="false" ht="14.25" hidden="false" customHeight="false" outlineLevel="0" collapsed="false">
      <c r="A464" s="5" t="n">
        <v>1274</v>
      </c>
      <c r="B464" s="5" t="s">
        <v>1183</v>
      </c>
      <c r="C464" s="5" t="n">
        <v>100</v>
      </c>
      <c r="D464" s="0" t="e">
        <f aca="false">VLOOKUP($A464,'[2]Sheet 1'!$A$2:$Q$3504,4,FALSE())</f>
        <v>#N/A</v>
      </c>
      <c r="E464" s="0" t="e">
        <f aca="false">VLOOKUP($A464,'[2]Sheet 1'!$A$2:$Q$3504,5,FALSE())</f>
        <v>#N/A</v>
      </c>
      <c r="F464" s="0" t="e">
        <f aca="false">VLOOKUP($A464,'[2]Sheet 1'!$A$2:$Q$3504,6,FALSE())</f>
        <v>#N/A</v>
      </c>
      <c r="G464" s="0" t="e">
        <f aca="false">VLOOKUP($A464,'[2]Sheet 1'!$A$2:$Q$3504,7,FALSE())</f>
        <v>#N/A</v>
      </c>
      <c r="H464" s="0" t="e">
        <f aca="false">VLOOKUP($A464,'[2]Sheet 1'!$A$2:$Q$3504,8,FALSE())</f>
        <v>#N/A</v>
      </c>
      <c r="I464" s="0" t="e">
        <f aca="false">VLOOKUP($A464,'[2]Sheet 1'!$A$2:$Q$3504,9,FALSE())</f>
        <v>#N/A</v>
      </c>
      <c r="J464" s="0" t="e">
        <f aca="false">VLOOKUP($A464,'[2]Sheet 1'!$A$2:$Q$3504,10,FALSE())</f>
        <v>#N/A</v>
      </c>
      <c r="K464" s="0" t="e">
        <f aca="false">VLOOKUP($A464,'[2]Sheet 1'!$A$2:$Q$3504,11,FALSE())</f>
        <v>#N/A</v>
      </c>
      <c r="L464" s="0" t="e">
        <f aca="false">VLOOKUP($A464,'[2]Sheet 1'!$A$2:$Q$3504,12,FALSE())</f>
        <v>#N/A</v>
      </c>
      <c r="M464" s="0" t="e">
        <f aca="false">VLOOKUP($A464,'[2]Sheet 1'!$A$2:$Q$3504,13,FALSE())</f>
        <v>#N/A</v>
      </c>
      <c r="N464" s="0" t="e">
        <f aca="false">VLOOKUP($A464,'[2]Sheet 1'!$A$2:$Q$3504,14,FALSE())</f>
        <v>#N/A</v>
      </c>
      <c r="O464" s="0" t="e">
        <f aca="false">VLOOKUP($A464,'[2]Sheet 1'!$A$2:$Q$3504,15,FALSE())</f>
        <v>#N/A</v>
      </c>
      <c r="P464" s="0" t="e">
        <f aca="false">VLOOKUP($A464,'[2]Sheet 1'!$A$2:$Q$3504,16,FALSE())</f>
        <v>#N/A</v>
      </c>
      <c r="Q464" s="0" t="e">
        <f aca="false">VLOOKUP($A464,'[2]Sheet 1'!$A$2:$Q$3504,17,FALSE())</f>
        <v>#N/A</v>
      </c>
      <c r="S464" s="5"/>
    </row>
    <row r="465" customFormat="false" ht="14.25" hidden="false" customHeight="false" outlineLevel="0" collapsed="false">
      <c r="A465" s="5" t="n">
        <v>1276</v>
      </c>
      <c r="B465" s="5" t="s">
        <v>1185</v>
      </c>
      <c r="C465" s="5" t="n">
        <v>100</v>
      </c>
      <c r="D465" s="0" t="e">
        <f aca="false">VLOOKUP($A465,'[2]Sheet 1'!$A$2:$Q$3504,4,FALSE())</f>
        <v>#N/A</v>
      </c>
      <c r="E465" s="0" t="e">
        <f aca="false">VLOOKUP($A465,'[2]Sheet 1'!$A$2:$Q$3504,5,FALSE())</f>
        <v>#N/A</v>
      </c>
      <c r="F465" s="0" t="e">
        <f aca="false">VLOOKUP($A465,'[2]Sheet 1'!$A$2:$Q$3504,6,FALSE())</f>
        <v>#N/A</v>
      </c>
      <c r="G465" s="0" t="e">
        <f aca="false">VLOOKUP($A465,'[2]Sheet 1'!$A$2:$Q$3504,7,FALSE())</f>
        <v>#N/A</v>
      </c>
      <c r="H465" s="0" t="e">
        <f aca="false">VLOOKUP($A465,'[2]Sheet 1'!$A$2:$Q$3504,8,FALSE())</f>
        <v>#N/A</v>
      </c>
      <c r="I465" s="0" t="e">
        <f aca="false">VLOOKUP($A465,'[2]Sheet 1'!$A$2:$Q$3504,9,FALSE())</f>
        <v>#N/A</v>
      </c>
      <c r="J465" s="0" t="e">
        <f aca="false">VLOOKUP($A465,'[2]Sheet 1'!$A$2:$Q$3504,10,FALSE())</f>
        <v>#N/A</v>
      </c>
      <c r="K465" s="0" t="e">
        <f aca="false">VLOOKUP($A465,'[2]Sheet 1'!$A$2:$Q$3504,11,FALSE())</f>
        <v>#N/A</v>
      </c>
      <c r="L465" s="0" t="e">
        <f aca="false">VLOOKUP($A465,'[2]Sheet 1'!$A$2:$Q$3504,12,FALSE())</f>
        <v>#N/A</v>
      </c>
      <c r="M465" s="0" t="e">
        <f aca="false">VLOOKUP($A465,'[2]Sheet 1'!$A$2:$Q$3504,13,FALSE())</f>
        <v>#N/A</v>
      </c>
      <c r="N465" s="0" t="e">
        <f aca="false">VLOOKUP($A465,'[2]Sheet 1'!$A$2:$Q$3504,14,FALSE())</f>
        <v>#N/A</v>
      </c>
      <c r="O465" s="0" t="e">
        <f aca="false">VLOOKUP($A465,'[2]Sheet 1'!$A$2:$Q$3504,15,FALSE())</f>
        <v>#N/A</v>
      </c>
      <c r="P465" s="0" t="e">
        <f aca="false">VLOOKUP($A465,'[2]Sheet 1'!$A$2:$Q$3504,16,FALSE())</f>
        <v>#N/A</v>
      </c>
      <c r="Q465" s="0" t="e">
        <f aca="false">VLOOKUP($A465,'[2]Sheet 1'!$A$2:$Q$3504,17,FALSE())</f>
        <v>#N/A</v>
      </c>
      <c r="S465" s="5"/>
    </row>
    <row r="466" customFormat="false" ht="14.25" hidden="false" customHeight="false" outlineLevel="0" collapsed="false">
      <c r="A466" s="5" t="n">
        <v>1277</v>
      </c>
      <c r="B466" s="5" t="s">
        <v>1188</v>
      </c>
      <c r="C466" s="5" t="n">
        <v>100</v>
      </c>
      <c r="D466" s="0" t="e">
        <f aca="false">VLOOKUP($A466,'[2]Sheet 1'!$A$2:$Q$3504,4,FALSE())</f>
        <v>#N/A</v>
      </c>
      <c r="E466" s="0" t="e">
        <f aca="false">VLOOKUP($A466,'[2]Sheet 1'!$A$2:$Q$3504,5,FALSE())</f>
        <v>#N/A</v>
      </c>
      <c r="F466" s="0" t="e">
        <f aca="false">VLOOKUP($A466,'[2]Sheet 1'!$A$2:$Q$3504,6,FALSE())</f>
        <v>#N/A</v>
      </c>
      <c r="G466" s="0" t="e">
        <f aca="false">VLOOKUP($A466,'[2]Sheet 1'!$A$2:$Q$3504,7,FALSE())</f>
        <v>#N/A</v>
      </c>
      <c r="H466" s="0" t="e">
        <f aca="false">VLOOKUP($A466,'[2]Sheet 1'!$A$2:$Q$3504,8,FALSE())</f>
        <v>#N/A</v>
      </c>
      <c r="I466" s="0" t="e">
        <f aca="false">VLOOKUP($A466,'[2]Sheet 1'!$A$2:$Q$3504,9,FALSE())</f>
        <v>#N/A</v>
      </c>
      <c r="J466" s="0" t="e">
        <f aca="false">VLOOKUP($A466,'[2]Sheet 1'!$A$2:$Q$3504,10,FALSE())</f>
        <v>#N/A</v>
      </c>
      <c r="K466" s="0" t="e">
        <f aca="false">VLOOKUP($A466,'[2]Sheet 1'!$A$2:$Q$3504,11,FALSE())</f>
        <v>#N/A</v>
      </c>
      <c r="L466" s="0" t="e">
        <f aca="false">VLOOKUP($A466,'[2]Sheet 1'!$A$2:$Q$3504,12,FALSE())</f>
        <v>#N/A</v>
      </c>
      <c r="M466" s="0" t="e">
        <f aca="false">VLOOKUP($A466,'[2]Sheet 1'!$A$2:$Q$3504,13,FALSE())</f>
        <v>#N/A</v>
      </c>
      <c r="N466" s="0" t="e">
        <f aca="false">VLOOKUP($A466,'[2]Sheet 1'!$A$2:$Q$3504,14,FALSE())</f>
        <v>#N/A</v>
      </c>
      <c r="O466" s="0" t="e">
        <f aca="false">VLOOKUP($A466,'[2]Sheet 1'!$A$2:$Q$3504,15,FALSE())</f>
        <v>#N/A</v>
      </c>
      <c r="P466" s="0" t="e">
        <f aca="false">VLOOKUP($A466,'[2]Sheet 1'!$A$2:$Q$3504,16,FALSE())</f>
        <v>#N/A</v>
      </c>
      <c r="Q466" s="0" t="e">
        <f aca="false">VLOOKUP($A466,'[2]Sheet 1'!$A$2:$Q$3504,17,FALSE())</f>
        <v>#N/A</v>
      </c>
      <c r="S466" s="5"/>
    </row>
    <row r="467" customFormat="false" ht="14.25" hidden="false" customHeight="false" outlineLevel="0" collapsed="false">
      <c r="A467" s="5" t="n">
        <v>1293</v>
      </c>
      <c r="B467" s="5" t="s">
        <v>1190</v>
      </c>
      <c r="C467" s="5" t="n">
        <v>50</v>
      </c>
      <c r="D467" s="0" t="e">
        <f aca="false">VLOOKUP($A467,'[2]Sheet 1'!$A$2:$Q$3504,4,FALSE())</f>
        <v>#N/A</v>
      </c>
      <c r="E467" s="0" t="e">
        <f aca="false">VLOOKUP($A467,'[2]Sheet 1'!$A$2:$Q$3504,5,FALSE())</f>
        <v>#N/A</v>
      </c>
      <c r="F467" s="0" t="e">
        <f aca="false">VLOOKUP($A467,'[2]Sheet 1'!$A$2:$Q$3504,6,FALSE())</f>
        <v>#N/A</v>
      </c>
      <c r="G467" s="0" t="e">
        <f aca="false">VLOOKUP($A467,'[2]Sheet 1'!$A$2:$Q$3504,7,FALSE())</f>
        <v>#N/A</v>
      </c>
      <c r="H467" s="0" t="e">
        <f aca="false">VLOOKUP($A467,'[2]Sheet 1'!$A$2:$Q$3504,8,FALSE())</f>
        <v>#N/A</v>
      </c>
      <c r="I467" s="0" t="e">
        <f aca="false">VLOOKUP($A467,'[2]Sheet 1'!$A$2:$Q$3504,9,FALSE())</f>
        <v>#N/A</v>
      </c>
      <c r="J467" s="0" t="e">
        <f aca="false">VLOOKUP($A467,'[2]Sheet 1'!$A$2:$Q$3504,10,FALSE())</f>
        <v>#N/A</v>
      </c>
      <c r="K467" s="0" t="e">
        <f aca="false">VLOOKUP($A467,'[2]Sheet 1'!$A$2:$Q$3504,11,FALSE())</f>
        <v>#N/A</v>
      </c>
      <c r="L467" s="0" t="e">
        <f aca="false">VLOOKUP($A467,'[2]Sheet 1'!$A$2:$Q$3504,12,FALSE())</f>
        <v>#N/A</v>
      </c>
      <c r="M467" s="0" t="e">
        <f aca="false">VLOOKUP($A467,'[2]Sheet 1'!$A$2:$Q$3504,13,FALSE())</f>
        <v>#N/A</v>
      </c>
      <c r="N467" s="0" t="e">
        <f aca="false">VLOOKUP($A467,'[2]Sheet 1'!$A$2:$Q$3504,14,FALSE())</f>
        <v>#N/A</v>
      </c>
      <c r="O467" s="0" t="e">
        <f aca="false">VLOOKUP($A467,'[2]Sheet 1'!$A$2:$Q$3504,15,FALSE())</f>
        <v>#N/A</v>
      </c>
      <c r="P467" s="0" t="e">
        <f aca="false">VLOOKUP($A467,'[2]Sheet 1'!$A$2:$Q$3504,16,FALSE())</f>
        <v>#N/A</v>
      </c>
      <c r="Q467" s="0" t="e">
        <f aca="false">VLOOKUP($A467,'[2]Sheet 1'!$A$2:$Q$3504,17,FALSE())</f>
        <v>#N/A</v>
      </c>
      <c r="S467" s="5"/>
    </row>
    <row r="468" customFormat="false" ht="14.25" hidden="false" customHeight="false" outlineLevel="0" collapsed="false">
      <c r="A468" s="5" t="n">
        <v>1296</v>
      </c>
      <c r="B468" s="5" t="s">
        <v>1195</v>
      </c>
      <c r="C468" s="5" t="n">
        <v>90</v>
      </c>
      <c r="D468" s="0" t="e">
        <f aca="false">VLOOKUP($A468,'[2]Sheet 1'!$A$2:$Q$3504,4,FALSE())</f>
        <v>#N/A</v>
      </c>
      <c r="E468" s="0" t="e">
        <f aca="false">VLOOKUP($A468,'[2]Sheet 1'!$A$2:$Q$3504,5,FALSE())</f>
        <v>#N/A</v>
      </c>
      <c r="F468" s="0" t="e">
        <f aca="false">VLOOKUP($A468,'[2]Sheet 1'!$A$2:$Q$3504,6,FALSE())</f>
        <v>#N/A</v>
      </c>
      <c r="G468" s="0" t="e">
        <f aca="false">VLOOKUP($A468,'[2]Sheet 1'!$A$2:$Q$3504,7,FALSE())</f>
        <v>#N/A</v>
      </c>
      <c r="H468" s="0" t="e">
        <f aca="false">VLOOKUP($A468,'[2]Sheet 1'!$A$2:$Q$3504,8,FALSE())</f>
        <v>#N/A</v>
      </c>
      <c r="I468" s="0" t="e">
        <f aca="false">VLOOKUP($A468,'[2]Sheet 1'!$A$2:$Q$3504,9,FALSE())</f>
        <v>#N/A</v>
      </c>
      <c r="J468" s="0" t="e">
        <f aca="false">VLOOKUP($A468,'[2]Sheet 1'!$A$2:$Q$3504,10,FALSE())</f>
        <v>#N/A</v>
      </c>
      <c r="K468" s="0" t="e">
        <f aca="false">VLOOKUP($A468,'[2]Sheet 1'!$A$2:$Q$3504,11,FALSE())</f>
        <v>#N/A</v>
      </c>
      <c r="L468" s="0" t="e">
        <f aca="false">VLOOKUP($A468,'[2]Sheet 1'!$A$2:$Q$3504,12,FALSE())</f>
        <v>#N/A</v>
      </c>
      <c r="M468" s="0" t="e">
        <f aca="false">VLOOKUP($A468,'[2]Sheet 1'!$A$2:$Q$3504,13,FALSE())</f>
        <v>#N/A</v>
      </c>
      <c r="N468" s="0" t="e">
        <f aca="false">VLOOKUP($A468,'[2]Sheet 1'!$A$2:$Q$3504,14,FALSE())</f>
        <v>#N/A</v>
      </c>
      <c r="O468" s="0" t="e">
        <f aca="false">VLOOKUP($A468,'[2]Sheet 1'!$A$2:$Q$3504,15,FALSE())</f>
        <v>#N/A</v>
      </c>
      <c r="P468" s="0" t="e">
        <f aca="false">VLOOKUP($A468,'[2]Sheet 1'!$A$2:$Q$3504,16,FALSE())</f>
        <v>#N/A</v>
      </c>
      <c r="Q468" s="0" t="e">
        <f aca="false">VLOOKUP($A468,'[2]Sheet 1'!$A$2:$Q$3504,17,FALSE())</f>
        <v>#N/A</v>
      </c>
      <c r="S468" s="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2019-05-21T08:20:46Z</dcterms:created>
  <dc:creator>Florian Schwarzmueller</dc:creator>
  <dc:description/>
  <dc:language>en-GB</dc:language>
  <cp:lastModifiedBy/>
  <dcterms:modified xsi:type="dcterms:W3CDTF">2026-01-05T11:01:49Z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